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F641FC6C-62FB-4C4D-A637-73E7A631C204}" xr6:coauthVersionLast="47" xr6:coauthVersionMax="47" xr10:uidLastSave="{00000000-0000-0000-0000-000000000000}"/>
  <bookViews>
    <workbookView xWindow="-110" yWindow="-110" windowWidth="25820" windowHeight="15500" xr2:uid="{36E2B504-08BE-4D58-9575-6CDA40661314}"/>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6" i="1" a="1"/>
  <c r="C36" i="1" s="1"/>
  <c r="I26" i="1" a="1"/>
  <c r="I26" i="1" s="1"/>
  <c r="I27" i="1" s="1"/>
  <c r="M14" i="1" a="1"/>
  <c r="M14" i="1" s="1"/>
  <c r="E13" i="1" l="1" a="1"/>
  <c r="E13" i="1" s="1"/>
  <c r="G26" i="1" a="1"/>
  <c r="G26" i="1" s="1"/>
  <c r="G27" i="1" s="1"/>
  <c r="K26" i="1" a="1"/>
  <c r="K26" i="1" s="1"/>
  <c r="K27" i="1" s="1"/>
  <c r="E23" i="1" a="1"/>
  <c r="E23" i="1" s="1"/>
  <c r="I23" i="1" a="1"/>
  <c r="I23" i="1" s="1"/>
  <c r="M23" i="1" a="1"/>
  <c r="M23" i="1" s="1"/>
  <c r="M32" i="1" a="1"/>
  <c r="M32" i="1" s="1"/>
  <c r="E14" i="1" a="1"/>
  <c r="E14"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913EA171-9B0A-4188-89E2-9257E9DB8C51}">
      <text>
        <r>
          <rPr>
            <sz val="10"/>
            <color rgb="FF000000"/>
            <rFont val="Aptos Narrow"/>
            <scheme val="minor"/>
          </rPr>
          <t>Pondere din nota de la E / V</t>
        </r>
      </text>
    </comment>
    <comment ref="K127" authorId="0" shapeId="0" xr:uid="{4D6B3B23-4E1A-4240-86D7-45F63AFDE41F}">
      <text>
        <r>
          <rPr>
            <sz val="10"/>
            <color rgb="FF000000"/>
            <rFont val="Aptos Narrow"/>
            <scheme val="minor"/>
          </rPr>
          <t>Pondere din nota de la E / V</t>
        </r>
      </text>
    </comment>
    <comment ref="K128" authorId="0" shapeId="0" xr:uid="{060A3062-958D-4499-BDD4-0E706C34EE12}">
      <text>
        <r>
          <rPr>
            <sz val="10"/>
            <color rgb="FF000000"/>
            <rFont val="Aptos Narrow"/>
            <scheme val="minor"/>
          </rPr>
          <t>Pondere din nota de la E / V</t>
        </r>
      </text>
    </comment>
  </commentList>
</comments>
</file>

<file path=xl/sharedStrings.xml><?xml version="1.0" encoding="utf-8"?>
<sst xmlns="http://schemas.openxmlformats.org/spreadsheetml/2006/main" count="224" uniqueCount="146">
  <si>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</si>
  <si>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</si>
  <si>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</si>
  <si>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</si>
  <si>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</si>
  <si>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</si>
  <si>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</si>
  <si>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</si>
  <si>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</si>
  <si>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</si>
  <si>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</si>
  <si>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</si>
  <si>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</si>
  <si>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Matematici aplicate în inginerie</t>
  </si>
  <si>
    <t>(în limba engleză, conform Suplimentului la diplomă)</t>
  </si>
  <si>
    <t>2.1.2. Codul disciplinei</t>
  </si>
  <si>
    <t xml:space="preserve">2.1.3. Categoria formativă </t>
  </si>
  <si>
    <t>2.2 Titularul / titularii activităţilor de curs</t>
  </si>
  <si>
    <t>Prof. dr. habil. mat. Dorel Fetcu</t>
  </si>
  <si>
    <t>Lect. dr. mat. Gabriela Grosu</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</si>
  <si>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</si>
  <si>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</si>
  <si>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</si>
  <si>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</si>
  <si>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</si>
  <si>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</si>
  <si>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</si>
  <si>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</si>
  <si>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</si>
  <si>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</si>
  <si>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</si>
  <si>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</si>
  <si>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</si>
  <si>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</si>
  <si>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</si>
  <si>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</si>
  <si>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</si>
  <si>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</si>
  <si>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</si>
  <si>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</si>
  <si>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</si>
  <si>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</si>
  <si>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</si>
  <si>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</si>
  <si>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</si>
  <si>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</si>
  <si>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</si>
  <si>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</si>
  <si>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</si>
  <si>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</si>
  <si>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</si>
  <si>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</si>
  <si>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 Să cunoască noţiuni, enunţuri, algoritmi şi rezolvări de exerciţii din AIA101 - Algebră liniară şi geometrie analitică, AIA102 - Analiză matematică</t>
  </si>
  <si>
    <t>5. Condiţii</t>
  </si>
  <si>
    <t>5.1 de desfăşurare a cursului</t>
  </si>
  <si>
    <t>- Sală amfiteatru cu table magnetice, videoproiector, cameră video, tabletă, etc.</t>
  </si>
  <si>
    <t>5.2 de desfăşurare a seminarului / laboratorului / proiectului</t>
  </si>
  <si>
    <t xml:space="preserve">- Sală de seminar cu table magnetice, tablă interactivă, videoproiector, etc. </t>
  </si>
  <si>
    <t>6. Obiectivul general al disciplinei</t>
  </si>
  <si>
    <t>Cursul de Matematici Aplicate în Inginerie îşi propune să dezvolte gândirea logică a studenţilor prin numeroasele noţiuni teoretice şi aplicaţii. La sfârşitul acestui curs, studenţii vor asimila şi vor fi capabili să utilizeze noţiunile fundamentale de Analiză Complexă, Ecuaţii Diferenţiale, Calcul Operaţional, precum şi proprietăţile acestora, atât la evaluarea finală cât şi la disciplinele de specialitate. Vor avea formate diverse deprinderi de calcul, îşi vor însuşi algoritmi şi tehnici specifice. Vor face legătura între noţiuni, proprietăţi şi interpretarea grafică a acestora.</t>
  </si>
  <si>
    <t>7. Rezultatele învățării</t>
  </si>
  <si>
    <t>Cunoștințe</t>
  </si>
  <si>
    <t>Studentul / Absolventul:</t>
  </si>
  <si>
    <t>-  Identifică şi diferenţiază numerele complexe în formele algebrică, trigonometrică, matriceală, exponenţială; operează cu adunarea şi înmulţirea numerelor complexe; recunoaşte interpretarea geometrică de mulţimi de numere complexe în planul complex; defineşte conceptele de spaţiu normat, spaţiu metric, spaţiu topologic de numere complexe şi cele de vecinătate  a unui număr complex,  sferă. Recunoaşte funcţiile complexe de o variabilă reală şi operează cu ele ca şi curbe în planul complex. C1, S1
- Defineşte noţiunile de limită, continuitate, monogeneitate, olomorfie pentru funcţii complexe de o variabilă complexă.  Aplică Teorema Cauchy-Riemann C2, S2
- Explică interpretările grafice 4D ale funcţiilor complexe elementare, ale noţiunilor de pol, punct singular esenţial, punct singular removabil. Recunoaşte funcţiile şi multifuncţiile elementare: polinomială, Radical de ordin n, exp, Log, sin, cos, sh, ch, tg, ctg, Arcsin, Arccos, Arctg, Arcctg. Cunoaşte formulele de definiţie şi operează cu adunare, înmulţire, derivare de funcţii elementare. C3, S3
- Defineşte conceptul de integrală curbilinie dintr-o funcţie complexă cu valori complexe şi recunoaşte interpretarea ei fizică drept lucru mecanic. Explică şi aplică Teoreme şi Formule Cauchy de calcul de integrale din funcţii definite pe domenii simplu conexe, respectiv multiplu conexe. C4, S4
- Recunoaşte o serie de puteri complexe, respectiv o serie Taylor definită pe un interior de cerc. Aplică definiţiile şi enunţurile teoretice pentru stabilirea naturii (convergentă, divergentă) şi sumei. Înţelege utilitatea noţiunii de serie comparat cu sumă finită pentru disciplinele de specialitate. Cunoaşte dezvoltarea Taylor a funcţiilor şi multifuncţiilor (pe o ramură olomorfă) elementare: polinomială, Radical de ordin n, exp, Log, sin, cos, sh, ch, tg. C5, S5
- Recunoaşte o serie Laurent definită pe un interior de coroană circulară. Aplică definiţiile şi enunţurile teoretice pentru stabilirea naturii (convergentă, divergentă) şi sumei. Foloseşte operaţii algebrice şi ale analizei complexe pentru dezvoltarea în serie Laurent a anumitor funcţii pe anumite domenii. C5, S5
- Înţelege noţiunea de reziduu şi aplică teorema de calcul pentru determinarea unui reziduu într-un punct singular.  Aplică teoremele reziduurilor şi semireziduurilor pentru calcul de integrale complexe. Aplică teoria reziduurilor pentru calcul de integrale improprii reale.  C5, S5
- Identifică şi diferenţiază ecuaţiile diferenţiale de ecuaţiile algebrice; cunoaşte exemple de ecuaţii diferenţiale obţinute din modelarea unor procese legate de mărimi care au viteză de variaţie, din fizică, chimie, studiul populaţiei, procese digitale, raportându-se la timpul introducerii acestora. C6
- Recunoaşte tipurile de ecuaţii rezolvabile prin cuadraturi şi descrie algoritmul lor de rezolvare: Ecuaţii diferenţiale cu variabile separabile; ecuaţii diferenţiale omogene; ecuaţii diferenţiale cu diferenţială exactă; ecuaţii diferenţiale liniare. Identifică problemele Cauchy cu ecuaţiile diferenţiale rezolvabile prin cuadraturi şi descrie algoritmul lor de rezolvare, apoi impun condiţia iniţială pentru o rezolvare exactă. Interpretează grafic familia de curbe integrale care dă soluţia generală, respectiv soluţia singulară în anumite situaţii şi soluţia problemei Cauchy la rezolvare exactă.  C6, C7, S6, S7 
- Identifică forma generală a ecuaţiilor diferenţiale de ordinul n liniare, cu coeficienţi constanţi, omogene. Descrie şi aplică algoritmul de rezolvare. Identifică forma generală a ecuaţiilor diferenţiale de ordinul n liniare, cu coeficienţi constanţi, neomogene. Descrie şi aplică algoritmul de rezolvare, folosind atât metoda variaţiei constantelor, cât şi metoda coeficienţilor nedeterminaţi.   Aplică în soluţia generală descoperită condiţiile iniţiale, pentru a rezolva problema Cauchy ataşată. Interpretează grafic familia de curbe integrale care dă soluţia generală, respectiv soluţia singulară în anumite situaţii şi soluţia problemei Cauchy la rezolvare exactă. C8, C9, S8, S9
- Identifică forma generală a sistemelor de n ecuaţii diferenţiale de ordinul 1 liniare, cu coeficienţi constanţi, omogene. Descrie şi aplică algoritmul de rezolvare în cele trei cazuri legate de soluţiile ecuaţiei caracteristice.  Identifică forma generală a sistemelor de n ecuaţii diferenţiale de ordinul 1 liniare, cu coeficienţi constanţi, neomogene. Descrie şi aplică algoritmul de rezolvare, folosind atât metoda variaţiei constantelor, cât şi metoda coeficienţilor nedeterminaţi.  Aplică în soluţia generală descoperită condiţiile iniţiale, pentru a rezolva problema Cauchy ataşată. C10, S10
- Înţelege noţiunile de stabilitate simplă, uniformă, asimptotică şi pe reprezentare grafică, pentru un sistem omogen. Defineşte matricea Hurwitz ataşată polinomului caracteristic pentru matricea sistemului. Aplică teoreme şi criterii pentru stabilirea stabilităţii. C10, S10
- Defineşte şi înţelege noţiunile de funcţie original, transformată Laplace. Calculează transformata Laplace, aplicând definiţia sau proprietăţi. Cunoaşte tabelul cu transformate Laplace ale unor funcţii elementare înmulţite cu funcţia treaptă unitate. C11, S11
- Aplică proprietăţile transformatei Laplace şi tabelul în rezolvarea ecuaţiilor si sistemelor de ecuaţii diferenţiale liniare, în rezolvarea ecuaţiilor integro-diferenţiale, în determinarea de integrale improprii.C12, S12
- Defineşte noţiunile de funcţie periodică, serie Fourier ataşată. Recunoaşte o funcţie pară, o funcţie impară din definiţie sau din interpretarea grafică. Aplică enunţuri teoretice pentru a dezvolta o funcţie în serie Fourier. Interpretează geometric aproximarea unei funcţii (semnal) periodic cu polinoame trigonometrice. C13, S13
- Defineşte şi înţelege noţiunile de funcţie absolut integrabilă, transformată Fourier. Calculează transformata Fourier, aplicând definiţia sau proprietăţi. Aplică proprietăţile transformatei Fourier în rezolvarea ecuaţiilor integrale. Interpretează geometric transformarea semnalului rectangular simetric în spectrul tip sinus atenuat. C14, S14</t>
  </si>
  <si>
    <t>Aptitudini</t>
  </si>
  <si>
    <t>- Calculează valoarea unei funcţii / multifuncţii complexe într-un număr complex; derivata, integrala cu Teoreme Cauchy, respectiv Teoria Reziduurilor C1- C5, S1-S5 
- Aplică algoritmul de determinare a unei funcţii complexe când se cunoaşte partea ei reală, respectiv imaginară C2, S2
- Aplică algoritmul de determinare a unei integrale complexe cu teoria reziduurilor C5, S5
- Dezvoltă în serie Taylor, respectiv Laurent o funcţie complexă C5, S5
- Rezolvă exact o problemă Cauchy cu o ecuaţie rezolvabilă prin cuadraturi C6, S6, S7
- Aplică algoritmul de rezolvare a unei ecuaţii diferenţiale liniare de ordinul n C9, S9
- Aplică algoritmul de rezolvare pentru un sistem de n ecuaţii diferenţiale liniare de ordinul 1 C10, S10
- Aplică transformatele pentru rezolvarea de ecuaţii diferenţiale şi integrale C11, C14, S11, S14
- Dezvoltă o funcţie cu proprietatea Dirichlet în serie Fourier C12, S12</t>
  </si>
  <si>
    <t>Responsabilitate și autonomie</t>
  </si>
  <si>
    <t>- Studiază individual reprezentarea grafică 4D a funcţiilor complexe C3.
- Îşi însuşeşte limbajul legat de Analiza Complexă, Ecuaţii Diferenţiale şi Calcul Operaţional necesar în ingineria hardware și software C1-C14, S1-S14.
- Urmărește cerinţele precizate ca necesare pentru abordarea examenelor parţial şi final C1-C14, S11-S14.
- Iese la tablă pentru rezolvarea exerciţiilor, se alătură unei echipe sau rezolvă individual solicitările în cadrul seminarului, intervine şi răspunde în cadrul activităţilor interactive C1-C14, S11-S14.
- Selectează și raportează surse de informaţii respectând criteriile etice și de confidențialitate în prelucrarea seturilor de informaţii C1-C14, S11-S14.
- Recunoaște importanța formării continue în domeniul Matematicilor Aplicate în Inginerie și studiază critic metodele prezentate. C1-C14, S1- S14</t>
  </si>
  <si>
    <t xml:space="preserve">8. Metode de predare </t>
  </si>
  <si>
    <t>Metode de predare: presupunerea apriorică, feedback-ul, asumarea de către studenţi a obiectivelor învăţării (scopul), sprijinirea pe cunoştinţele anterioare (conform teoriei schemelor a lui Piaget), transferul de cunoaştere, metoda scaffolding (a schelelor).</t>
  </si>
  <si>
    <t>9. Conţinuturi</t>
  </si>
  <si>
    <t>9.1. Curs</t>
  </si>
  <si>
    <t>Metode de predare</t>
  </si>
  <si>
    <t>Timp alocat</t>
  </si>
  <si>
    <t>1</t>
  </si>
  <si>
    <t xml:space="preserve">Mulţimea numerelor complexe: structură algebrică, structură topologică. Funcţii complexe de o variabilă reală </t>
  </si>
  <si>
    <t xml:space="preserve">    În varianta onsite, cursul se predă sub formă de prelegeri, prin prezentarea orală şi scrisă (la tablă), precum şi cu videoproiector (a formatului electronic) a noţiunilor, exemplelor, enunţurilor şi demonstraţiilor schiţate de teoreme. Se vor menţiona iniţial modele matematice care conduc la noţiune, iar pe parcurs noţiunile vor  fi asociate cu ilustraţii grafice şi filmuleţe didactice de pe platforme matematice. În varianta online, se realizează o alternanţă între prezentarea formatului electronic fisier.pdf sau fisier.tex (cu realizare de grafice si aplicatii) şi prezentarea de aplicaţii pe tableta.  
    Conform conţinutului prezentat şi evoluţiei disciplinei, precum şi în concordanţă cu caracteristicile studenţilor şi cu cerinţele de calitate, noţiunile de Matematici Aplicate în Inginerie se prezintă după următoarea secvenţă: scurtă introducere, bazată pe elemente intuitive (mai ales modele), definiţii, enunţuri de teoreme, exemple ilustrative, grafic,  unele legate de cursurile de specialitate şi actualizate în acest sens. Strategii de predare: presupunerea apriorică, feedback-ul, asumarea de către studenţi a obiectivelor învăţării (scopul), sprijinirea pe cunoştinţele anterioare (conform teoriei schemelor a lui Piaget), transferul de cunoaştere, metoda scaffolding (a schelelor).</t>
  </si>
  <si>
    <t xml:space="preserve">2 ore </t>
  </si>
  <si>
    <t>2</t>
  </si>
  <si>
    <t xml:space="preserve">Funcţii complexe: limite, continuitate, monogeneitate, olomorfie, Teorema Cauchy-Riemann </t>
  </si>
  <si>
    <t>3</t>
  </si>
  <si>
    <t xml:space="preserve">Puncte ordinare şi puncte singulare. Funcţii elementare complexe de o variabilă complexă: olomorfie şi calcul </t>
  </si>
  <si>
    <t>4</t>
  </si>
  <si>
    <t>Integrala complexă. Teoreme Cauchy</t>
  </si>
  <si>
    <t>5</t>
  </si>
  <si>
    <t xml:space="preserve">Seria de puteri în C. Seria geometrică. Serii Taylor. Serii Laurent. 
Teoria reziduurilor </t>
  </si>
  <si>
    <t>6</t>
  </si>
  <si>
    <t>Ecuaţii diferenţiale: introducere</t>
  </si>
  <si>
    <t>1 oră</t>
  </si>
  <si>
    <t>7</t>
  </si>
  <si>
    <t xml:space="preserve">Ecuaţii diferenţiale rezolvabile prin cuadraturi, Problema Cauchy: ecuaţii diferenţiale cu variabile separabile, ecuaţii diferenţiale omogene, ecuaţii diferenţiale cu diferenţială exactă, ecuaţii diferenţiale liniare de ordinul întâi </t>
  </si>
  <si>
    <t>4 ore</t>
  </si>
  <si>
    <t>8</t>
  </si>
  <si>
    <t xml:space="preserve">Ecuaţii diferenţiale liniare de ordinul n cu coeficienţi constanţi, omogene şi neomogene. Metoda variaţiei constantelor. Metoda coeficienţilor nedeterminaţi. Problema Cauchy </t>
  </si>
  <si>
    <t>3 ore</t>
  </si>
  <si>
    <t>9</t>
  </si>
  <si>
    <t xml:space="preserve">Sisteme de n ecuaţii diferenţiale liniare de ordinul 1 cu n necunoscute, cu coeficienţi constanţi. Metoda variaţiei constantelor. Metoda coeficienţilor nedeterminaţi. Problema Cauchy. Stabilitate </t>
  </si>
  <si>
    <t>2 ore</t>
  </si>
  <si>
    <t>10</t>
  </si>
  <si>
    <t xml:space="preserve">Transformata Laplace. Definiţii, proprietăţi. Metode operaţionale </t>
  </si>
  <si>
    <t>11</t>
  </si>
  <si>
    <t>Serii Fourier</t>
  </si>
  <si>
    <t>12</t>
  </si>
  <si>
    <t>Transformata Fourier. Definiţii, proprietăţi. Metode operaţionale</t>
  </si>
  <si>
    <t>13</t>
  </si>
  <si>
    <t>14</t>
  </si>
  <si>
    <r>
      <rPr>
        <sz val="12"/>
        <rFont val="Arial"/>
      </rPr>
      <t xml:space="preserve">Bibliografie curs:
1. Resurse internet: </t>
    </r>
    <r>
      <rPr>
        <u/>
        <sz val="12"/>
        <color rgb="FF1155CC"/>
        <rFont val="Arial"/>
      </rPr>
      <t>http://math.etti.tuiasi.ro/ggrosu/</t>
    </r>
    <r>
      <rPr>
        <sz val="12"/>
        <rFont val="Arial"/>
      </rPr>
      <t xml:space="preserve">   şi materiale în format electronic disponibile pe moodle, email.
2. Physics Videos by Eugene Khutoryansky: </t>
    </r>
    <r>
      <rPr>
        <u/>
        <sz val="12"/>
        <color rgb="FF1155CC"/>
        <rFont val="Arial"/>
      </rPr>
      <t>https://www.youtube.com/user/EugeneKhutoryansky</t>
    </r>
    <r>
      <rPr>
        <sz val="12"/>
        <rFont val="Arial"/>
      </rPr>
      <t xml:space="preserve">  ; 3Blue1Brown: </t>
    </r>
    <r>
      <rPr>
        <u/>
        <sz val="12"/>
        <color rgb="FF1155CC"/>
        <rFont val="Arial"/>
      </rPr>
      <t>https://www.youtube.com/c/3blue1brown</t>
    </r>
    <r>
      <rPr>
        <sz val="12"/>
        <rFont val="Arial"/>
      </rPr>
      <t xml:space="preserve"> 
3. Erwin Kreyszig, Advanced Engineering Mathematics, John Wiley &amp; Sons Inc, 2011 
4. J. Stewart, Calculus, Brooks/Cole, 2011
5. J. Bird, Higher Engineering Mathematics, Elsevier, 2006
6. M. Attenborough, Mathematics for Electrical Engineering and Computing, Elsevier, 2003
7. B. Cox, Understanding Engineering Mathematics, Elsevier, 2001
8. M. Greenberg, Advanced Engineering Mathematics, Prentice Hall, 1998
9. V. Rudner, C. Nicolescu, Probleme de matematici speciale, Editura Didactică şi Pedagogică, Bucureşti, 1992
10. Dumitriu N., Matematici Speciale, Editura Matrix Rom, Bucureşti, 2002
11. Nistor S., Tofan I., Introducere în teoria funcţiilor complexe, Editura Univ. "Al. I. Cuza", Iaşi 1990.
12. Homentcovschi D., Funcţii complexe cu aplicaţii în ştiinţă şi tehnică, Editura Tehnică, Bucureşti, 1986
13. Mayer O., Teoria funcţiilor de o variabilă complexă, Editura Academiei, Bucureşti, 1981, 1990
14. R. Trandafir: Matematici superioare, Editura FACLA, Timişoara, 1976
</t>
    </r>
  </si>
  <si>
    <t>9.2a Seminar</t>
  </si>
  <si>
    <t>Metode de lucru</t>
  </si>
  <si>
    <t xml:space="preserve"> Aplicaţiile se desfăşoară în concordanţă cronologică şi de conţinut cu materialul prezentat în cadrul prelegerilor. 
  Conform conţinutului prezentat şi evoluţiei disciplinei, precum şi în concordanţă cu caracteristicile studenţilor şi cu cerinţele de calitate, seminariile se desfăşoară după următoarea secvenţă: prezentarea orală şi scrisă (la tablă), precum şi cu videoproiector a noţiunilor şi enunţurilor de teoreme, în colaborare cu studenţii, efectuarea corespunzătoare de exerciţii şi probleme la tablă. Vor fi inserate şi modele matematice / grafice, interpretări grafice prezentate cu videoproiectorul. 
   Strategii de predare-învăţare: pe lângă cele enumerate la curs, poate apărea metoda mozaicului (jigsaw method), instruirea mutuală (peer instruction), practica deliberată (deliberate practice).</t>
  </si>
  <si>
    <t>5 ore</t>
  </si>
  <si>
    <t>6 ore</t>
  </si>
  <si>
    <t>9.2b Laborator</t>
  </si>
  <si>
    <t>9.2c Proiect</t>
  </si>
  <si>
    <r>
      <rPr>
        <sz val="12"/>
        <rFont val="Arial"/>
      </rPr>
      <t xml:space="preserve">Bibliografie aplicaţii (seminar / laborator / proiect):
1. Resurse internet: </t>
    </r>
    <r>
      <rPr>
        <u/>
        <sz val="12"/>
        <color rgb="FF1155CC"/>
        <rFont val="Arial"/>
      </rPr>
      <t>http://math.etti.tuiasi.ro/ggrosu/</t>
    </r>
    <r>
      <rPr>
        <sz val="12"/>
        <rFont val="Arial"/>
      </rPr>
      <t xml:space="preserve">    şi materiale în format electronic disponibile pe moodle, email.
2. Physics Videos by Eugene Khutoryansky: </t>
    </r>
    <r>
      <rPr>
        <u/>
        <sz val="12"/>
        <color rgb="FF1155CC"/>
        <rFont val="Arial"/>
      </rPr>
      <t>https://www.youtube.com/user/EugeneKhutoryansky</t>
    </r>
    <r>
      <rPr>
        <sz val="12"/>
        <rFont val="Arial"/>
      </rPr>
      <t xml:space="preserve">    ; 3Blue1Brown: </t>
    </r>
    <r>
      <rPr>
        <u/>
        <sz val="12"/>
        <color rgb="FF1155CC"/>
        <rFont val="Arial"/>
      </rPr>
      <t>https://www.youtube.com/c/3blue1brown</t>
    </r>
    <r>
      <rPr>
        <sz val="12"/>
        <rFont val="Arial"/>
      </rPr>
      <t xml:space="preserve">  
3. Erwin Kreyszig, Advanced Engineering Mathematics, John Wiley &amp; Sons Inc, 2011 
4. J. Stewart, Calculus, Brooks/Cole, 2011
5. J. Bird, Higher Engineering Mathematics, Elsevier, 2006
6. M. Attenborough, Mathematics for Electrical Engineering and Computing, Elsevier, 2003
7. B. Cox, Understanding Engineering Mathematics, Elsevier, 2001
8. M. Greenberg, Advanced Engineering Mathematics, Prentice Hall, 1998
9. V. Rudner, C. Nicolescu, Probleme de matematici speciale, Editura Didactică şi Pedagogică, Bucureşti, 1992
10. Dumitriu N., Matematici Speciale, Editura Matrix Rom, Bucureşti, 2002
 </t>
    </r>
  </si>
  <si>
    <t>10. Evaluare</t>
  </si>
  <si>
    <t>Tip activitate</t>
  </si>
  <si>
    <t>10.1 Criterii de evaluare</t>
  </si>
  <si>
    <t>10.2 Metode de evaluare</t>
  </si>
  <si>
    <t>10.3 Pondere din nota finală [%]</t>
  </si>
  <si>
    <t>10.4 Examen / Verificare</t>
  </si>
  <si>
    <t>Completitudinea şi corectitudinea cunoştinţelor. 
Capacitatea de analiză, de interpretare personală, originalitatea, creativitatea. 
Gradul de asimilare a limbajului matematic şi capacitatea de comunicare.
Capacitatea de a rezolva probleme inginerești.</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</si>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</sst>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1.xlsx" TargetMode="External"/><Relationship Id="rId1" Type="http://schemas.openxmlformats.org/officeDocument/2006/relationships/externalLinkPath" Target="/Users/Madalin/Downloads/FD%20AIA%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ALGA"/>
      <sheetName val="AM"/>
      <sheetName val="PC I"/>
      <sheetName val="FIZ"/>
      <sheetName val="BFC"/>
      <sheetName val="SP I"/>
      <sheetName val="MAI"/>
      <sheetName val="SPD"/>
      <sheetName val="DCE"/>
      <sheetName val="PC II"/>
      <sheetName val="ETH"/>
      <sheetName val="SP II"/>
      <sheetName val="CM I"/>
      <sheetName val="CM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Anul universitar: 2025-2026</v>
          </cell>
        </row>
        <row r="2">
          <cell r="B2" t="str">
            <v>Automatică, Informatică Aplicată și Sisteme Inteligente</v>
          </cell>
        </row>
        <row r="3">
          <cell r="B3" t="str">
            <v>Licență</v>
          </cell>
        </row>
        <row r="4">
          <cell r="B4">
            <v>1</v>
          </cell>
        </row>
        <row r="5">
          <cell r="C5" t="str">
            <v>Automatică și Informatică Aplicată</v>
          </cell>
        </row>
        <row r="8">
          <cell r="A8">
            <v>1</v>
          </cell>
          <cell r="C8" t="str">
            <v>Algebră liniară și geometrie analitică</v>
          </cell>
          <cell r="D8" t="str">
            <v xml:space="preserve">Linear Algebra and Analytic Geometry  </v>
          </cell>
          <cell r="E8" t="str">
            <v>AIA.ALGA.101</v>
          </cell>
          <cell r="F8" t="str">
            <v>DOB</v>
          </cell>
          <cell r="G8" t="str">
            <v>DF</v>
          </cell>
          <cell r="H8">
            <v>2</v>
          </cell>
          <cell r="I8">
            <v>3</v>
          </cell>
          <cell r="J8">
            <v>0</v>
          </cell>
          <cell r="K8">
            <v>0</v>
          </cell>
          <cell r="L8">
            <v>89</v>
          </cell>
          <cell r="M8" t="str">
            <v>E</v>
          </cell>
          <cell r="N8">
            <v>6</v>
          </cell>
        </row>
        <row r="9">
          <cell r="A9">
            <v>1</v>
          </cell>
          <cell r="C9" t="str">
            <v>Analiză matematică</v>
          </cell>
          <cell r="D9" t="str">
            <v>Calculus</v>
          </cell>
          <cell r="E9" t="str">
            <v>AIA.AM.102</v>
          </cell>
          <cell r="F9" t="str">
            <v>DOB</v>
          </cell>
          <cell r="G9" t="str">
            <v>DF</v>
          </cell>
          <cell r="H9">
            <v>2</v>
          </cell>
          <cell r="I9">
            <v>3</v>
          </cell>
          <cell r="J9">
            <v>0</v>
          </cell>
          <cell r="K9">
            <v>0</v>
          </cell>
          <cell r="L9">
            <v>89</v>
          </cell>
          <cell r="M9" t="str">
            <v>E</v>
          </cell>
          <cell r="N9">
            <v>6</v>
          </cell>
        </row>
        <row r="10">
          <cell r="A10">
            <v>1</v>
          </cell>
          <cell r="C10" t="str">
            <v>Programarea calculatoarelor I</v>
          </cell>
          <cell r="D10" t="str">
            <v>Computer Programming I</v>
          </cell>
          <cell r="E10" t="str">
            <v>AIA.PCI.103</v>
          </cell>
          <cell r="F10" t="str">
            <v>DOB</v>
          </cell>
          <cell r="G10" t="str">
            <v>DF</v>
          </cell>
          <cell r="H10">
            <v>2</v>
          </cell>
          <cell r="I10">
            <v>0</v>
          </cell>
          <cell r="J10">
            <v>3</v>
          </cell>
          <cell r="K10">
            <v>0</v>
          </cell>
          <cell r="L10">
            <v>89</v>
          </cell>
          <cell r="M10" t="str">
            <v>E</v>
          </cell>
          <cell r="N10">
            <v>6</v>
          </cell>
        </row>
        <row r="11">
          <cell r="A11">
            <v>1</v>
          </cell>
          <cell r="C11" t="str">
            <v>Fizică</v>
          </cell>
          <cell r="D11" t="str">
            <v>Physics</v>
          </cell>
          <cell r="E11" t="str">
            <v>AIA.FIZ.104</v>
          </cell>
          <cell r="F11" t="str">
            <v>DOB</v>
          </cell>
          <cell r="G11" t="str">
            <v>DF</v>
          </cell>
          <cell r="H11">
            <v>2</v>
          </cell>
          <cell r="I11">
            <v>1</v>
          </cell>
          <cell r="J11">
            <v>2</v>
          </cell>
          <cell r="K11">
            <v>0</v>
          </cell>
          <cell r="L11">
            <v>65</v>
          </cell>
          <cell r="M11" t="str">
            <v>V</v>
          </cell>
          <cell r="N11">
            <v>5</v>
          </cell>
        </row>
        <row r="12">
          <cell r="A12">
            <v>1</v>
          </cell>
          <cell r="C12" t="str">
            <v>Bazele funcționării calculatoarelor</v>
          </cell>
          <cell r="D12" t="str">
            <v>Fundamentals of Computer Operation</v>
          </cell>
          <cell r="E12" t="str">
            <v>AIA.BFC.105</v>
          </cell>
          <cell r="F12" t="str">
            <v>DOB</v>
          </cell>
          <cell r="G12" t="str">
            <v>DF</v>
          </cell>
          <cell r="H12">
            <v>2</v>
          </cell>
          <cell r="I12">
            <v>0</v>
          </cell>
          <cell r="J12">
            <v>2</v>
          </cell>
          <cell r="K12">
            <v>0</v>
          </cell>
          <cell r="L12">
            <v>79</v>
          </cell>
          <cell r="M12" t="str">
            <v>V</v>
          </cell>
          <cell r="N12">
            <v>5</v>
          </cell>
        </row>
        <row r="13">
          <cell r="A13">
            <v>1</v>
          </cell>
          <cell r="C13" t="str">
            <v>Sport I</v>
          </cell>
          <cell r="D13" t="str">
            <v>Physical Training I</v>
          </cell>
          <cell r="E13" t="str">
            <v>AIA.SPI.106</v>
          </cell>
          <cell r="F13" t="str">
            <v>DOB</v>
          </cell>
          <cell r="G13" t="str">
            <v>DC</v>
          </cell>
          <cell r="H13">
            <v>0</v>
          </cell>
          <cell r="I13">
            <v>2</v>
          </cell>
          <cell r="J13">
            <v>0</v>
          </cell>
          <cell r="K13">
            <v>0</v>
          </cell>
          <cell r="L13">
            <v>26</v>
          </cell>
          <cell r="M13" t="str">
            <v>V
(A/R)</v>
          </cell>
          <cell r="N13">
            <v>2</v>
          </cell>
        </row>
        <row r="14">
          <cell r="A14">
            <v>2</v>
          </cell>
          <cell r="C14" t="str">
            <v>Matematici aplicate în inginerie</v>
          </cell>
          <cell r="D14" t="str">
            <v>Applied Mathematics in Engineering</v>
          </cell>
          <cell r="E14" t="str">
            <v>AIA.EDCO.107</v>
          </cell>
          <cell r="F14" t="str">
            <v>DOB</v>
          </cell>
          <cell r="G14" t="str">
            <v>DF</v>
          </cell>
          <cell r="H14">
            <v>2</v>
          </cell>
          <cell r="I14">
            <v>3</v>
          </cell>
          <cell r="J14">
            <v>0</v>
          </cell>
          <cell r="K14">
            <v>0</v>
          </cell>
          <cell r="L14">
            <v>89</v>
          </cell>
          <cell r="M14" t="str">
            <v>E</v>
          </cell>
          <cell r="N14">
            <v>6</v>
          </cell>
        </row>
        <row r="15">
          <cell r="A15">
            <v>2</v>
          </cell>
          <cell r="C15" t="str">
            <v>Statistică și prelucrarea datelor</v>
          </cell>
          <cell r="D15" t="str">
            <v>Statistics and Data Processing</v>
          </cell>
          <cell r="E15" t="str">
            <v>AIA.SPD.108</v>
          </cell>
          <cell r="F15" t="str">
            <v>DOB</v>
          </cell>
          <cell r="G15" t="str">
            <v>DF</v>
          </cell>
          <cell r="H15">
            <v>2</v>
          </cell>
          <cell r="I15">
            <v>0</v>
          </cell>
          <cell r="J15">
            <v>2</v>
          </cell>
          <cell r="K15">
            <v>0</v>
          </cell>
          <cell r="L15">
            <v>79</v>
          </cell>
          <cell r="M15" t="str">
            <v>V</v>
          </cell>
          <cell r="N15">
            <v>5</v>
          </cell>
        </row>
        <row r="16">
          <cell r="A16">
            <v>2</v>
          </cell>
          <cell r="C16" t="str">
            <v>Dispozitive și circuite electronice</v>
          </cell>
          <cell r="D16" t="str">
            <v>Electronic Devices and Circuits</v>
          </cell>
          <cell r="E16" t="str">
            <v>AIA.DCE.109</v>
          </cell>
          <cell r="F16" t="str">
            <v>DOB</v>
          </cell>
          <cell r="G16" t="str">
            <v>DF</v>
          </cell>
          <cell r="H16">
            <v>2</v>
          </cell>
          <cell r="I16">
            <v>0</v>
          </cell>
          <cell r="J16">
            <v>3</v>
          </cell>
          <cell r="K16">
            <v>0</v>
          </cell>
          <cell r="L16">
            <v>62</v>
          </cell>
          <cell r="M16" t="str">
            <v>E</v>
          </cell>
          <cell r="N16">
            <v>5</v>
          </cell>
        </row>
        <row r="17">
          <cell r="A17">
            <v>2</v>
          </cell>
          <cell r="C17" t="str">
            <v>Programarea calculatoarelor II</v>
          </cell>
          <cell r="D17" t="str">
            <v>Computer Programming II</v>
          </cell>
          <cell r="E17" t="str">
            <v>AIA.PCII.110</v>
          </cell>
          <cell r="F17" t="str">
            <v>DOB</v>
          </cell>
          <cell r="G17" t="str">
            <v>DF</v>
          </cell>
          <cell r="H17">
            <v>2</v>
          </cell>
          <cell r="I17">
            <v>0</v>
          </cell>
          <cell r="J17">
            <v>3</v>
          </cell>
          <cell r="K17">
            <v>0</v>
          </cell>
          <cell r="L17">
            <v>89</v>
          </cell>
          <cell r="M17" t="str">
            <v>E</v>
          </cell>
          <cell r="N17">
            <v>6</v>
          </cell>
        </row>
        <row r="18">
          <cell r="A18">
            <v>2</v>
          </cell>
          <cell r="C18" t="str">
            <v>Electrotehnică</v>
          </cell>
          <cell r="D18" t="str">
            <v xml:space="preserve">Fundamentals of Electrical Engineering </v>
          </cell>
          <cell r="E18" t="str">
            <v>AIA.ETH.111</v>
          </cell>
          <cell r="F18" t="str">
            <v>DOB</v>
          </cell>
          <cell r="G18" t="str">
            <v>DF</v>
          </cell>
          <cell r="H18">
            <v>2</v>
          </cell>
          <cell r="I18">
            <v>1</v>
          </cell>
          <cell r="J18">
            <v>2</v>
          </cell>
          <cell r="K18">
            <v>0</v>
          </cell>
          <cell r="L18">
            <v>89</v>
          </cell>
          <cell r="M18" t="str">
            <v>E</v>
          </cell>
          <cell r="N18">
            <v>6</v>
          </cell>
        </row>
        <row r="19">
          <cell r="A19">
            <v>2</v>
          </cell>
          <cell r="C19" t="str">
            <v>Sport II</v>
          </cell>
          <cell r="D19" t="str">
            <v>Physical Training II</v>
          </cell>
          <cell r="E19" t="str">
            <v>AIA.SPII.112</v>
          </cell>
          <cell r="F19" t="str">
            <v>DOB</v>
          </cell>
          <cell r="G19" t="str">
            <v>DC</v>
          </cell>
          <cell r="H19">
            <v>0</v>
          </cell>
          <cell r="I19">
            <v>2</v>
          </cell>
          <cell r="J19">
            <v>0</v>
          </cell>
          <cell r="K19">
            <v>0</v>
          </cell>
          <cell r="L19">
            <v>26</v>
          </cell>
          <cell r="M19" t="str">
            <v>V
(A/R)</v>
          </cell>
          <cell r="N19">
            <v>2</v>
          </cell>
        </row>
        <row r="20">
          <cell r="A20">
            <v>1</v>
          </cell>
          <cell r="C20" t="str">
            <v>Complemente de matematică I</v>
          </cell>
          <cell r="D20" t="str">
            <v>Mathematical Supplements I</v>
          </cell>
          <cell r="E20" t="str">
            <v>AIA.CMI.113</v>
          </cell>
          <cell r="F20" t="str">
            <v>DFA</v>
          </cell>
          <cell r="G20" t="str">
            <v>DF</v>
          </cell>
          <cell r="H20">
            <v>2</v>
          </cell>
          <cell r="I20">
            <v>0</v>
          </cell>
          <cell r="J20">
            <v>0</v>
          </cell>
          <cell r="K20">
            <v>0</v>
          </cell>
          <cell r="L20">
            <v>53</v>
          </cell>
          <cell r="M20" t="str">
            <v>V</v>
          </cell>
          <cell r="N20">
            <v>3</v>
          </cell>
        </row>
        <row r="21">
          <cell r="A21">
            <v>2</v>
          </cell>
          <cell r="C21" t="str">
            <v>Complemente de matematică II</v>
          </cell>
          <cell r="D21" t="str">
            <v>Mathematical Supplements II</v>
          </cell>
          <cell r="E21" t="str">
            <v>AIA.CMII.114</v>
          </cell>
          <cell r="F21" t="str">
            <v>DFA</v>
          </cell>
          <cell r="G21" t="str">
            <v>DF</v>
          </cell>
          <cell r="H21">
            <v>2</v>
          </cell>
          <cell r="I21">
            <v>0</v>
          </cell>
          <cell r="J21">
            <v>0</v>
          </cell>
          <cell r="K21">
            <v>0</v>
          </cell>
          <cell r="L21">
            <v>53</v>
          </cell>
          <cell r="M21" t="str">
            <v>V</v>
          </cell>
          <cell r="N21">
            <v>3</v>
          </cell>
        </row>
        <row r="25">
          <cell r="C25">
            <v>45915</v>
          </cell>
        </row>
        <row r="26">
          <cell r="C26">
            <v>45918</v>
          </cell>
        </row>
        <row r="27">
          <cell r="C27" t="str">
            <v>Conf.dr.ing. Mihai POSTOLACHE</v>
          </cell>
        </row>
        <row r="28">
          <cell r="C2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math.etti.tuiasi.ro/ggrosu/" TargetMode="External"/><Relationship Id="rId1" Type="http://schemas.openxmlformats.org/officeDocument/2006/relationships/hyperlink" Target="http://math.etti.tuiasi.ro/ggrosu/"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7F7DE-D42E-4FEA-8F7F-53E62BDB15F9}">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Automatică, Informatică Aplicată și Sisteme Inteligente</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Applied Mathematics in Engineering</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AIA.EDCO.107</v>
      </c>
      <c r="F14" s="18"/>
      <c r="G14" s="18"/>
      <c r="H14" s="18"/>
      <c r="I14" s="7" t="s">
        <v>16</v>
      </c>
      <c r="J14" s="8"/>
      <c r="K14" s="8"/>
      <c r="L14" s="10"/>
      <c r="M14" s="22" t="str">
        <f t="array" aca="1" ref="M14" ca="1">INDEX([1]Date!G8:G21, MATCH(E12,[1]Date!C8:C21,0),0)</f>
        <v>DF</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t="s">
        <v>19</v>
      </c>
      <c r="F16" s="8"/>
      <c r="G16" s="8"/>
      <c r="H16" s="8"/>
      <c r="I16" s="8"/>
      <c r="J16" s="8"/>
      <c r="K16" s="8"/>
      <c r="L16" s="8"/>
      <c r="M16" s="10"/>
      <c r="N16" s="5"/>
    </row>
    <row r="17" spans="1:14" ht="15.5" x14ac:dyDescent="0.35">
      <c r="A17" s="13" t="s">
        <v>20</v>
      </c>
      <c r="B17" s="14"/>
      <c r="C17" s="14"/>
      <c r="D17" s="15"/>
      <c r="E17" s="23" t="s">
        <v>18</v>
      </c>
      <c r="F17" s="8"/>
      <c r="G17" s="8"/>
      <c r="H17" s="8"/>
      <c r="I17" s="8"/>
      <c r="J17" s="8"/>
      <c r="K17" s="8"/>
      <c r="L17" s="8"/>
      <c r="M17" s="10"/>
      <c r="N17" s="5"/>
    </row>
    <row r="18" spans="1:14" ht="15.5" x14ac:dyDescent="0.35">
      <c r="A18" s="25"/>
      <c r="B18" s="2"/>
      <c r="C18" s="2"/>
      <c r="D18" s="26"/>
      <c r="E18" s="23" t="s">
        <v>19</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1</v>
      </c>
      <c r="D23" s="28" t="s">
        <v>22</v>
      </c>
      <c r="E23" s="27">
        <f t="array" aca="1" ref="E23" ca="1">INDEX([1]Date!A8:A21, MATCH(E12,[1]Date!C8:C21,0),0)</f>
        <v>2</v>
      </c>
      <c r="F23" s="29" t="s">
        <v>23</v>
      </c>
      <c r="G23" s="8"/>
      <c r="H23" s="10"/>
      <c r="I23" s="22" t="str">
        <f t="array" aca="1" ref="I23" ca="1">INDEX([1]Date!M8:M21, MATCH(E12,[1]Date!C8:C21,0),0)</f>
        <v>E</v>
      </c>
      <c r="J23" s="29" t="s">
        <v>24</v>
      </c>
      <c r="K23" s="8"/>
      <c r="L23" s="10"/>
      <c r="M23" s="27" t="str">
        <f t="array" aca="1" ref="M23" ca="1">INDEX([1]Date!F8:F21, MATCH(E12,[1]Date!C8:C21,0),0)</f>
        <v>DOB</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27">
        <f ca="1">SUM(E26+G26+I26+K26)</f>
        <v>5</v>
      </c>
      <c r="D26" s="28" t="s">
        <v>27</v>
      </c>
      <c r="E26" s="27">
        <f t="array" aca="1" ref="E26" ca="1">INDEX([1]Date!H8:H21, MATCH(E12,[1]Date!C8:C21,0),0)</f>
        <v>2</v>
      </c>
      <c r="F26" s="28" t="s">
        <v>28</v>
      </c>
      <c r="G26" s="27">
        <f t="array" aca="1" ref="G26" ca="1">INDEX([1]Date!I8:I21, MATCH(E12,[1]Date!C8:C21,0),0)</f>
        <v>3</v>
      </c>
      <c r="H26" s="28" t="s">
        <v>29</v>
      </c>
      <c r="I26" s="27">
        <f t="array" aca="1" ref="I26" ca="1">INDEX([1]Date!J8:J21, MATCH(E12,[1]Date!C8:C21,0),0)</f>
        <v>0</v>
      </c>
      <c r="J26" s="28" t="s">
        <v>30</v>
      </c>
      <c r="K26" s="27">
        <f t="array" aca="1" ref="K26" ca="1">INDEX([1]Date!K8:K21, MATCH(E12,[1]Date!C8:C21,0),0)</f>
        <v>0</v>
      </c>
      <c r="L26" s="7" t="s">
        <v>31</v>
      </c>
      <c r="M26" s="10"/>
      <c r="N26" s="30"/>
    </row>
    <row r="27" spans="1:14" ht="31" x14ac:dyDescent="0.35">
      <c r="A27" s="7" t="s">
        <v>32</v>
      </c>
      <c r="B27" s="10"/>
      <c r="C27" s="27">
        <f ca="1">C26*14</f>
        <v>70</v>
      </c>
      <c r="D27" s="28" t="s">
        <v>33</v>
      </c>
      <c r="E27" s="27">
        <f ca="1">E26*14</f>
        <v>28</v>
      </c>
      <c r="F27" s="28" t="s">
        <v>34</v>
      </c>
      <c r="G27" s="27">
        <f ca="1">G26*14</f>
        <v>42</v>
      </c>
      <c r="H27" s="28" t="s">
        <v>35</v>
      </c>
      <c r="I27" s="27">
        <f ca="1">I26*14</f>
        <v>0</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1">
        <v>28</v>
      </c>
      <c r="N29" s="5"/>
    </row>
    <row r="30" spans="1:14" ht="15.5" x14ac:dyDescent="0.35">
      <c r="A30" s="7" t="s">
        <v>41</v>
      </c>
      <c r="B30" s="8"/>
      <c r="C30" s="8"/>
      <c r="D30" s="8"/>
      <c r="E30" s="8"/>
      <c r="F30" s="8"/>
      <c r="G30" s="8"/>
      <c r="H30" s="8"/>
      <c r="I30" s="8"/>
      <c r="J30" s="8"/>
      <c r="K30" s="8"/>
      <c r="L30" s="10"/>
      <c r="M30" s="31">
        <v>30</v>
      </c>
      <c r="N30" s="5"/>
    </row>
    <row r="31" spans="1:14" ht="15.5" x14ac:dyDescent="0.35">
      <c r="A31" s="7" t="s">
        <v>42</v>
      </c>
      <c r="B31" s="8"/>
      <c r="C31" s="8"/>
      <c r="D31" s="8"/>
      <c r="E31" s="8"/>
      <c r="F31" s="8"/>
      <c r="G31" s="8"/>
      <c r="H31" s="8"/>
      <c r="I31" s="8"/>
      <c r="J31" s="8"/>
      <c r="K31" s="8"/>
      <c r="L31" s="10"/>
      <c r="M31" s="31">
        <v>31</v>
      </c>
      <c r="N31" s="5"/>
    </row>
    <row r="32" spans="1:14" ht="15.5" x14ac:dyDescent="0.35">
      <c r="A32" s="7" t="s">
        <v>43</v>
      </c>
      <c r="B32" s="8"/>
      <c r="C32" s="8"/>
      <c r="D32" s="8"/>
      <c r="E32" s="8"/>
      <c r="F32" s="8"/>
      <c r="G32" s="8"/>
      <c r="H32" s="8"/>
      <c r="I32" s="8"/>
      <c r="J32" s="8"/>
      <c r="K32" s="8"/>
      <c r="L32" s="10"/>
      <c r="M32" s="27">
        <f t="array" aca="1" ref="M32" ca="1">IF(INDEX([1]Date!M8:M21, MATCH(E12,[1]Date!C8:C21,0),0)="E",3,0)</f>
        <v>3</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INDEX([1]Date!L8:L21, MATCH(E12,[1]Date!C8:C21,0),0)</f>
        <v>89</v>
      </c>
      <c r="D34" s="5"/>
      <c r="E34" s="5"/>
      <c r="F34" s="5"/>
      <c r="G34" s="5"/>
      <c r="H34" s="5"/>
      <c r="I34" s="5"/>
      <c r="J34" s="5"/>
      <c r="K34" s="5"/>
      <c r="L34" s="5"/>
      <c r="M34" s="5"/>
      <c r="N34" s="5"/>
    </row>
    <row r="35" spans="1:14" ht="15.5" x14ac:dyDescent="0.35">
      <c r="A35" s="7" t="s">
        <v>46</v>
      </c>
      <c r="B35" s="10"/>
      <c r="C35" s="27">
        <f ca="1">C27+M32+C34</f>
        <v>162</v>
      </c>
      <c r="D35" s="5"/>
      <c r="E35" s="5"/>
      <c r="F35" s="5"/>
      <c r="G35" s="5"/>
      <c r="H35" s="5"/>
      <c r="I35" s="5"/>
      <c r="J35" s="5"/>
      <c r="K35" s="5"/>
      <c r="L35" s="5"/>
      <c r="M35" s="5"/>
      <c r="N35" s="5"/>
    </row>
    <row r="36" spans="1:14" ht="15.5" x14ac:dyDescent="0.35">
      <c r="A36" s="7" t="s">
        <v>47</v>
      </c>
      <c r="B36" s="10"/>
      <c r="C36" s="27">
        <f t="array" aca="1" ref="C36" ca="1">INDEX([1]Date!N8:N21, MATCH(E12,[1]Date!C8:C21,0),0)</f>
        <v>6</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t="s">
        <v>52</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53</v>
      </c>
      <c r="B42" s="2"/>
      <c r="C42" s="2"/>
      <c r="D42" s="2"/>
      <c r="E42" s="2"/>
      <c r="F42" s="2"/>
      <c r="G42" s="2"/>
      <c r="H42" s="2"/>
      <c r="I42" s="2"/>
      <c r="J42" s="2"/>
      <c r="K42" s="2"/>
      <c r="L42" s="2"/>
      <c r="M42" s="2"/>
      <c r="N42" s="30"/>
    </row>
    <row r="43" spans="1:14" ht="15.5" x14ac:dyDescent="0.35">
      <c r="A43" s="7" t="s">
        <v>54</v>
      </c>
      <c r="B43" s="10"/>
      <c r="C43" s="23" t="s">
        <v>55</v>
      </c>
      <c r="D43" s="8"/>
      <c r="E43" s="8"/>
      <c r="F43" s="8"/>
      <c r="G43" s="8"/>
      <c r="H43" s="8"/>
      <c r="I43" s="8"/>
      <c r="J43" s="8"/>
      <c r="K43" s="8"/>
      <c r="L43" s="8"/>
      <c r="M43" s="10"/>
      <c r="N43" s="30"/>
    </row>
    <row r="44" spans="1:14" ht="15.5" x14ac:dyDescent="0.35">
      <c r="A44" s="7" t="s">
        <v>56</v>
      </c>
      <c r="B44" s="10"/>
      <c r="C44" s="23" t="s">
        <v>57</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58</v>
      </c>
      <c r="B46" s="2"/>
      <c r="C46" s="2"/>
      <c r="D46" s="2"/>
      <c r="E46" s="2"/>
      <c r="F46" s="2"/>
      <c r="G46" s="2"/>
      <c r="H46" s="2"/>
      <c r="I46" s="2"/>
      <c r="J46" s="2"/>
      <c r="K46" s="2"/>
      <c r="L46" s="2"/>
      <c r="M46" s="2"/>
      <c r="N46" s="30"/>
    </row>
    <row r="47" spans="1:14" ht="62.25" customHeight="1" x14ac:dyDescent="0.35">
      <c r="A47" s="23" t="s">
        <v>59</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60</v>
      </c>
      <c r="B49" s="2"/>
      <c r="C49" s="2"/>
      <c r="D49" s="2"/>
      <c r="E49" s="2"/>
      <c r="F49" s="2"/>
      <c r="G49" s="2"/>
      <c r="H49" s="2"/>
      <c r="I49" s="2"/>
      <c r="J49" s="2"/>
      <c r="K49" s="2"/>
      <c r="L49" s="2"/>
      <c r="M49" s="2"/>
      <c r="N49" s="30"/>
    </row>
    <row r="50" spans="1:14" ht="15.5" x14ac:dyDescent="0.35">
      <c r="A50" s="32" t="s">
        <v>61</v>
      </c>
      <c r="B50" s="33" t="s">
        <v>62</v>
      </c>
      <c r="C50" s="8"/>
      <c r="D50" s="8"/>
      <c r="E50" s="8"/>
      <c r="F50" s="8"/>
      <c r="G50" s="8"/>
      <c r="H50" s="8"/>
      <c r="I50" s="8"/>
      <c r="J50" s="8"/>
      <c r="K50" s="8"/>
      <c r="L50" s="8"/>
      <c r="M50" s="10"/>
      <c r="N50" s="5"/>
    </row>
    <row r="51" spans="1:14" ht="15.5" x14ac:dyDescent="0.35">
      <c r="A51" s="34"/>
      <c r="B51" s="35" t="s">
        <v>63</v>
      </c>
      <c r="C51" s="8"/>
      <c r="D51" s="8"/>
      <c r="E51" s="8"/>
      <c r="F51" s="8"/>
      <c r="G51" s="8"/>
      <c r="H51" s="8"/>
      <c r="I51" s="8"/>
      <c r="J51" s="8"/>
      <c r="K51" s="8"/>
      <c r="L51" s="8"/>
      <c r="M51" s="10"/>
      <c r="N51" s="5"/>
    </row>
    <row r="52" spans="1:14" ht="15.5" x14ac:dyDescent="0.35">
      <c r="A52" s="32" t="s">
        <v>64</v>
      </c>
      <c r="B52" s="33" t="s">
        <v>62</v>
      </c>
      <c r="C52" s="8"/>
      <c r="D52" s="8"/>
      <c r="E52" s="8"/>
      <c r="F52" s="8"/>
      <c r="G52" s="8"/>
      <c r="H52" s="8"/>
      <c r="I52" s="8"/>
      <c r="J52" s="8"/>
      <c r="K52" s="8"/>
      <c r="L52" s="8"/>
      <c r="M52" s="10"/>
      <c r="N52" s="5"/>
    </row>
    <row r="53" spans="1:14" ht="15.5" x14ac:dyDescent="0.35">
      <c r="A53" s="34"/>
      <c r="B53" s="35" t="s">
        <v>65</v>
      </c>
      <c r="C53" s="8"/>
      <c r="D53" s="8"/>
      <c r="E53" s="8"/>
      <c r="F53" s="8"/>
      <c r="G53" s="8"/>
      <c r="H53" s="8"/>
      <c r="I53" s="8"/>
      <c r="J53" s="8"/>
      <c r="K53" s="8"/>
      <c r="L53" s="8"/>
      <c r="M53" s="10"/>
      <c r="N53" s="5"/>
    </row>
    <row r="54" spans="1:14" ht="18" customHeight="1" x14ac:dyDescent="0.35">
      <c r="A54" s="32" t="s">
        <v>66</v>
      </c>
      <c r="B54" s="33" t="s">
        <v>62</v>
      </c>
      <c r="C54" s="8"/>
      <c r="D54" s="8"/>
      <c r="E54" s="8"/>
      <c r="F54" s="8"/>
      <c r="G54" s="8"/>
      <c r="H54" s="8"/>
      <c r="I54" s="8"/>
      <c r="J54" s="8"/>
      <c r="K54" s="8"/>
      <c r="L54" s="8"/>
      <c r="M54" s="10"/>
      <c r="N54" s="5"/>
    </row>
    <row r="55" spans="1:14" ht="15.5" x14ac:dyDescent="0.35">
      <c r="A55" s="34"/>
      <c r="B55" s="36" t="s">
        <v>67</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68</v>
      </c>
      <c r="B57" s="2"/>
      <c r="C57" s="2"/>
      <c r="D57" s="2"/>
      <c r="E57" s="2"/>
      <c r="F57" s="2"/>
      <c r="G57" s="2"/>
      <c r="H57" s="2"/>
      <c r="I57" s="2"/>
      <c r="J57" s="2"/>
      <c r="K57" s="2"/>
      <c r="L57" s="2"/>
      <c r="M57" s="2"/>
      <c r="N57" s="30"/>
    </row>
    <row r="58" spans="1:14" ht="15.5" x14ac:dyDescent="0.35">
      <c r="A58" s="23" t="s">
        <v>69</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70</v>
      </c>
      <c r="B60" s="2"/>
      <c r="C60" s="2"/>
      <c r="D60" s="2"/>
      <c r="E60" s="2"/>
      <c r="F60" s="2"/>
      <c r="G60" s="2"/>
      <c r="H60" s="2"/>
      <c r="I60" s="2"/>
      <c r="J60" s="2"/>
      <c r="K60" s="2"/>
      <c r="L60" s="2"/>
      <c r="M60" s="2"/>
      <c r="N60" s="30"/>
    </row>
    <row r="61" spans="1:14" ht="24.75" customHeight="1" x14ac:dyDescent="0.35">
      <c r="A61" s="37" t="s">
        <v>71</v>
      </c>
      <c r="B61" s="8"/>
      <c r="C61" s="8"/>
      <c r="D61" s="8"/>
      <c r="E61" s="8"/>
      <c r="F61" s="8"/>
      <c r="G61" s="10"/>
      <c r="H61" s="37" t="s">
        <v>72</v>
      </c>
      <c r="I61" s="8"/>
      <c r="J61" s="8"/>
      <c r="K61" s="10"/>
      <c r="L61" s="37" t="s">
        <v>73</v>
      </c>
      <c r="M61" s="10"/>
      <c r="N61" s="30"/>
    </row>
    <row r="62" spans="1:14" ht="15.5" x14ac:dyDescent="0.35">
      <c r="A62" s="38" t="s">
        <v>74</v>
      </c>
      <c r="B62" s="23" t="s">
        <v>75</v>
      </c>
      <c r="C62" s="8"/>
      <c r="D62" s="8"/>
      <c r="E62" s="8"/>
      <c r="F62" s="8"/>
      <c r="G62" s="10"/>
      <c r="H62" s="39" t="s">
        <v>76</v>
      </c>
      <c r="I62" s="14"/>
      <c r="J62" s="14"/>
      <c r="K62" s="15"/>
      <c r="L62" s="40" t="s">
        <v>77</v>
      </c>
      <c r="M62" s="10"/>
      <c r="N62" s="5"/>
    </row>
    <row r="63" spans="1:14" ht="15.5" x14ac:dyDescent="0.35">
      <c r="A63" s="38" t="s">
        <v>78</v>
      </c>
      <c r="B63" s="23" t="s">
        <v>79</v>
      </c>
      <c r="C63" s="8"/>
      <c r="D63" s="8"/>
      <c r="E63" s="8"/>
      <c r="F63" s="8"/>
      <c r="G63" s="10"/>
      <c r="H63" s="25"/>
      <c r="I63" s="2"/>
      <c r="J63" s="2"/>
      <c r="K63" s="26"/>
      <c r="L63" s="40" t="s">
        <v>77</v>
      </c>
      <c r="M63" s="10"/>
      <c r="N63" s="5"/>
    </row>
    <row r="64" spans="1:14" ht="15.5" x14ac:dyDescent="0.35">
      <c r="A64" s="38" t="s">
        <v>80</v>
      </c>
      <c r="B64" s="23" t="s">
        <v>81</v>
      </c>
      <c r="C64" s="8"/>
      <c r="D64" s="8"/>
      <c r="E64" s="8"/>
      <c r="F64" s="8"/>
      <c r="G64" s="10"/>
      <c r="H64" s="25"/>
      <c r="I64" s="2"/>
      <c r="J64" s="2"/>
      <c r="K64" s="26"/>
      <c r="L64" s="40" t="s">
        <v>77</v>
      </c>
      <c r="M64" s="10"/>
      <c r="N64" s="5"/>
    </row>
    <row r="65" spans="1:14" ht="15.5" x14ac:dyDescent="0.35">
      <c r="A65" s="38" t="s">
        <v>82</v>
      </c>
      <c r="B65" s="23" t="s">
        <v>83</v>
      </c>
      <c r="C65" s="8"/>
      <c r="D65" s="8"/>
      <c r="E65" s="8"/>
      <c r="F65" s="8"/>
      <c r="G65" s="10"/>
      <c r="H65" s="25"/>
      <c r="I65" s="2"/>
      <c r="J65" s="2"/>
      <c r="K65" s="26"/>
      <c r="L65" s="40" t="s">
        <v>77</v>
      </c>
      <c r="M65" s="10"/>
      <c r="N65" s="5"/>
    </row>
    <row r="66" spans="1:14" ht="15.5" x14ac:dyDescent="0.35">
      <c r="A66" s="38" t="s">
        <v>84</v>
      </c>
      <c r="B66" s="23" t="s">
        <v>85</v>
      </c>
      <c r="C66" s="8"/>
      <c r="D66" s="8"/>
      <c r="E66" s="8"/>
      <c r="F66" s="8"/>
      <c r="G66" s="10"/>
      <c r="H66" s="25"/>
      <c r="I66" s="2"/>
      <c r="J66" s="2"/>
      <c r="K66" s="26"/>
      <c r="L66" s="40" t="s">
        <v>77</v>
      </c>
      <c r="M66" s="10"/>
      <c r="N66" s="5"/>
    </row>
    <row r="67" spans="1:14" ht="15.5" x14ac:dyDescent="0.35">
      <c r="A67" s="38" t="s">
        <v>86</v>
      </c>
      <c r="B67" s="23" t="s">
        <v>87</v>
      </c>
      <c r="C67" s="8"/>
      <c r="D67" s="8"/>
      <c r="E67" s="8"/>
      <c r="F67" s="8"/>
      <c r="G67" s="10"/>
      <c r="H67" s="25"/>
      <c r="I67" s="2"/>
      <c r="J67" s="2"/>
      <c r="K67" s="26"/>
      <c r="L67" s="40" t="s">
        <v>88</v>
      </c>
      <c r="M67" s="10"/>
      <c r="N67" s="5"/>
    </row>
    <row r="68" spans="1:14" ht="15.5" x14ac:dyDescent="0.35">
      <c r="A68" s="38" t="s">
        <v>89</v>
      </c>
      <c r="B68" s="23" t="s">
        <v>90</v>
      </c>
      <c r="C68" s="8"/>
      <c r="D68" s="8"/>
      <c r="E68" s="8"/>
      <c r="F68" s="8"/>
      <c r="G68" s="10"/>
      <c r="H68" s="25"/>
      <c r="I68" s="2"/>
      <c r="J68" s="2"/>
      <c r="K68" s="26"/>
      <c r="L68" s="40" t="s">
        <v>91</v>
      </c>
      <c r="M68" s="10"/>
      <c r="N68" s="5"/>
    </row>
    <row r="69" spans="1:14" ht="15.5" x14ac:dyDescent="0.35">
      <c r="A69" s="38" t="s">
        <v>92</v>
      </c>
      <c r="B69" s="23" t="s">
        <v>93</v>
      </c>
      <c r="C69" s="8"/>
      <c r="D69" s="8"/>
      <c r="E69" s="8"/>
      <c r="F69" s="8"/>
      <c r="G69" s="10"/>
      <c r="H69" s="25"/>
      <c r="I69" s="2"/>
      <c r="J69" s="2"/>
      <c r="K69" s="26"/>
      <c r="L69" s="40" t="s">
        <v>94</v>
      </c>
      <c r="M69" s="10"/>
      <c r="N69" s="5"/>
    </row>
    <row r="70" spans="1:14" ht="15.5" x14ac:dyDescent="0.35">
      <c r="A70" s="38" t="s">
        <v>95</v>
      </c>
      <c r="B70" s="23" t="s">
        <v>96</v>
      </c>
      <c r="C70" s="8"/>
      <c r="D70" s="8"/>
      <c r="E70" s="8"/>
      <c r="F70" s="8"/>
      <c r="G70" s="10"/>
      <c r="H70" s="25"/>
      <c r="I70" s="2"/>
      <c r="J70" s="2"/>
      <c r="K70" s="26"/>
      <c r="L70" s="40" t="s">
        <v>97</v>
      </c>
      <c r="M70" s="10"/>
      <c r="N70" s="5"/>
    </row>
    <row r="71" spans="1:14" ht="15.5" x14ac:dyDescent="0.35">
      <c r="A71" s="38" t="s">
        <v>98</v>
      </c>
      <c r="B71" s="23" t="s">
        <v>99</v>
      </c>
      <c r="C71" s="8"/>
      <c r="D71" s="8"/>
      <c r="E71" s="8"/>
      <c r="F71" s="8"/>
      <c r="G71" s="10"/>
      <c r="H71" s="25"/>
      <c r="I71" s="2"/>
      <c r="J71" s="2"/>
      <c r="K71" s="26"/>
      <c r="L71" s="40" t="s">
        <v>94</v>
      </c>
      <c r="M71" s="10"/>
      <c r="N71" s="5"/>
    </row>
    <row r="72" spans="1:14" ht="15.5" x14ac:dyDescent="0.35">
      <c r="A72" s="38" t="s">
        <v>100</v>
      </c>
      <c r="B72" s="23" t="s">
        <v>101</v>
      </c>
      <c r="C72" s="8"/>
      <c r="D72" s="8"/>
      <c r="E72" s="8"/>
      <c r="F72" s="8"/>
      <c r="G72" s="10"/>
      <c r="H72" s="25"/>
      <c r="I72" s="2"/>
      <c r="J72" s="2"/>
      <c r="K72" s="26"/>
      <c r="L72" s="40" t="s">
        <v>97</v>
      </c>
      <c r="M72" s="10"/>
      <c r="N72" s="5"/>
    </row>
    <row r="73" spans="1:14" ht="15.5" x14ac:dyDescent="0.35">
      <c r="A73" s="38" t="s">
        <v>102</v>
      </c>
      <c r="B73" s="23" t="s">
        <v>103</v>
      </c>
      <c r="C73" s="8"/>
      <c r="D73" s="8"/>
      <c r="E73" s="8"/>
      <c r="F73" s="8"/>
      <c r="G73" s="10"/>
      <c r="H73" s="25"/>
      <c r="I73" s="2"/>
      <c r="J73" s="2"/>
      <c r="K73" s="26"/>
      <c r="L73" s="40" t="s">
        <v>94</v>
      </c>
      <c r="M73" s="10"/>
      <c r="N73" s="5"/>
    </row>
    <row r="74" spans="1:14" ht="42" customHeight="1" x14ac:dyDescent="0.35">
      <c r="A74" s="38" t="s">
        <v>104</v>
      </c>
      <c r="B74" s="23"/>
      <c r="C74" s="8"/>
      <c r="D74" s="8"/>
      <c r="E74" s="8"/>
      <c r="F74" s="8"/>
      <c r="G74" s="10"/>
      <c r="H74" s="25"/>
      <c r="I74" s="2"/>
      <c r="J74" s="2"/>
      <c r="K74" s="26"/>
      <c r="L74" s="40"/>
      <c r="M74" s="10"/>
      <c r="N74" s="5"/>
    </row>
    <row r="75" spans="1:14" ht="52.5" customHeight="1" x14ac:dyDescent="0.35">
      <c r="A75" s="38" t="s">
        <v>105</v>
      </c>
      <c r="B75" s="23"/>
      <c r="C75" s="8"/>
      <c r="D75" s="8"/>
      <c r="E75" s="8"/>
      <c r="F75" s="8"/>
      <c r="G75" s="10"/>
      <c r="H75" s="24"/>
      <c r="I75" s="18"/>
      <c r="J75" s="18"/>
      <c r="K75" s="19"/>
      <c r="L75" s="40"/>
      <c r="M75" s="10"/>
      <c r="N75" s="5"/>
    </row>
    <row r="76" spans="1:14" ht="84.75" customHeight="1" x14ac:dyDescent="0.35">
      <c r="A76" s="41" t="s">
        <v>106</v>
      </c>
      <c r="B76" s="8"/>
      <c r="C76" s="8"/>
      <c r="D76" s="8"/>
      <c r="E76" s="8"/>
      <c r="F76" s="8"/>
      <c r="G76" s="8"/>
      <c r="H76" s="8"/>
      <c r="I76" s="8"/>
      <c r="J76" s="8"/>
      <c r="K76" s="8"/>
      <c r="L76" s="8"/>
      <c r="M76" s="10"/>
      <c r="N76" s="5"/>
    </row>
    <row r="77" spans="1:14" ht="24.75" customHeight="1" x14ac:dyDescent="0.35">
      <c r="A77" s="37" t="s">
        <v>107</v>
      </c>
      <c r="B77" s="8"/>
      <c r="C77" s="8"/>
      <c r="D77" s="8"/>
      <c r="E77" s="8"/>
      <c r="F77" s="8"/>
      <c r="G77" s="10"/>
      <c r="H77" s="37" t="s">
        <v>108</v>
      </c>
      <c r="I77" s="8"/>
      <c r="J77" s="8"/>
      <c r="K77" s="10"/>
      <c r="L77" s="37" t="s">
        <v>73</v>
      </c>
      <c r="M77" s="10"/>
      <c r="N77" s="30"/>
    </row>
    <row r="78" spans="1:14" ht="15.5" x14ac:dyDescent="0.35">
      <c r="A78" s="38" t="s">
        <v>74</v>
      </c>
      <c r="B78" s="23" t="s">
        <v>75</v>
      </c>
      <c r="C78" s="8"/>
      <c r="D78" s="8"/>
      <c r="E78" s="8"/>
      <c r="F78" s="8"/>
      <c r="G78" s="10"/>
      <c r="H78" s="39" t="s">
        <v>109</v>
      </c>
      <c r="I78" s="14"/>
      <c r="J78" s="14"/>
      <c r="K78" s="15"/>
      <c r="L78" s="40" t="s">
        <v>94</v>
      </c>
      <c r="M78" s="10"/>
      <c r="N78" s="5"/>
    </row>
    <row r="79" spans="1:14" ht="15.5" x14ac:dyDescent="0.35">
      <c r="A79" s="38" t="s">
        <v>78</v>
      </c>
      <c r="B79" s="23" t="s">
        <v>79</v>
      </c>
      <c r="C79" s="8"/>
      <c r="D79" s="8"/>
      <c r="E79" s="8"/>
      <c r="F79" s="8"/>
      <c r="G79" s="10"/>
      <c r="H79" s="25"/>
      <c r="I79" s="2"/>
      <c r="J79" s="2"/>
      <c r="K79" s="26"/>
      <c r="L79" s="40" t="s">
        <v>94</v>
      </c>
      <c r="M79" s="10"/>
      <c r="N79" s="5"/>
    </row>
    <row r="80" spans="1:14" ht="15.5" x14ac:dyDescent="0.35">
      <c r="A80" s="38" t="s">
        <v>80</v>
      </c>
      <c r="B80" s="23" t="s">
        <v>81</v>
      </c>
      <c r="C80" s="8"/>
      <c r="D80" s="8"/>
      <c r="E80" s="8"/>
      <c r="F80" s="8"/>
      <c r="G80" s="10"/>
      <c r="H80" s="25"/>
      <c r="I80" s="2"/>
      <c r="J80" s="2"/>
      <c r="K80" s="26"/>
      <c r="L80" s="40" t="s">
        <v>94</v>
      </c>
      <c r="M80" s="10"/>
      <c r="N80" s="5"/>
    </row>
    <row r="81" spans="1:14" ht="15.5" x14ac:dyDescent="0.35">
      <c r="A81" s="38" t="s">
        <v>82</v>
      </c>
      <c r="B81" s="23" t="s">
        <v>83</v>
      </c>
      <c r="C81" s="8"/>
      <c r="D81" s="8"/>
      <c r="E81" s="8"/>
      <c r="F81" s="8"/>
      <c r="G81" s="10"/>
      <c r="H81" s="25"/>
      <c r="I81" s="2"/>
      <c r="J81" s="2"/>
      <c r="K81" s="26"/>
      <c r="L81" s="40" t="s">
        <v>94</v>
      </c>
      <c r="M81" s="10"/>
      <c r="N81" s="5"/>
    </row>
    <row r="82" spans="1:14" ht="15.5" x14ac:dyDescent="0.35">
      <c r="A82" s="38" t="s">
        <v>84</v>
      </c>
      <c r="B82" s="23" t="s">
        <v>85</v>
      </c>
      <c r="C82" s="8"/>
      <c r="D82" s="8"/>
      <c r="E82" s="8"/>
      <c r="F82" s="8"/>
      <c r="G82" s="10"/>
      <c r="H82" s="25"/>
      <c r="I82" s="2"/>
      <c r="J82" s="2"/>
      <c r="K82" s="26"/>
      <c r="L82" s="40" t="s">
        <v>94</v>
      </c>
      <c r="M82" s="10"/>
      <c r="N82" s="5"/>
    </row>
    <row r="83" spans="1:14" ht="15.5" x14ac:dyDescent="0.35">
      <c r="A83" s="38" t="s">
        <v>86</v>
      </c>
      <c r="B83" s="23" t="s">
        <v>90</v>
      </c>
      <c r="C83" s="8"/>
      <c r="D83" s="8"/>
      <c r="E83" s="8"/>
      <c r="F83" s="8"/>
      <c r="G83" s="10"/>
      <c r="H83" s="25"/>
      <c r="I83" s="2"/>
      <c r="J83" s="2"/>
      <c r="K83" s="26"/>
      <c r="L83" s="40" t="s">
        <v>110</v>
      </c>
      <c r="M83" s="10"/>
      <c r="N83" s="5"/>
    </row>
    <row r="84" spans="1:14" ht="15.5" x14ac:dyDescent="0.35">
      <c r="A84" s="38" t="s">
        <v>89</v>
      </c>
      <c r="B84" s="23" t="s">
        <v>93</v>
      </c>
      <c r="C84" s="8"/>
      <c r="D84" s="8"/>
      <c r="E84" s="8"/>
      <c r="F84" s="8"/>
      <c r="G84" s="10"/>
      <c r="H84" s="25"/>
      <c r="I84" s="2"/>
      <c r="J84" s="2"/>
      <c r="K84" s="26"/>
      <c r="L84" s="40" t="s">
        <v>110</v>
      </c>
      <c r="M84" s="10"/>
      <c r="N84" s="5"/>
    </row>
    <row r="85" spans="1:14" ht="15.5" x14ac:dyDescent="0.35">
      <c r="A85" s="38" t="s">
        <v>92</v>
      </c>
      <c r="B85" s="23" t="s">
        <v>96</v>
      </c>
      <c r="C85" s="8"/>
      <c r="D85" s="8"/>
      <c r="E85" s="8"/>
      <c r="F85" s="8"/>
      <c r="G85" s="10"/>
      <c r="H85" s="25"/>
      <c r="I85" s="2"/>
      <c r="J85" s="2"/>
      <c r="K85" s="26"/>
      <c r="L85" s="40" t="s">
        <v>110</v>
      </c>
      <c r="M85" s="10"/>
      <c r="N85" s="5"/>
    </row>
    <row r="86" spans="1:14" ht="15.5" x14ac:dyDescent="0.35">
      <c r="A86" s="38" t="s">
        <v>95</v>
      </c>
      <c r="B86" s="23" t="s">
        <v>99</v>
      </c>
      <c r="C86" s="8"/>
      <c r="D86" s="8"/>
      <c r="E86" s="8"/>
      <c r="F86" s="8"/>
      <c r="G86" s="10"/>
      <c r="H86" s="25"/>
      <c r="I86" s="2"/>
      <c r="J86" s="2"/>
      <c r="K86" s="26"/>
      <c r="L86" s="40" t="s">
        <v>111</v>
      </c>
      <c r="M86" s="10"/>
      <c r="N86" s="5"/>
    </row>
    <row r="87" spans="1:14" ht="15.5" x14ac:dyDescent="0.35">
      <c r="A87" s="38" t="s">
        <v>98</v>
      </c>
      <c r="B87" s="23" t="s">
        <v>101</v>
      </c>
      <c r="C87" s="8"/>
      <c r="D87" s="8"/>
      <c r="E87" s="8"/>
      <c r="F87" s="8"/>
      <c r="G87" s="10"/>
      <c r="H87" s="25"/>
      <c r="I87" s="2"/>
      <c r="J87" s="2"/>
      <c r="K87" s="26"/>
      <c r="L87" s="40" t="s">
        <v>94</v>
      </c>
      <c r="M87" s="10"/>
      <c r="N87" s="5"/>
    </row>
    <row r="88" spans="1:14" ht="15.5" x14ac:dyDescent="0.35">
      <c r="A88" s="38" t="s">
        <v>100</v>
      </c>
      <c r="B88" s="23" t="s">
        <v>103</v>
      </c>
      <c r="C88" s="8"/>
      <c r="D88" s="8"/>
      <c r="E88" s="8"/>
      <c r="F88" s="8"/>
      <c r="G88" s="10"/>
      <c r="H88" s="25"/>
      <c r="I88" s="2"/>
      <c r="J88" s="2"/>
      <c r="K88" s="26"/>
      <c r="L88" s="40" t="s">
        <v>94</v>
      </c>
      <c r="M88" s="10"/>
      <c r="N88" s="5"/>
    </row>
    <row r="89" spans="1:14" ht="15.5" x14ac:dyDescent="0.35">
      <c r="A89" s="38" t="s">
        <v>102</v>
      </c>
      <c r="B89" s="23"/>
      <c r="C89" s="8"/>
      <c r="D89" s="8"/>
      <c r="E89" s="8"/>
      <c r="F89" s="8"/>
      <c r="G89" s="10"/>
      <c r="H89" s="25"/>
      <c r="I89" s="2"/>
      <c r="J89" s="2"/>
      <c r="K89" s="26"/>
      <c r="L89" s="40"/>
      <c r="M89" s="10"/>
      <c r="N89" s="5"/>
    </row>
    <row r="90" spans="1:14" ht="15.5" x14ac:dyDescent="0.35">
      <c r="A90" s="38" t="s">
        <v>104</v>
      </c>
      <c r="B90" s="23"/>
      <c r="C90" s="8"/>
      <c r="D90" s="8"/>
      <c r="E90" s="8"/>
      <c r="F90" s="8"/>
      <c r="G90" s="10"/>
      <c r="H90" s="25"/>
      <c r="I90" s="2"/>
      <c r="J90" s="2"/>
      <c r="K90" s="26"/>
      <c r="L90" s="40"/>
      <c r="M90" s="10"/>
      <c r="N90" s="5"/>
    </row>
    <row r="91" spans="1:14" ht="15.5" x14ac:dyDescent="0.35">
      <c r="A91" s="38" t="s">
        <v>105</v>
      </c>
      <c r="B91" s="23"/>
      <c r="C91" s="8"/>
      <c r="D91" s="8"/>
      <c r="E91" s="8"/>
      <c r="F91" s="8"/>
      <c r="G91" s="10"/>
      <c r="H91" s="24"/>
      <c r="I91" s="18"/>
      <c r="J91" s="18"/>
      <c r="K91" s="19"/>
      <c r="L91" s="40"/>
      <c r="M91" s="10"/>
      <c r="N91" s="5"/>
    </row>
    <row r="92" spans="1:14" ht="24" hidden="1" customHeight="1" x14ac:dyDescent="0.35">
      <c r="A92" s="37" t="s">
        <v>112</v>
      </c>
      <c r="B92" s="8"/>
      <c r="C92" s="8"/>
      <c r="D92" s="8"/>
      <c r="E92" s="8"/>
      <c r="F92" s="8"/>
      <c r="G92" s="10"/>
      <c r="H92" s="37" t="s">
        <v>108</v>
      </c>
      <c r="I92" s="8"/>
      <c r="J92" s="8"/>
      <c r="K92" s="10"/>
      <c r="L92" s="37" t="s">
        <v>73</v>
      </c>
      <c r="M92" s="10"/>
      <c r="N92" s="30"/>
    </row>
    <row r="93" spans="1:14" ht="15.5" hidden="1" x14ac:dyDescent="0.35">
      <c r="A93" s="38" t="s">
        <v>74</v>
      </c>
      <c r="B93" s="23"/>
      <c r="C93" s="8"/>
      <c r="D93" s="8"/>
      <c r="E93" s="8"/>
      <c r="F93" s="8"/>
      <c r="G93" s="10"/>
      <c r="H93" s="39"/>
      <c r="I93" s="14"/>
      <c r="J93" s="14"/>
      <c r="K93" s="15"/>
      <c r="L93" s="23"/>
      <c r="M93" s="10"/>
      <c r="N93" s="5"/>
    </row>
    <row r="94" spans="1:14" ht="15.5" hidden="1" x14ac:dyDescent="0.35">
      <c r="A94" s="38" t="s">
        <v>78</v>
      </c>
      <c r="B94" s="23"/>
      <c r="C94" s="8"/>
      <c r="D94" s="8"/>
      <c r="E94" s="8"/>
      <c r="F94" s="8"/>
      <c r="G94" s="10"/>
      <c r="H94" s="25"/>
      <c r="I94" s="2"/>
      <c r="J94" s="2"/>
      <c r="K94" s="26"/>
      <c r="L94" s="23"/>
      <c r="M94" s="10"/>
      <c r="N94" s="5"/>
    </row>
    <row r="95" spans="1:14" ht="15.5" hidden="1" x14ac:dyDescent="0.35">
      <c r="A95" s="38" t="s">
        <v>80</v>
      </c>
      <c r="B95" s="23"/>
      <c r="C95" s="8"/>
      <c r="D95" s="8"/>
      <c r="E95" s="8"/>
      <c r="F95" s="8"/>
      <c r="G95" s="10"/>
      <c r="H95" s="25"/>
      <c r="I95" s="2"/>
      <c r="J95" s="2"/>
      <c r="K95" s="26"/>
      <c r="L95" s="23"/>
      <c r="M95" s="10"/>
      <c r="N95" s="5"/>
    </row>
    <row r="96" spans="1:14" ht="15.5" hidden="1" x14ac:dyDescent="0.35">
      <c r="A96" s="38" t="s">
        <v>82</v>
      </c>
      <c r="B96" s="23"/>
      <c r="C96" s="8"/>
      <c r="D96" s="8"/>
      <c r="E96" s="8"/>
      <c r="F96" s="8"/>
      <c r="G96" s="10"/>
      <c r="H96" s="25"/>
      <c r="I96" s="2"/>
      <c r="J96" s="2"/>
      <c r="K96" s="26"/>
      <c r="L96" s="23"/>
      <c r="M96" s="10"/>
      <c r="N96" s="5"/>
    </row>
    <row r="97" spans="1:14" ht="15.5" hidden="1" x14ac:dyDescent="0.35">
      <c r="A97" s="38" t="s">
        <v>84</v>
      </c>
      <c r="B97" s="23"/>
      <c r="C97" s="8"/>
      <c r="D97" s="8"/>
      <c r="E97" s="8"/>
      <c r="F97" s="8"/>
      <c r="G97" s="10"/>
      <c r="H97" s="25"/>
      <c r="I97" s="2"/>
      <c r="J97" s="2"/>
      <c r="K97" s="26"/>
      <c r="L97" s="23"/>
      <c r="M97" s="10"/>
      <c r="N97" s="5"/>
    </row>
    <row r="98" spans="1:14" ht="15.5" hidden="1" x14ac:dyDescent="0.35">
      <c r="A98" s="38" t="s">
        <v>86</v>
      </c>
      <c r="B98" s="23"/>
      <c r="C98" s="8"/>
      <c r="D98" s="8"/>
      <c r="E98" s="8"/>
      <c r="F98" s="8"/>
      <c r="G98" s="10"/>
      <c r="H98" s="25"/>
      <c r="I98" s="2"/>
      <c r="J98" s="2"/>
      <c r="K98" s="26"/>
      <c r="L98" s="23"/>
      <c r="M98" s="10"/>
      <c r="N98" s="5"/>
    </row>
    <row r="99" spans="1:14" ht="15.5" hidden="1" x14ac:dyDescent="0.35">
      <c r="A99" s="38" t="s">
        <v>89</v>
      </c>
      <c r="B99" s="23"/>
      <c r="C99" s="8"/>
      <c r="D99" s="8"/>
      <c r="E99" s="8"/>
      <c r="F99" s="8"/>
      <c r="G99" s="10"/>
      <c r="H99" s="25"/>
      <c r="I99" s="2"/>
      <c r="J99" s="2"/>
      <c r="K99" s="26"/>
      <c r="L99" s="23"/>
      <c r="M99" s="10"/>
      <c r="N99" s="5"/>
    </row>
    <row r="100" spans="1:14" ht="15.5" hidden="1" x14ac:dyDescent="0.35">
      <c r="A100" s="38" t="s">
        <v>92</v>
      </c>
      <c r="B100" s="23"/>
      <c r="C100" s="8"/>
      <c r="D100" s="8"/>
      <c r="E100" s="8"/>
      <c r="F100" s="8"/>
      <c r="G100" s="10"/>
      <c r="H100" s="25"/>
      <c r="I100" s="2"/>
      <c r="J100" s="2"/>
      <c r="K100" s="26"/>
      <c r="L100" s="23"/>
      <c r="M100" s="10"/>
      <c r="N100" s="5"/>
    </row>
    <row r="101" spans="1:14" ht="15.5" hidden="1" x14ac:dyDescent="0.35">
      <c r="A101" s="38" t="s">
        <v>95</v>
      </c>
      <c r="B101" s="23"/>
      <c r="C101" s="8"/>
      <c r="D101" s="8"/>
      <c r="E101" s="8"/>
      <c r="F101" s="8"/>
      <c r="G101" s="10"/>
      <c r="H101" s="25"/>
      <c r="I101" s="2"/>
      <c r="J101" s="2"/>
      <c r="K101" s="26"/>
      <c r="L101" s="23"/>
      <c r="M101" s="10"/>
      <c r="N101" s="5"/>
    </row>
    <row r="102" spans="1:14" ht="15.5" hidden="1" x14ac:dyDescent="0.35">
      <c r="A102" s="38" t="s">
        <v>98</v>
      </c>
      <c r="B102" s="23"/>
      <c r="C102" s="8"/>
      <c r="D102" s="8"/>
      <c r="E102" s="8"/>
      <c r="F102" s="8"/>
      <c r="G102" s="10"/>
      <c r="H102" s="25"/>
      <c r="I102" s="2"/>
      <c r="J102" s="2"/>
      <c r="K102" s="26"/>
      <c r="L102" s="23"/>
      <c r="M102" s="10"/>
      <c r="N102" s="5"/>
    </row>
    <row r="103" spans="1:14" ht="15.5" hidden="1" x14ac:dyDescent="0.35">
      <c r="A103" s="38" t="s">
        <v>100</v>
      </c>
      <c r="B103" s="23"/>
      <c r="C103" s="8"/>
      <c r="D103" s="8"/>
      <c r="E103" s="8"/>
      <c r="F103" s="8"/>
      <c r="G103" s="10"/>
      <c r="H103" s="25"/>
      <c r="I103" s="2"/>
      <c r="J103" s="2"/>
      <c r="K103" s="26"/>
      <c r="L103" s="23"/>
      <c r="M103" s="10"/>
      <c r="N103" s="5"/>
    </row>
    <row r="104" spans="1:14" ht="15.5" hidden="1" x14ac:dyDescent="0.35">
      <c r="A104" s="38" t="s">
        <v>102</v>
      </c>
      <c r="B104" s="23"/>
      <c r="C104" s="8"/>
      <c r="D104" s="8"/>
      <c r="E104" s="8"/>
      <c r="F104" s="8"/>
      <c r="G104" s="10"/>
      <c r="H104" s="25"/>
      <c r="I104" s="2"/>
      <c r="J104" s="2"/>
      <c r="K104" s="26"/>
      <c r="L104" s="23"/>
      <c r="M104" s="10"/>
      <c r="N104" s="5"/>
    </row>
    <row r="105" spans="1:14" ht="15.5" hidden="1" x14ac:dyDescent="0.35">
      <c r="A105" s="38" t="s">
        <v>104</v>
      </c>
      <c r="B105" s="23"/>
      <c r="C105" s="8"/>
      <c r="D105" s="8"/>
      <c r="E105" s="8"/>
      <c r="F105" s="8"/>
      <c r="G105" s="10"/>
      <c r="H105" s="25"/>
      <c r="I105" s="2"/>
      <c r="J105" s="2"/>
      <c r="K105" s="26"/>
      <c r="L105" s="23"/>
      <c r="M105" s="10"/>
      <c r="N105" s="5"/>
    </row>
    <row r="106" spans="1:14" ht="15.5" hidden="1" x14ac:dyDescent="0.35">
      <c r="A106" s="38" t="s">
        <v>105</v>
      </c>
      <c r="B106" s="23"/>
      <c r="C106" s="8"/>
      <c r="D106" s="8"/>
      <c r="E106" s="8"/>
      <c r="F106" s="8"/>
      <c r="G106" s="10"/>
      <c r="H106" s="24"/>
      <c r="I106" s="18"/>
      <c r="J106" s="18"/>
      <c r="K106" s="19"/>
      <c r="L106" s="23"/>
      <c r="M106" s="10"/>
      <c r="N106" s="5"/>
    </row>
    <row r="107" spans="1:14" ht="24" hidden="1" customHeight="1" x14ac:dyDescent="0.35">
      <c r="A107" s="37" t="s">
        <v>113</v>
      </c>
      <c r="B107" s="8"/>
      <c r="C107" s="8"/>
      <c r="D107" s="8"/>
      <c r="E107" s="8"/>
      <c r="F107" s="8"/>
      <c r="G107" s="10"/>
      <c r="H107" s="37" t="s">
        <v>108</v>
      </c>
      <c r="I107" s="8"/>
      <c r="J107" s="8"/>
      <c r="K107" s="10"/>
      <c r="L107" s="37" t="s">
        <v>73</v>
      </c>
      <c r="M107" s="10"/>
      <c r="N107" s="30"/>
    </row>
    <row r="108" spans="1:14" ht="15.5" hidden="1" x14ac:dyDescent="0.35">
      <c r="A108" s="38" t="s">
        <v>74</v>
      </c>
      <c r="B108" s="23"/>
      <c r="C108" s="8"/>
      <c r="D108" s="8"/>
      <c r="E108" s="8"/>
      <c r="F108" s="8"/>
      <c r="G108" s="10"/>
      <c r="H108" s="39"/>
      <c r="I108" s="14"/>
      <c r="J108" s="14"/>
      <c r="K108" s="15"/>
      <c r="L108" s="23"/>
      <c r="M108" s="10"/>
      <c r="N108" s="5"/>
    </row>
    <row r="109" spans="1:14" ht="15.5" hidden="1" x14ac:dyDescent="0.35">
      <c r="A109" s="38" t="s">
        <v>78</v>
      </c>
      <c r="B109" s="23"/>
      <c r="C109" s="8"/>
      <c r="D109" s="8"/>
      <c r="E109" s="8"/>
      <c r="F109" s="8"/>
      <c r="G109" s="10"/>
      <c r="H109" s="25"/>
      <c r="I109" s="2"/>
      <c r="J109" s="2"/>
      <c r="K109" s="26"/>
      <c r="L109" s="23"/>
      <c r="M109" s="10"/>
      <c r="N109" s="5"/>
    </row>
    <row r="110" spans="1:14" ht="15.5" hidden="1" x14ac:dyDescent="0.35">
      <c r="A110" s="38" t="s">
        <v>80</v>
      </c>
      <c r="B110" s="23"/>
      <c r="C110" s="8"/>
      <c r="D110" s="8"/>
      <c r="E110" s="8"/>
      <c r="F110" s="8"/>
      <c r="G110" s="10"/>
      <c r="H110" s="25"/>
      <c r="I110" s="2"/>
      <c r="J110" s="2"/>
      <c r="K110" s="26"/>
      <c r="L110" s="23"/>
      <c r="M110" s="10"/>
      <c r="N110" s="5"/>
    </row>
    <row r="111" spans="1:14" ht="15.5" hidden="1" x14ac:dyDescent="0.35">
      <c r="A111" s="38" t="s">
        <v>82</v>
      </c>
      <c r="B111" s="23"/>
      <c r="C111" s="8"/>
      <c r="D111" s="8"/>
      <c r="E111" s="8"/>
      <c r="F111" s="8"/>
      <c r="G111" s="10"/>
      <c r="H111" s="25"/>
      <c r="I111" s="2"/>
      <c r="J111" s="2"/>
      <c r="K111" s="26"/>
      <c r="L111" s="23"/>
      <c r="M111" s="10"/>
      <c r="N111" s="5"/>
    </row>
    <row r="112" spans="1:14" ht="15.5" hidden="1" x14ac:dyDescent="0.35">
      <c r="A112" s="38" t="s">
        <v>84</v>
      </c>
      <c r="B112" s="23"/>
      <c r="C112" s="8"/>
      <c r="D112" s="8"/>
      <c r="E112" s="8"/>
      <c r="F112" s="8"/>
      <c r="G112" s="10"/>
      <c r="H112" s="25"/>
      <c r="I112" s="2"/>
      <c r="J112" s="2"/>
      <c r="K112" s="26"/>
      <c r="L112" s="23"/>
      <c r="M112" s="10"/>
      <c r="N112" s="5"/>
    </row>
    <row r="113" spans="1:14" ht="15.5" hidden="1" x14ac:dyDescent="0.35">
      <c r="A113" s="38" t="s">
        <v>86</v>
      </c>
      <c r="B113" s="23"/>
      <c r="C113" s="8"/>
      <c r="D113" s="8"/>
      <c r="E113" s="8"/>
      <c r="F113" s="8"/>
      <c r="G113" s="10"/>
      <c r="H113" s="25"/>
      <c r="I113" s="2"/>
      <c r="J113" s="2"/>
      <c r="K113" s="26"/>
      <c r="L113" s="23"/>
      <c r="M113" s="10"/>
      <c r="N113" s="5"/>
    </row>
    <row r="114" spans="1:14" ht="15.5" hidden="1" x14ac:dyDescent="0.35">
      <c r="A114" s="38" t="s">
        <v>89</v>
      </c>
      <c r="B114" s="23"/>
      <c r="C114" s="8"/>
      <c r="D114" s="8"/>
      <c r="E114" s="8"/>
      <c r="F114" s="8"/>
      <c r="G114" s="10"/>
      <c r="H114" s="25"/>
      <c r="I114" s="2"/>
      <c r="J114" s="2"/>
      <c r="K114" s="26"/>
      <c r="L114" s="23"/>
      <c r="M114" s="10"/>
      <c r="N114" s="5"/>
    </row>
    <row r="115" spans="1:14" ht="15.5" hidden="1" x14ac:dyDescent="0.35">
      <c r="A115" s="38" t="s">
        <v>92</v>
      </c>
      <c r="B115" s="23"/>
      <c r="C115" s="8"/>
      <c r="D115" s="8"/>
      <c r="E115" s="8"/>
      <c r="F115" s="8"/>
      <c r="G115" s="10"/>
      <c r="H115" s="25"/>
      <c r="I115" s="2"/>
      <c r="J115" s="2"/>
      <c r="K115" s="26"/>
      <c r="L115" s="23"/>
      <c r="M115" s="10"/>
      <c r="N115" s="5"/>
    </row>
    <row r="116" spans="1:14" ht="15.5" hidden="1" x14ac:dyDescent="0.35">
      <c r="A116" s="38" t="s">
        <v>95</v>
      </c>
      <c r="B116" s="23"/>
      <c r="C116" s="8"/>
      <c r="D116" s="8"/>
      <c r="E116" s="8"/>
      <c r="F116" s="8"/>
      <c r="G116" s="10"/>
      <c r="H116" s="25"/>
      <c r="I116" s="2"/>
      <c r="J116" s="2"/>
      <c r="K116" s="26"/>
      <c r="L116" s="23"/>
      <c r="M116" s="10"/>
      <c r="N116" s="5"/>
    </row>
    <row r="117" spans="1:14" ht="15.5" hidden="1" x14ac:dyDescent="0.35">
      <c r="A117" s="38" t="s">
        <v>98</v>
      </c>
      <c r="B117" s="23"/>
      <c r="C117" s="8"/>
      <c r="D117" s="8"/>
      <c r="E117" s="8"/>
      <c r="F117" s="8"/>
      <c r="G117" s="10"/>
      <c r="H117" s="25"/>
      <c r="I117" s="2"/>
      <c r="J117" s="2"/>
      <c r="K117" s="26"/>
      <c r="L117" s="23"/>
      <c r="M117" s="10"/>
      <c r="N117" s="5"/>
    </row>
    <row r="118" spans="1:14" ht="15.5" hidden="1" x14ac:dyDescent="0.35">
      <c r="A118" s="38" t="s">
        <v>100</v>
      </c>
      <c r="B118" s="23"/>
      <c r="C118" s="8"/>
      <c r="D118" s="8"/>
      <c r="E118" s="8"/>
      <c r="F118" s="8"/>
      <c r="G118" s="10"/>
      <c r="H118" s="25"/>
      <c r="I118" s="2"/>
      <c r="J118" s="2"/>
      <c r="K118" s="26"/>
      <c r="L118" s="23"/>
      <c r="M118" s="10"/>
      <c r="N118" s="5"/>
    </row>
    <row r="119" spans="1:14" ht="15.5" hidden="1" x14ac:dyDescent="0.35">
      <c r="A119" s="38" t="s">
        <v>102</v>
      </c>
      <c r="B119" s="23"/>
      <c r="C119" s="8"/>
      <c r="D119" s="8"/>
      <c r="E119" s="8"/>
      <c r="F119" s="8"/>
      <c r="G119" s="10"/>
      <c r="H119" s="25"/>
      <c r="I119" s="2"/>
      <c r="J119" s="2"/>
      <c r="K119" s="26"/>
      <c r="L119" s="23"/>
      <c r="M119" s="10"/>
      <c r="N119" s="5"/>
    </row>
    <row r="120" spans="1:14" ht="15.5" hidden="1" x14ac:dyDescent="0.35">
      <c r="A120" s="38" t="s">
        <v>104</v>
      </c>
      <c r="B120" s="23"/>
      <c r="C120" s="8"/>
      <c r="D120" s="8"/>
      <c r="E120" s="8"/>
      <c r="F120" s="8"/>
      <c r="G120" s="10"/>
      <c r="H120" s="25"/>
      <c r="I120" s="2"/>
      <c r="J120" s="2"/>
      <c r="K120" s="26"/>
      <c r="L120" s="23"/>
      <c r="M120" s="10"/>
      <c r="N120" s="5"/>
    </row>
    <row r="121" spans="1:14" ht="15.5" hidden="1" x14ac:dyDescent="0.35">
      <c r="A121" s="38" t="s">
        <v>105</v>
      </c>
      <c r="B121" s="23"/>
      <c r="C121" s="8"/>
      <c r="D121" s="8"/>
      <c r="E121" s="8"/>
      <c r="F121" s="8"/>
      <c r="G121" s="10"/>
      <c r="H121" s="24"/>
      <c r="I121" s="18"/>
      <c r="J121" s="18"/>
      <c r="K121" s="19"/>
      <c r="L121" s="23"/>
      <c r="M121" s="10"/>
      <c r="N121" s="5"/>
    </row>
    <row r="122" spans="1:14" ht="15.5" x14ac:dyDescent="0.35">
      <c r="A122" s="42" t="s">
        <v>114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115</v>
      </c>
      <c r="B124" s="2"/>
      <c r="C124" s="2"/>
      <c r="D124" s="2"/>
      <c r="E124" s="2"/>
      <c r="F124" s="2"/>
      <c r="G124" s="2"/>
      <c r="H124" s="2"/>
      <c r="I124" s="2"/>
      <c r="J124" s="2"/>
      <c r="K124" s="2"/>
      <c r="L124" s="2"/>
      <c r="M124" s="2"/>
      <c r="N124" s="30"/>
    </row>
    <row r="125" spans="1:14" ht="46.5" x14ac:dyDescent="0.35">
      <c r="A125" s="43" t="s">
        <v>116</v>
      </c>
      <c r="B125" s="44" t="s">
        <v>117</v>
      </c>
      <c r="C125" s="8"/>
      <c r="D125" s="8"/>
      <c r="E125" s="8"/>
      <c r="F125" s="8"/>
      <c r="G125" s="10"/>
      <c r="H125" s="44" t="s">
        <v>118</v>
      </c>
      <c r="I125" s="8"/>
      <c r="J125" s="8"/>
      <c r="K125" s="10"/>
      <c r="L125" s="45" t="s">
        <v>119</v>
      </c>
      <c r="M125" s="10"/>
      <c r="N125" s="5"/>
    </row>
    <row r="126" spans="1:14" ht="15.5" x14ac:dyDescent="0.35">
      <c r="A126" s="46" t="s">
        <v>120</v>
      </c>
      <c r="B126" s="47" t="s">
        <v>121</v>
      </c>
      <c r="C126" s="14"/>
      <c r="D126" s="14"/>
      <c r="E126" s="14"/>
      <c r="F126" s="14"/>
      <c r="G126" s="15"/>
      <c r="H126" s="48" t="s">
        <v>122</v>
      </c>
      <c r="I126" s="8"/>
      <c r="J126" s="8"/>
      <c r="K126" s="49" t="s">
        <v>123</v>
      </c>
      <c r="L126" s="50">
        <f>1-SUM(L129:M131)</f>
        <v>0.7</v>
      </c>
      <c r="M126" s="15"/>
      <c r="N126" s="5"/>
    </row>
    <row r="127" spans="1:14" ht="15.5" x14ac:dyDescent="0.35">
      <c r="A127" s="51"/>
      <c r="B127" s="25"/>
      <c r="C127" s="2"/>
      <c r="D127" s="2"/>
      <c r="E127" s="2"/>
      <c r="F127" s="2"/>
      <c r="G127" s="26"/>
      <c r="H127" s="52" t="s">
        <v>124</v>
      </c>
      <c r="I127" s="8"/>
      <c r="J127" s="8"/>
      <c r="K127" s="49" t="s">
        <v>125</v>
      </c>
      <c r="L127" s="25"/>
      <c r="M127" s="26"/>
      <c r="N127" s="5"/>
    </row>
    <row r="128" spans="1:14" ht="15.5" x14ac:dyDescent="0.35">
      <c r="A128" s="34"/>
      <c r="B128" s="24"/>
      <c r="C128" s="18"/>
      <c r="D128" s="18"/>
      <c r="E128" s="18"/>
      <c r="F128" s="18"/>
      <c r="G128" s="19"/>
      <c r="H128" s="52" t="s">
        <v>126</v>
      </c>
      <c r="I128" s="8"/>
      <c r="J128" s="8"/>
      <c r="K128" s="49" t="s">
        <v>127</v>
      </c>
      <c r="L128" s="24"/>
      <c r="M128" s="19"/>
      <c r="N128" s="5"/>
    </row>
    <row r="129" spans="1:14" ht="68.25" customHeight="1" x14ac:dyDescent="0.35">
      <c r="A129" s="43" t="s">
        <v>128</v>
      </c>
      <c r="B129" s="52" t="s">
        <v>129</v>
      </c>
      <c r="C129" s="8"/>
      <c r="D129" s="8"/>
      <c r="E129" s="8"/>
      <c r="F129" s="8"/>
      <c r="G129" s="10"/>
      <c r="H129" s="52" t="s">
        <v>130</v>
      </c>
      <c r="I129" s="8"/>
      <c r="J129" s="8"/>
      <c r="K129" s="10"/>
      <c r="L129" s="53">
        <v>0.3</v>
      </c>
      <c r="M129" s="10"/>
      <c r="N129" s="5"/>
    </row>
    <row r="130" spans="1:14" ht="46.5" hidden="1" x14ac:dyDescent="0.35">
      <c r="A130" s="43" t="s">
        <v>131</v>
      </c>
      <c r="B130" s="54" t="s">
        <v>132</v>
      </c>
      <c r="C130" s="8"/>
      <c r="D130" s="8"/>
      <c r="E130" s="8"/>
      <c r="F130" s="8"/>
      <c r="G130" s="10"/>
      <c r="H130" s="52" t="s">
        <v>133</v>
      </c>
      <c r="I130" s="8"/>
      <c r="J130" s="8"/>
      <c r="K130" s="10"/>
      <c r="L130" s="53"/>
      <c r="M130" s="10"/>
      <c r="N130" s="5"/>
    </row>
    <row r="131" spans="1:14" ht="31" hidden="1" x14ac:dyDescent="0.35">
      <c r="A131" s="43" t="s">
        <v>134</v>
      </c>
      <c r="B131" s="54" t="s">
        <v>135</v>
      </c>
      <c r="C131" s="8"/>
      <c r="D131" s="8"/>
      <c r="E131" s="8"/>
      <c r="F131" s="8"/>
      <c r="G131" s="10"/>
      <c r="H131" s="52" t="s">
        <v>136</v>
      </c>
      <c r="I131" s="8"/>
      <c r="J131" s="8"/>
      <c r="K131" s="10"/>
      <c r="L131" s="53"/>
      <c r="M131" s="10"/>
      <c r="N131" s="5"/>
    </row>
    <row r="132" spans="1:14" ht="15.5" x14ac:dyDescent="0.35">
      <c r="A132" s="44" t="s">
        <v>137</v>
      </c>
      <c r="B132" s="8"/>
      <c r="C132" s="8"/>
      <c r="D132" s="8"/>
      <c r="E132" s="8"/>
      <c r="F132" s="8"/>
      <c r="G132" s="8"/>
      <c r="H132" s="8"/>
      <c r="I132" s="8"/>
      <c r="J132" s="8"/>
      <c r="K132" s="8"/>
      <c r="L132" s="8"/>
      <c r="M132" s="10"/>
      <c r="N132" s="5"/>
    </row>
    <row r="133" spans="1:14" ht="15.5" x14ac:dyDescent="0.35">
      <c r="A133" s="54" t="s">
        <v>138</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139</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140</v>
      </c>
      <c r="B137" s="10"/>
      <c r="C137" s="9" t="str">
        <f>E15</f>
        <v>Prof. dr. habil. mat. Dorel Fetcu</v>
      </c>
      <c r="D137" s="8"/>
      <c r="E137" s="8"/>
      <c r="F137" s="8"/>
      <c r="G137" s="10"/>
      <c r="H137" s="9" t="str">
        <f>E16</f>
        <v>Lect. dr. mat. Gabriela Grosu</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141</v>
      </c>
      <c r="B139" s="15"/>
      <c r="C139" s="9" t="str">
        <f t="shared" ref="C139:C141" si="0">E17</f>
        <v>Prof. dr. habil. mat. Dorel Fetcu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Lect. dr. mat. Gabriela Grosu</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142</v>
      </c>
      <c r="B143" s="10"/>
      <c r="C143" s="58">
        <f>[1]Date!C25</f>
        <v>45915</v>
      </c>
      <c r="D143" s="10"/>
      <c r="E143" s="55" t="s">
        <v>143</v>
      </c>
      <c r="F143" s="8"/>
      <c r="G143" s="10"/>
      <c r="H143" s="59" t="str">
        <f>[1]Date!C27</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144</v>
      </c>
      <c r="B145" s="10"/>
      <c r="C145" s="58">
        <f>[1]Date!C26</f>
        <v>45918</v>
      </c>
      <c r="D145" s="10"/>
      <c r="E145" s="55" t="s">
        <v>145</v>
      </c>
      <c r="F145" s="8"/>
      <c r="G145" s="10"/>
      <c r="H145" s="59" t="str">
        <f>[1]Date!C28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76" r:id="rId1" xr:uid="{35C04EE0-F51E-4F9D-A305-206131BEA4F7}"/>
    <hyperlink ref="A122" r:id="rId2" xr:uid="{B5C35E50-136D-475C-9866-8436FCCF3C8D}"/>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2026-03-01T09:01:49Z</dcterms:created>
  <dcterms:modified xsi:type="dcterms:W3CDTF">2026-03-01T09:01:59Z</dcterms:modified>
</cp:coreProperties>
</file>