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0F5A938E-F815-4098-9E62-F15E0D28CFE7}" xr6:coauthVersionLast="47" xr6:coauthVersionMax="47" xr10:uidLastSave="{00000000-0000-0000-0000-000000000000}"/>
  <bookViews>
    <workbookView xWindow="-110" yWindow="-110" windowWidth="25820" windowHeight="15500" xr2:uid="{20A3CC31-CA5B-4C60-B85D-5AB51599F59A}"/>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26" i="1" a="1"/>
  <c r="E26" i="1" s="1"/>
  <c r="K26" i="1" a="1"/>
  <c r="K26" i="1" s="1"/>
  <c r="K27" i="1" s="1"/>
  <c r="E27" i="1" l="1"/>
  <c r="C36" i="1" a="1"/>
  <c r="C36" i="1" s="1"/>
  <c r="E13" i="1" a="1"/>
  <c r="E13" i="1" s="1"/>
  <c r="G26" i="1" a="1"/>
  <c r="G26" i="1" s="1"/>
  <c r="G27" i="1" s="1"/>
  <c r="E14" i="1" a="1"/>
  <c r="E14" i="1" s="1"/>
  <c r="I26" i="1" a="1"/>
  <c r="I26" i="1" s="1"/>
  <c r="I27" i="1" s="1"/>
  <c r="M14" i="1" a="1"/>
  <c r="M14" i="1" s="1"/>
  <c r="E23" i="1" a="1"/>
  <c r="E23" i="1" s="1"/>
  <c r="I23" i="1" a="1"/>
  <c r="I23" i="1" s="1"/>
  <c r="M23" i="1" a="1"/>
  <c r="M23" i="1" s="1"/>
  <c r="C34" i="1" a="1"/>
  <c r="C34" i="1" s="1"/>
  <c r="M33" i="1" s="1"/>
  <c r="C26" i="1" l="1"/>
  <c r="C27" i="1" s="1"/>
  <c r="C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1B51A3F2-767B-4AD2-BE8D-D85C88EDC920}">
      <text>
        <r>
          <rPr>
            <sz val="10"/>
            <color rgb="FF000000"/>
            <rFont val="Aptos Narrow"/>
            <scheme val="minor"/>
          </rPr>
          <t>Pondere din nota de la E / V</t>
        </r>
      </text>
    </comment>
  </commentList>
</comments>
</file>

<file path=xl/sharedStrings.xml><?xml version="1.0" encoding="utf-8"?>
<sst xmlns="http://schemas.openxmlformats.org/spreadsheetml/2006/main" count="197" uniqueCount="149">
  <si>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</si>
  <si>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</si>
  <si>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</si>
  <si>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</si>
  <si>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</si>
  <si>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</si>
  <si>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</si>
  <si>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</si>
  <si>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</si>
  <si>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</si>
  <si>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</si>
  <si>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</si>
  <si>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</si>
  <si>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distribuite de achiziție, monitorizare și conducere</t>
  </si>
  <si>
    <t>(în limba engleză, conform Suplimentului la diplomă)</t>
  </si>
  <si>
    <t>2.1.2. Codul disciplinei</t>
  </si>
  <si>
    <t xml:space="preserve">2.1.3. Categoria formativă </t>
  </si>
  <si>
    <t>2.2 Titularul / titularii activităţilor de curs</t>
  </si>
  <si>
    <t>Prof. dr. ing. Constantin-Cătălin Dosoftei</t>
  </si>
  <si>
    <t>2.3 Titularul / titularii activităţilor de aplicaţii (S, L, P, Pr)</t>
  </si>
  <si>
    <t>Asist. dr.ing. Georgel Gabor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</si>
  <si>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</si>
  <si>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</si>
  <si>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</si>
  <si>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</si>
  <si>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</si>
  <si>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</si>
  <si>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</si>
  <si>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</si>
  <si>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</si>
  <si>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</si>
  <si>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</si>
  <si>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</si>
  <si>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</si>
  <si>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</si>
  <si>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</si>
  <si>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</si>
  <si>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</si>
  <si>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</si>
  <si>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</si>
  <si>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</si>
  <si>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</si>
  <si>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</si>
  <si>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</si>
  <si>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</si>
  <si>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</si>
  <si>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</si>
  <si>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</si>
  <si>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</si>
  <si>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</si>
  <si>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</si>
  <si>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</si>
  <si>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</si>
  <si>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</si>
  <si>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</si>
  <si>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</si>
  <si>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 xml:space="preserve">Tablă inteligentă, videoproiector, calculatoare cu softuri specifice programarii PLC-urilor si a realizarii de DigitalTwin de proces - Tehnomatix, standuri de laborator </t>
  </si>
  <si>
    <t>6. Obiectivul general al disciplinei</t>
  </si>
  <si>
    <t>Proiectarea, implementarea și exploatarea sistemelor distribuite de achiziție, monitorizare și control (SCADA), prin integrarea cunoștințelor de automatică, informatică aplicată și comunicații industriale. Studenții vor dobândi capacitatea de a analiza, dezvolta și implementa soluții moderne de conducere a proceselor tehnologice, utilizând echipamente și software specializat.</t>
  </si>
  <si>
    <t>7. Rezultatele învățării</t>
  </si>
  <si>
    <t>Cunoștințe</t>
  </si>
  <si>
    <t>Studentul / Absolventul:</t>
  </si>
  <si>
    <t xml:space="preserve">- descrie și explică fundamentele conducerii proceselor
- identifică componentele esențiale ale proceselor tehnologice
- clasifică aceste procese în funcție de criterii fizico-tehnice, operaționale și funcționale.
</t>
  </si>
  <si>
    <t>Aptitudini</t>
  </si>
  <si>
    <t xml:space="preserve">- corelează și aplică tehnici de control automat, prelucrare a informației și comunicații în proiectarea și analiza sistemelor SCADA utilizate în conducerea proceselor industriale
- identifica modelul de PLC din gama de automate programabile
- analizează, clasifică și ilustrează structuri și arhitecturi informatice utilizate în conducerea automată a proceselor industriale.
- cerceteaza modul de rezolvare a unei probleme de automatizare cu ajutorul software-ului SIEMENS TIA Portal
- identifica moduri de programare pentru software-ul de programare TIA Portal
- construieste aplicatia vizuala pentru ecranul HMI conform descrierii
- realizeaza diferite taskuri in diferite limbaje de programare pentru functionarea aplicatiei conform cerintelor
- testeaza aplicatia realizata pe simulator/banc de testare echipat cu Siemens S7-1500
</t>
  </si>
  <si>
    <t>Responsabilitate și autonomie</t>
  </si>
  <si>
    <t>- aplică principii de management de proiect pentru stabilirea specificațiilor sistemelor de conducere a proceselor
- urmărește etapele în formularea, implementarea și verificarea unei soluții de conducere a proceselor 
- demonstrează spirit de inițiativă în identificarea și integrarea celor mai recente tehnologii și metodologii în domeniul comunicațiilor în sisteme de conducere, actualizând continuu cunoștințele profesionale, economice și culturale relevante.
- adoptă o conduită responsabilă și etică în proiectarea, configurarea și utilizarea sistemelor SCADA, respectând normele de securitate, reglementările tehnice și bunele practici pentru protejarea proceselor industriale și a datelor operaționale</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</si>
  <si>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</si>
  <si>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</si>
  <si>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</si>
  <si>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</si>
  <si>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</si>
  <si>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</si>
  <si>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</si>
  <si>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t>Introducere în conducerea proceselor (obiectivul general al disciplinei, conținutului disciplinei, rezultatele învățării, legături cu alte discipline, modul de evaluare, scurt istoric al conducerii proceselor/revoluțiile industriale)</t>
  </si>
  <si>
    <t xml:space="preserve"> Prezentarea cunoştinţelor aferente cursului – slide-uri prezentate cu videoproiectorul, discuții cu studenții
Realizarea de conexiuni cu cunoştinţele însuşite la alte discipline de la ciclul de licenţă şi verificarea modului în care noile elemente introduse au fost receptate</t>
  </si>
  <si>
    <t>2</t>
  </si>
  <si>
    <t>Elemente definitorii ale proceselor tehnologice (structura operațională, produse și factori de influență)</t>
  </si>
  <si>
    <t>3</t>
  </si>
  <si>
    <t>Criterii de clasificare a proceselor tehnologice (criterii fizico-tehnice, operaționale și funcționale)</t>
  </si>
  <si>
    <t>4</t>
  </si>
  <si>
    <t>Structuri arhitecturale ale sistemelor de conducere
 (centralizate, descentralizate, mono-/multicalculator)</t>
  </si>
  <si>
    <t>5</t>
  </si>
  <si>
    <t>Calculatorul de proces în arhitectura de conducere
 (rol funcțional, fiabilitate, conectivitate și alocarea funcțiilor)</t>
  </si>
  <si>
    <t>6</t>
  </si>
  <si>
    <t>Modele funcționale de conducere a proceselor industriale (structuri ierarhizate, distribuirea deciziilor, mecanisme de coordonare)</t>
  </si>
  <si>
    <t>7</t>
  </si>
  <si>
    <t>Introducere în sistemele SCADA (definiție, scop, rolul în conducerea proceselor industriale, diferențe față de sistemele clasice, domenii de aplicabilitate)</t>
  </si>
  <si>
    <t>8</t>
  </si>
  <si>
    <t>Elemente componente ale sistemelor SCADA (unități centrale MTU, unități terminale RTU, senzori și actuatori, rețele de comunicație industrială, arhitecturi posibile)</t>
  </si>
  <si>
    <t>9</t>
  </si>
  <si>
    <t>Funcționalitățile sistemelor SCADA (semnalizări, achiziția, analiza și prelucrarea datelor, controlul accesului, reacții la evenimente)</t>
  </si>
  <si>
    <t>10</t>
  </si>
  <si>
    <t>Servicii oferite de sistemele SCADA (conexiunea cu procesul tehnologic, relații server–client, accesarea bazei de date, crearea mnemonicelor, trenduri, alarme, module specializate)</t>
  </si>
  <si>
    <t>11</t>
  </si>
  <si>
    <t>Sisteme de interfață om–mașină (HMI) (tipuri de interfețe, rolul HMI, concepte de proiectare vizuală, interacțiune operator–proces)</t>
  </si>
  <si>
    <t>12</t>
  </si>
  <si>
    <t>Securitatea și fiabilitatea în sistemele SCADA (măsuri de protecție cibernetică, vulnerabilități, continuitate operațională, redundanță, protecția comunicațiilor și a datelor)</t>
  </si>
  <si>
    <t>13</t>
  </si>
  <si>
    <t>Aplicații SCADA în domeniul electroenergetic (particularități ale rețelelor electrice, cerințe specifice de timp real, arhitecturi SCADA în sistemele de distribuție și transport al energiei)</t>
  </si>
  <si>
    <t>Bibliografie curs:
1. Pricop A.T., Dosoftei C.C., Controlul secvențial al proceselor folosind automate programabile, Editura Galaxia GUTENBERG, 2023
2. Conducerea automata a proceselor industriale, M. Vanatoru, Ed. Universitaria, Craiova, 2001
3. Sisteme integrate de monitorizare si control pentru echipamente electrice, Editura Universitaria, Craiova, 2008
4. Guyer J. P., An Introduction to Fundamentals of SCADA Systems, CreateSpace Independent Publishing, 2017
5. Stuart A. Boyer, Scada: Supervisory Control and Data Acquisition,  ISA 1999</t>
  </si>
  <si>
    <t>9.2a Seminar</t>
  </si>
  <si>
    <t>Metode de lucru</t>
  </si>
  <si>
    <t>14</t>
  </si>
  <si>
    <t>9.2b Laborator</t>
  </si>
  <si>
    <t>Introducere in mediul de programare TIA Portal</t>
  </si>
  <si>
    <t xml:space="preserve">
Demonstrații practice și experimente pe echipamente specifice.
Discuții asupra materialelor puse la dispoziție și indicații pentru realizarea lucrărilor.
Activitate individuală și de echipă pentru rezolvarea sarcinilor din referatele de laborator.</t>
  </si>
  <si>
    <t>Inserare si configurare hardware</t>
  </si>
  <si>
    <t>Programarea PLC-creare tabele etichete, blocuri de date</t>
  </si>
  <si>
    <t>Utilizarea limbajului de programare S7-GRAPH</t>
  </si>
  <si>
    <t>Programarea tranzitiilor S7-GRAPH</t>
  </si>
  <si>
    <t>Calculul datei de expirare cu limbajul de programare SCL</t>
  </si>
  <si>
    <t>Structura editorului STL si integrarea functiilor in S7-GRAPH</t>
  </si>
  <si>
    <t>Configuratia panoului HMI</t>
  </si>
  <si>
    <t>Crearea animatiilor pentru actiunile din graful de functionare</t>
  </si>
  <si>
    <t>Crearea ecrnaului de retete</t>
  </si>
  <si>
    <t>Configurarea alarmelor</t>
  </si>
  <si>
    <t>Raportarea erorilor de sistem</t>
  </si>
  <si>
    <t>Testarea programului dezvoltat in S7-GRAPH</t>
  </si>
  <si>
    <t>Integrarea PLC și HMI în scenarii de Digital Twin cu Tecnomatix</t>
  </si>
  <si>
    <t>9.2c Proiect</t>
  </si>
  <si>
    <t>Bibliografie aplicaţii (seminar / laborator / proiect):
1. Dosoftei C.C., Gabor G.,  Îndrumar de laborator - Sisteme distribuite de achiziție, monitorizare și conducere, Editura Universităţii Tehnice "Gheorghe Asachi" din Iaşi, 2024
2. Pricop A.T., Dosoftei C.C., Controlul secvențial al proceselor folosind automate programabile, Editura Galaxia GUTENBERG, 2023Sisteme integrate de monitorizare si control pentru echipamente electrice, Editura Universitaria, Craiova, 2008
3. Guyer J. P., An Introduction to Fundamentals of SCADA Systems, CreateSpace Independent Publishing, 2017
4. Postolache M., Horga V., Dosoftei C.C., (2023),  Reţele CANopen în automatizări industriale, Editura Universităţii Tehnice "Gheorghe Asachi" din Iaşi 2023, Iasi
5. *** Siemens AG. SIMATIC HMI WinCC (TIA Portal) System Manual, ediția 11/2022
6. *** Siemens AG. System Overview-SCADA System SIMATIC WinCC Professional, 2023</t>
  </si>
  <si>
    <t>10. Evaluare</t>
  </si>
  <si>
    <t>Tip activitate</t>
  </si>
  <si>
    <t>10.1 Criterii de evaluare</t>
  </si>
  <si>
    <t>10.2 Metode de evaluare</t>
  </si>
  <si>
    <t>10.3 Pondere din nota finală [%]</t>
  </si>
  <si>
    <t>10.4 Examen / Colocviu</t>
  </si>
  <si>
    <t>Completitudinea şi corectitudinea cunoştinţelor. 
Capacitatea de analiză, de interpretare personală, originalitatea, creativitatea. 
Gradul de asimilare a limbajului de specialitate şi capacitatea de comunicare.
Capacitatea de a valorifica abilităţile dobândite.
Capacitatea de a prelucra datele și de arezolva problemele enunțate.</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</si>
  <si>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</si>
  <si>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</si>
  <si>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</si>
  <si>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</si>
  <si>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</si>
  <si>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</si>
  <si>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</si>
  <si>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implementarea lucrărilor de laborator (toate lucrările de laborator trebuie efectuate, admiţându-se recuperarea doar a unei lucrări de laborator restante);
- colocviu de laborator - Testarea programului dezvoltat in S7-GRAPH</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</si>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</sst>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4">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 xfId="0" applyFont="1" applyFill="1" applyBorder="1" applyAlignment="1">
      <alignment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1B9F-5D77-4B86-A017-2A978F6B582D}">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Supervisory Control and Data Acquisition</v>
      </c>
      <c r="F13" s="18"/>
      <c r="G13" s="18"/>
      <c r="H13" s="18"/>
      <c r="I13" s="18"/>
      <c r="J13" s="18"/>
      <c r="K13" s="18"/>
      <c r="L13" s="18"/>
      <c r="M13" s="19"/>
      <c r="N13" s="5"/>
    </row>
    <row r="14" spans="1:14" ht="15.5" x14ac:dyDescent="0.35">
      <c r="A14" s="7" t="s">
        <v>15</v>
      </c>
      <c r="B14" s="8"/>
      <c r="C14" s="8"/>
      <c r="D14" s="10"/>
      <c r="E14" s="21" t="str">
        <f t="array" aca="1" ref="E14" ca="1">INDEX([1]Date!E8:E32, MATCH(E12,[1]Date!C8:C32,0),0)</f>
        <v>A411</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18</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4</v>
      </c>
      <c r="D23" s="28" t="s">
        <v>22</v>
      </c>
      <c r="E23" s="27">
        <f t="array" aca="1" ref="E23" ca="1">INDEX([1]Date!A8:A32, MATCH(E12,[1]Date!C8:C32,0),0)</f>
        <v>1</v>
      </c>
      <c r="F23" s="29" t="s">
        <v>23</v>
      </c>
      <c r="G23" s="8"/>
      <c r="H23" s="10"/>
      <c r="I23" s="22" t="str">
        <f t="array" aca="1" ref="I23" ca="1">INDEX([1]Date!M8:M32, MATCH(E12,[1]Date!C8:C32,0),0)</f>
        <v>C</v>
      </c>
      <c r="J23" s="29" t="s">
        <v>24</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INDEX([1]Date!H8:H32, MATCH(E12,[1]Date!C8:C32,0),0)</f>
        <v>2</v>
      </c>
      <c r="F26" s="28" t="s">
        <v>28</v>
      </c>
      <c r="G26" s="27">
        <f t="array" aca="1" ref="G26" ca="1">INDEX([1]Date!I8:I32, MATCH(E12,[1]Date!C8:C32,0),0)</f>
        <v>0</v>
      </c>
      <c r="H26" s="28" t="s">
        <v>29</v>
      </c>
      <c r="I26" s="31">
        <f t="array" aca="1" ref="I26" ca="1">INDEX([1]Date!J8:J32, MATCH(E12,[1]Date!C8:C32,0),0)</f>
        <v>2</v>
      </c>
      <c r="J26" s="28" t="s">
        <v>30</v>
      </c>
      <c r="K26" s="27">
        <f t="array" aca="1" ref="K26" ca="1">INDEX([1]Date!K8:K32, MATCH(E12,[1]Date!C8:C32,0),0)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8</v>
      </c>
      <c r="N29" s="5"/>
    </row>
    <row r="30" spans="1:14" ht="15.5" x14ac:dyDescent="0.35">
      <c r="A30" s="7" t="s">
        <v>41</v>
      </c>
      <c r="B30" s="8"/>
      <c r="C30" s="8"/>
      <c r="D30" s="8"/>
      <c r="E30" s="8"/>
      <c r="F30" s="8"/>
      <c r="G30" s="8"/>
      <c r="H30" s="8"/>
      <c r="I30" s="8"/>
      <c r="J30" s="8"/>
      <c r="K30" s="8"/>
      <c r="L30" s="10"/>
      <c r="M30" s="32">
        <v>14</v>
      </c>
      <c r="N30" s="5"/>
    </row>
    <row r="31" spans="1:14" ht="15.5" x14ac:dyDescent="0.35">
      <c r="A31" s="7" t="s">
        <v>42</v>
      </c>
      <c r="B31" s="8"/>
      <c r="C31" s="8"/>
      <c r="D31" s="8"/>
      <c r="E31" s="8"/>
      <c r="F31" s="8"/>
      <c r="G31" s="8"/>
      <c r="H31" s="8"/>
      <c r="I31" s="8"/>
      <c r="J31" s="8"/>
      <c r="K31" s="8"/>
      <c r="L31" s="10"/>
      <c r="M31" s="32">
        <v>22</v>
      </c>
      <c r="N31" s="5"/>
    </row>
    <row r="32" spans="1:14" ht="15.5" x14ac:dyDescent="0.35">
      <c r="A32" s="7" t="s">
        <v>43</v>
      </c>
      <c r="B32" s="8"/>
      <c r="C32" s="8"/>
      <c r="D32" s="8"/>
      <c r="E32" s="8"/>
      <c r="F32" s="8"/>
      <c r="G32" s="8"/>
      <c r="H32" s="8"/>
      <c r="I32" s="8"/>
      <c r="J32" s="8"/>
      <c r="K32" s="8"/>
      <c r="L32" s="10"/>
      <c r="M32" s="27">
        <v>0</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INDEX([1]Date!L8:L32, MATCH(E12,[1]Date!C8:C32,0),0)</f>
        <v>44</v>
      </c>
      <c r="D34" s="5"/>
      <c r="E34" s="5"/>
      <c r="F34" s="5"/>
      <c r="G34" s="5"/>
      <c r="H34" s="5"/>
      <c r="I34" s="5"/>
      <c r="J34" s="5"/>
      <c r="K34" s="5"/>
      <c r="L34" s="5"/>
      <c r="M34" s="5"/>
      <c r="N34" s="5"/>
    </row>
    <row r="35" spans="1:14" ht="15.5" x14ac:dyDescent="0.35">
      <c r="A35" s="7" t="s">
        <v>46</v>
      </c>
      <c r="B35" s="10"/>
      <c r="C35" s="27">
        <f ca="1">C27+C34</f>
        <v>100</v>
      </c>
      <c r="D35" s="5"/>
      <c r="E35" s="5"/>
      <c r="F35" s="5"/>
      <c r="G35" s="5"/>
      <c r="H35" s="5"/>
      <c r="I35" s="5"/>
      <c r="J35" s="5"/>
      <c r="K35" s="5"/>
      <c r="L35" s="5"/>
      <c r="M35" s="5"/>
      <c r="N35" s="5"/>
    </row>
    <row r="36" spans="1:14" ht="15.5" x14ac:dyDescent="0.35">
      <c r="A36" s="7" t="s">
        <v>47</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33" t="s">
        <v>54</v>
      </c>
      <c r="D43" s="8"/>
      <c r="E43" s="8"/>
      <c r="F43" s="8"/>
      <c r="G43" s="8"/>
      <c r="H43" s="8"/>
      <c r="I43" s="8"/>
      <c r="J43" s="8"/>
      <c r="K43" s="8"/>
      <c r="L43" s="8"/>
      <c r="M43" s="10"/>
      <c r="N43" s="30"/>
    </row>
    <row r="44" spans="1:14" ht="15.5" x14ac:dyDescent="0.35">
      <c r="A44" s="7" t="s">
        <v>55</v>
      </c>
      <c r="B44" s="10"/>
      <c r="C44" s="3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4" t="s">
        <v>60</v>
      </c>
      <c r="B50" s="35" t="s">
        <v>61</v>
      </c>
      <c r="C50" s="8"/>
      <c r="D50" s="8"/>
      <c r="E50" s="8"/>
      <c r="F50" s="8"/>
      <c r="G50" s="8"/>
      <c r="H50" s="8"/>
      <c r="I50" s="8"/>
      <c r="J50" s="8"/>
      <c r="K50" s="8"/>
      <c r="L50" s="8"/>
      <c r="M50" s="10"/>
      <c r="N50" s="5"/>
    </row>
    <row r="51" spans="1:14" ht="15.5" x14ac:dyDescent="0.35">
      <c r="A51" s="36"/>
      <c r="B51" s="37" t="s">
        <v>62</v>
      </c>
      <c r="C51" s="8"/>
      <c r="D51" s="8"/>
      <c r="E51" s="8"/>
      <c r="F51" s="8"/>
      <c r="G51" s="8"/>
      <c r="H51" s="8"/>
      <c r="I51" s="8"/>
      <c r="J51" s="8"/>
      <c r="K51" s="8"/>
      <c r="L51" s="8"/>
      <c r="M51" s="10"/>
      <c r="N51" s="5"/>
    </row>
    <row r="52" spans="1:14" ht="15.5" x14ac:dyDescent="0.35">
      <c r="A52" s="34" t="s">
        <v>63</v>
      </c>
      <c r="B52" s="35" t="s">
        <v>61</v>
      </c>
      <c r="C52" s="8"/>
      <c r="D52" s="8"/>
      <c r="E52" s="8"/>
      <c r="F52" s="8"/>
      <c r="G52" s="8"/>
      <c r="H52" s="8"/>
      <c r="I52" s="8"/>
      <c r="J52" s="8"/>
      <c r="K52" s="8"/>
      <c r="L52" s="8"/>
      <c r="M52" s="10"/>
      <c r="N52" s="5"/>
    </row>
    <row r="53" spans="1:14" ht="15.5" x14ac:dyDescent="0.35">
      <c r="A53" s="36"/>
      <c r="B53" s="37" t="s">
        <v>64</v>
      </c>
      <c r="C53" s="8"/>
      <c r="D53" s="8"/>
      <c r="E53" s="8"/>
      <c r="F53" s="8"/>
      <c r="G53" s="8"/>
      <c r="H53" s="8"/>
      <c r="I53" s="8"/>
      <c r="J53" s="8"/>
      <c r="K53" s="8"/>
      <c r="L53" s="8"/>
      <c r="M53" s="10"/>
      <c r="N53" s="5"/>
    </row>
    <row r="54" spans="1:14" ht="18" customHeight="1" x14ac:dyDescent="0.35">
      <c r="A54" s="34" t="s">
        <v>65</v>
      </c>
      <c r="B54" s="35" t="s">
        <v>61</v>
      </c>
      <c r="C54" s="8"/>
      <c r="D54" s="8"/>
      <c r="E54" s="8"/>
      <c r="F54" s="8"/>
      <c r="G54" s="8"/>
      <c r="H54" s="8"/>
      <c r="I54" s="8"/>
      <c r="J54" s="8"/>
      <c r="K54" s="8"/>
      <c r="L54" s="8"/>
      <c r="M54" s="10"/>
      <c r="N54" s="5"/>
    </row>
    <row r="55" spans="1:14" ht="104.25" customHeight="1" x14ac:dyDescent="0.35">
      <c r="A55" s="36"/>
      <c r="B55" s="38"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9" t="s">
        <v>70</v>
      </c>
      <c r="B61" s="8"/>
      <c r="C61" s="8"/>
      <c r="D61" s="8"/>
      <c r="E61" s="8"/>
      <c r="F61" s="8"/>
      <c r="G61" s="10"/>
      <c r="H61" s="39" t="s">
        <v>71</v>
      </c>
      <c r="I61" s="8"/>
      <c r="J61" s="8"/>
      <c r="K61" s="10"/>
      <c r="L61" s="39" t="s">
        <v>72</v>
      </c>
      <c r="M61" s="10"/>
      <c r="N61" s="30"/>
    </row>
    <row r="62" spans="1:14" ht="15.5" x14ac:dyDescent="0.35">
      <c r="A62" s="40" t="s">
        <v>73</v>
      </c>
      <c r="B62" s="23" t="s">
        <v>74</v>
      </c>
      <c r="C62" s="8"/>
      <c r="D62" s="8"/>
      <c r="E62" s="8"/>
      <c r="F62" s="8"/>
      <c r="G62" s="10"/>
      <c r="H62" s="41" t="s">
        <v>75</v>
      </c>
      <c r="I62" s="14"/>
      <c r="J62" s="14"/>
      <c r="K62" s="15"/>
      <c r="L62" s="42">
        <v>2</v>
      </c>
      <c r="M62" s="10"/>
      <c r="N62" s="5"/>
    </row>
    <row r="63" spans="1:14" ht="15.5" x14ac:dyDescent="0.35">
      <c r="A63" s="40" t="s">
        <v>76</v>
      </c>
      <c r="B63" s="23" t="s">
        <v>77</v>
      </c>
      <c r="C63" s="8"/>
      <c r="D63" s="8"/>
      <c r="E63" s="8"/>
      <c r="F63" s="8"/>
      <c r="G63" s="10"/>
      <c r="H63" s="25"/>
      <c r="I63" s="2"/>
      <c r="J63" s="2"/>
      <c r="K63" s="26"/>
      <c r="L63" s="42">
        <v>2</v>
      </c>
      <c r="M63" s="10"/>
      <c r="N63" s="5"/>
    </row>
    <row r="64" spans="1:14" ht="15.5" x14ac:dyDescent="0.35">
      <c r="A64" s="40" t="s">
        <v>78</v>
      </c>
      <c r="B64" s="23" t="s">
        <v>79</v>
      </c>
      <c r="C64" s="8"/>
      <c r="D64" s="8"/>
      <c r="E64" s="8"/>
      <c r="F64" s="8"/>
      <c r="G64" s="10"/>
      <c r="H64" s="25"/>
      <c r="I64" s="2"/>
      <c r="J64" s="2"/>
      <c r="K64" s="26"/>
      <c r="L64" s="42">
        <v>2</v>
      </c>
      <c r="M64" s="10"/>
      <c r="N64" s="5"/>
    </row>
    <row r="65" spans="1:14" ht="15.5" x14ac:dyDescent="0.35">
      <c r="A65" s="40" t="s">
        <v>80</v>
      </c>
      <c r="B65" s="23" t="s">
        <v>81</v>
      </c>
      <c r="C65" s="8"/>
      <c r="D65" s="8"/>
      <c r="E65" s="8"/>
      <c r="F65" s="8"/>
      <c r="G65" s="10"/>
      <c r="H65" s="25"/>
      <c r="I65" s="2"/>
      <c r="J65" s="2"/>
      <c r="K65" s="26"/>
      <c r="L65" s="42">
        <v>2</v>
      </c>
      <c r="M65" s="10"/>
      <c r="N65" s="5"/>
    </row>
    <row r="66" spans="1:14" ht="15.5" x14ac:dyDescent="0.35">
      <c r="A66" s="40" t="s">
        <v>82</v>
      </c>
      <c r="B66" s="23" t="s">
        <v>83</v>
      </c>
      <c r="C66" s="8"/>
      <c r="D66" s="8"/>
      <c r="E66" s="8"/>
      <c r="F66" s="8"/>
      <c r="G66" s="10"/>
      <c r="H66" s="25"/>
      <c r="I66" s="2"/>
      <c r="J66" s="2"/>
      <c r="K66" s="26"/>
      <c r="L66" s="42">
        <v>2</v>
      </c>
      <c r="M66" s="10"/>
      <c r="N66" s="5"/>
    </row>
    <row r="67" spans="1:14" ht="15.5" x14ac:dyDescent="0.35">
      <c r="A67" s="40" t="s">
        <v>84</v>
      </c>
      <c r="B67" s="23" t="s">
        <v>85</v>
      </c>
      <c r="C67" s="8"/>
      <c r="D67" s="8"/>
      <c r="E67" s="8"/>
      <c r="F67" s="8"/>
      <c r="G67" s="10"/>
      <c r="H67" s="25"/>
      <c r="I67" s="2"/>
      <c r="J67" s="2"/>
      <c r="K67" s="26"/>
      <c r="L67" s="42">
        <v>2</v>
      </c>
      <c r="M67" s="10"/>
      <c r="N67" s="5"/>
    </row>
    <row r="68" spans="1:14" ht="15.5" x14ac:dyDescent="0.35">
      <c r="A68" s="40" t="s">
        <v>86</v>
      </c>
      <c r="B68" s="23" t="s">
        <v>87</v>
      </c>
      <c r="C68" s="8"/>
      <c r="D68" s="8"/>
      <c r="E68" s="8"/>
      <c r="F68" s="8"/>
      <c r="G68" s="10"/>
      <c r="H68" s="25"/>
      <c r="I68" s="2"/>
      <c r="J68" s="2"/>
      <c r="K68" s="26"/>
      <c r="L68" s="42">
        <v>2</v>
      </c>
      <c r="M68" s="10"/>
      <c r="N68" s="5"/>
    </row>
    <row r="69" spans="1:14" ht="15.5" x14ac:dyDescent="0.35">
      <c r="A69" s="40" t="s">
        <v>88</v>
      </c>
      <c r="B69" s="23" t="s">
        <v>89</v>
      </c>
      <c r="C69" s="8"/>
      <c r="D69" s="8"/>
      <c r="E69" s="8"/>
      <c r="F69" s="8"/>
      <c r="G69" s="10"/>
      <c r="H69" s="25"/>
      <c r="I69" s="2"/>
      <c r="J69" s="2"/>
      <c r="K69" s="26"/>
      <c r="L69" s="42">
        <v>2</v>
      </c>
      <c r="M69" s="10"/>
      <c r="N69" s="5"/>
    </row>
    <row r="70" spans="1:14" ht="15.5" x14ac:dyDescent="0.35">
      <c r="A70" s="40" t="s">
        <v>90</v>
      </c>
      <c r="B70" s="23" t="s">
        <v>91</v>
      </c>
      <c r="C70" s="8"/>
      <c r="D70" s="8"/>
      <c r="E70" s="8"/>
      <c r="F70" s="8"/>
      <c r="G70" s="10"/>
      <c r="H70" s="25"/>
      <c r="I70" s="2"/>
      <c r="J70" s="2"/>
      <c r="K70" s="26"/>
      <c r="L70" s="42">
        <v>2</v>
      </c>
      <c r="M70" s="10"/>
      <c r="N70" s="5"/>
    </row>
    <row r="71" spans="1:14" ht="15.5" x14ac:dyDescent="0.35">
      <c r="A71" s="40" t="s">
        <v>92</v>
      </c>
      <c r="B71" s="23" t="s">
        <v>93</v>
      </c>
      <c r="C71" s="8"/>
      <c r="D71" s="8"/>
      <c r="E71" s="8"/>
      <c r="F71" s="8"/>
      <c r="G71" s="10"/>
      <c r="H71" s="25"/>
      <c r="I71" s="2"/>
      <c r="J71" s="2"/>
      <c r="K71" s="26"/>
      <c r="L71" s="42">
        <v>2</v>
      </c>
      <c r="M71" s="10"/>
      <c r="N71" s="5"/>
    </row>
    <row r="72" spans="1:14" ht="15.5" x14ac:dyDescent="0.35">
      <c r="A72" s="40" t="s">
        <v>94</v>
      </c>
      <c r="B72" s="23" t="s">
        <v>95</v>
      </c>
      <c r="C72" s="8"/>
      <c r="D72" s="8"/>
      <c r="E72" s="8"/>
      <c r="F72" s="8"/>
      <c r="G72" s="10"/>
      <c r="H72" s="25"/>
      <c r="I72" s="2"/>
      <c r="J72" s="2"/>
      <c r="K72" s="26"/>
      <c r="L72" s="42">
        <v>2</v>
      </c>
      <c r="M72" s="10"/>
      <c r="N72" s="5"/>
    </row>
    <row r="73" spans="1:14" ht="15.5" x14ac:dyDescent="0.35">
      <c r="A73" s="40" t="s">
        <v>96</v>
      </c>
      <c r="B73" s="23" t="s">
        <v>97</v>
      </c>
      <c r="C73" s="8"/>
      <c r="D73" s="8"/>
      <c r="E73" s="8"/>
      <c r="F73" s="8"/>
      <c r="G73" s="10"/>
      <c r="H73" s="25"/>
      <c r="I73" s="2"/>
      <c r="J73" s="2"/>
      <c r="K73" s="26"/>
      <c r="L73" s="42">
        <v>2</v>
      </c>
      <c r="M73" s="10"/>
      <c r="N73" s="5"/>
    </row>
    <row r="74" spans="1:14" ht="15.5" x14ac:dyDescent="0.35">
      <c r="A74" s="40" t="s">
        <v>98</v>
      </c>
      <c r="B74" s="23" t="s">
        <v>99</v>
      </c>
      <c r="C74" s="8"/>
      <c r="D74" s="8"/>
      <c r="E74" s="8"/>
      <c r="F74" s="8"/>
      <c r="G74" s="10"/>
      <c r="H74" s="25"/>
      <c r="I74" s="2"/>
      <c r="J74" s="2"/>
      <c r="K74" s="26"/>
      <c r="L74" s="42">
        <v>4</v>
      </c>
      <c r="M74" s="10"/>
      <c r="N74" s="5"/>
    </row>
    <row r="75" spans="1:14" ht="15.5" x14ac:dyDescent="0.35">
      <c r="A75" s="40"/>
      <c r="B75" s="23"/>
      <c r="C75" s="8"/>
      <c r="D75" s="8"/>
      <c r="E75" s="8"/>
      <c r="F75" s="8"/>
      <c r="G75" s="10"/>
      <c r="H75" s="24"/>
      <c r="I75" s="18"/>
      <c r="J75" s="18"/>
      <c r="K75" s="19"/>
      <c r="L75" s="23"/>
      <c r="M75" s="10"/>
      <c r="N75" s="5"/>
    </row>
    <row r="76" spans="1:14" ht="15.5" x14ac:dyDescent="0.35">
      <c r="A76" s="38" t="s">
        <v>100</v>
      </c>
      <c r="B76" s="8"/>
      <c r="C76" s="8"/>
      <c r="D76" s="8"/>
      <c r="E76" s="8"/>
      <c r="F76" s="8"/>
      <c r="G76" s="8"/>
      <c r="H76" s="8"/>
      <c r="I76" s="8"/>
      <c r="J76" s="8"/>
      <c r="K76" s="8"/>
      <c r="L76" s="8"/>
      <c r="M76" s="10"/>
      <c r="N76" s="5"/>
    </row>
    <row r="77" spans="1:14" ht="24.75" hidden="1" customHeight="1" x14ac:dyDescent="0.35">
      <c r="A77" s="39" t="s">
        <v>101</v>
      </c>
      <c r="B77" s="8"/>
      <c r="C77" s="8"/>
      <c r="D77" s="8"/>
      <c r="E77" s="8"/>
      <c r="F77" s="8"/>
      <c r="G77" s="10"/>
      <c r="H77" s="39" t="s">
        <v>102</v>
      </c>
      <c r="I77" s="8"/>
      <c r="J77" s="8"/>
      <c r="K77" s="10"/>
      <c r="L77" s="39" t="s">
        <v>72</v>
      </c>
      <c r="M77" s="10"/>
      <c r="N77" s="30"/>
    </row>
    <row r="78" spans="1:14" ht="15.5" hidden="1" x14ac:dyDescent="0.35">
      <c r="A78" s="40" t="s">
        <v>73</v>
      </c>
      <c r="B78" s="23"/>
      <c r="C78" s="8"/>
      <c r="D78" s="8"/>
      <c r="E78" s="8"/>
      <c r="F78" s="8"/>
      <c r="G78" s="10"/>
      <c r="H78" s="41"/>
      <c r="I78" s="14"/>
      <c r="J78" s="14"/>
      <c r="K78" s="15"/>
      <c r="L78" s="23"/>
      <c r="M78" s="10"/>
      <c r="N78" s="5"/>
    </row>
    <row r="79" spans="1:14" ht="15.5" hidden="1" x14ac:dyDescent="0.35">
      <c r="A79" s="40" t="s">
        <v>76</v>
      </c>
      <c r="B79" s="23"/>
      <c r="C79" s="8"/>
      <c r="D79" s="8"/>
      <c r="E79" s="8"/>
      <c r="F79" s="8"/>
      <c r="G79" s="10"/>
      <c r="H79" s="25"/>
      <c r="I79" s="2"/>
      <c r="J79" s="2"/>
      <c r="K79" s="26"/>
      <c r="L79" s="23"/>
      <c r="M79" s="10"/>
      <c r="N79" s="5"/>
    </row>
    <row r="80" spans="1:14" ht="15.5" hidden="1" x14ac:dyDescent="0.35">
      <c r="A80" s="40" t="s">
        <v>78</v>
      </c>
      <c r="B80" s="23"/>
      <c r="C80" s="8"/>
      <c r="D80" s="8"/>
      <c r="E80" s="8"/>
      <c r="F80" s="8"/>
      <c r="G80" s="10"/>
      <c r="H80" s="25"/>
      <c r="I80" s="2"/>
      <c r="J80" s="2"/>
      <c r="K80" s="26"/>
      <c r="L80" s="23"/>
      <c r="M80" s="10"/>
      <c r="N80" s="5"/>
    </row>
    <row r="81" spans="1:14" ht="15.5" hidden="1" x14ac:dyDescent="0.35">
      <c r="A81" s="40" t="s">
        <v>80</v>
      </c>
      <c r="B81" s="23"/>
      <c r="C81" s="8"/>
      <c r="D81" s="8"/>
      <c r="E81" s="8"/>
      <c r="F81" s="8"/>
      <c r="G81" s="10"/>
      <c r="H81" s="25"/>
      <c r="I81" s="2"/>
      <c r="J81" s="2"/>
      <c r="K81" s="26"/>
      <c r="L81" s="23"/>
      <c r="M81" s="10"/>
      <c r="N81" s="5"/>
    </row>
    <row r="82" spans="1:14" ht="15.5" hidden="1" x14ac:dyDescent="0.35">
      <c r="A82" s="40" t="s">
        <v>82</v>
      </c>
      <c r="B82" s="23"/>
      <c r="C82" s="8"/>
      <c r="D82" s="8"/>
      <c r="E82" s="8"/>
      <c r="F82" s="8"/>
      <c r="G82" s="10"/>
      <c r="H82" s="25"/>
      <c r="I82" s="2"/>
      <c r="J82" s="2"/>
      <c r="K82" s="26"/>
      <c r="L82" s="23"/>
      <c r="M82" s="10"/>
      <c r="N82" s="5"/>
    </row>
    <row r="83" spans="1:14" ht="15.5" hidden="1" x14ac:dyDescent="0.35">
      <c r="A83" s="40" t="s">
        <v>84</v>
      </c>
      <c r="B83" s="23"/>
      <c r="C83" s="8"/>
      <c r="D83" s="8"/>
      <c r="E83" s="8"/>
      <c r="F83" s="8"/>
      <c r="G83" s="10"/>
      <c r="H83" s="25"/>
      <c r="I83" s="2"/>
      <c r="J83" s="2"/>
      <c r="K83" s="26"/>
      <c r="L83" s="23"/>
      <c r="M83" s="10"/>
      <c r="N83" s="5"/>
    </row>
    <row r="84" spans="1:14" ht="15.5" hidden="1" x14ac:dyDescent="0.35">
      <c r="A84" s="40" t="s">
        <v>86</v>
      </c>
      <c r="B84" s="23"/>
      <c r="C84" s="8"/>
      <c r="D84" s="8"/>
      <c r="E84" s="8"/>
      <c r="F84" s="8"/>
      <c r="G84" s="10"/>
      <c r="H84" s="25"/>
      <c r="I84" s="2"/>
      <c r="J84" s="2"/>
      <c r="K84" s="26"/>
      <c r="L84" s="23"/>
      <c r="M84" s="10"/>
      <c r="N84" s="5"/>
    </row>
    <row r="85" spans="1:14" ht="15.5" hidden="1" x14ac:dyDescent="0.35">
      <c r="A85" s="40" t="s">
        <v>88</v>
      </c>
      <c r="B85" s="23"/>
      <c r="C85" s="8"/>
      <c r="D85" s="8"/>
      <c r="E85" s="8"/>
      <c r="F85" s="8"/>
      <c r="G85" s="10"/>
      <c r="H85" s="25"/>
      <c r="I85" s="2"/>
      <c r="J85" s="2"/>
      <c r="K85" s="26"/>
      <c r="L85" s="23"/>
      <c r="M85" s="10"/>
      <c r="N85" s="5"/>
    </row>
    <row r="86" spans="1:14" ht="15.5" hidden="1" x14ac:dyDescent="0.35">
      <c r="A86" s="40" t="s">
        <v>90</v>
      </c>
      <c r="B86" s="23"/>
      <c r="C86" s="8"/>
      <c r="D86" s="8"/>
      <c r="E86" s="8"/>
      <c r="F86" s="8"/>
      <c r="G86" s="10"/>
      <c r="H86" s="25"/>
      <c r="I86" s="2"/>
      <c r="J86" s="2"/>
      <c r="K86" s="26"/>
      <c r="L86" s="23"/>
      <c r="M86" s="10"/>
      <c r="N86" s="5"/>
    </row>
    <row r="87" spans="1:14" ht="15.5" hidden="1" x14ac:dyDescent="0.35">
      <c r="A87" s="40" t="s">
        <v>92</v>
      </c>
      <c r="B87" s="23"/>
      <c r="C87" s="8"/>
      <c r="D87" s="8"/>
      <c r="E87" s="8"/>
      <c r="F87" s="8"/>
      <c r="G87" s="10"/>
      <c r="H87" s="25"/>
      <c r="I87" s="2"/>
      <c r="J87" s="2"/>
      <c r="K87" s="26"/>
      <c r="L87" s="23"/>
      <c r="M87" s="10"/>
      <c r="N87" s="5"/>
    </row>
    <row r="88" spans="1:14" ht="15.5" hidden="1" x14ac:dyDescent="0.35">
      <c r="A88" s="40" t="s">
        <v>94</v>
      </c>
      <c r="B88" s="23"/>
      <c r="C88" s="8"/>
      <c r="D88" s="8"/>
      <c r="E88" s="8"/>
      <c r="F88" s="8"/>
      <c r="G88" s="10"/>
      <c r="H88" s="25"/>
      <c r="I88" s="2"/>
      <c r="J88" s="2"/>
      <c r="K88" s="26"/>
      <c r="L88" s="23"/>
      <c r="M88" s="10"/>
      <c r="N88" s="5"/>
    </row>
    <row r="89" spans="1:14" ht="15.5" hidden="1" x14ac:dyDescent="0.35">
      <c r="A89" s="40" t="s">
        <v>96</v>
      </c>
      <c r="B89" s="23"/>
      <c r="C89" s="8"/>
      <c r="D89" s="8"/>
      <c r="E89" s="8"/>
      <c r="F89" s="8"/>
      <c r="G89" s="10"/>
      <c r="H89" s="25"/>
      <c r="I89" s="2"/>
      <c r="J89" s="2"/>
      <c r="K89" s="26"/>
      <c r="L89" s="23"/>
      <c r="M89" s="10"/>
      <c r="N89" s="5"/>
    </row>
    <row r="90" spans="1:14" ht="15.5" hidden="1" x14ac:dyDescent="0.35">
      <c r="A90" s="40" t="s">
        <v>98</v>
      </c>
      <c r="B90" s="23"/>
      <c r="C90" s="8"/>
      <c r="D90" s="8"/>
      <c r="E90" s="8"/>
      <c r="F90" s="8"/>
      <c r="G90" s="10"/>
      <c r="H90" s="25"/>
      <c r="I90" s="2"/>
      <c r="J90" s="2"/>
      <c r="K90" s="26"/>
      <c r="L90" s="23"/>
      <c r="M90" s="10"/>
      <c r="N90" s="5"/>
    </row>
    <row r="91" spans="1:14" ht="15.5" hidden="1" x14ac:dyDescent="0.35">
      <c r="A91" s="40" t="s">
        <v>103</v>
      </c>
      <c r="B91" s="23"/>
      <c r="C91" s="8"/>
      <c r="D91" s="8"/>
      <c r="E91" s="8"/>
      <c r="F91" s="8"/>
      <c r="G91" s="10"/>
      <c r="H91" s="24"/>
      <c r="I91" s="18"/>
      <c r="J91" s="18"/>
      <c r="K91" s="19"/>
      <c r="L91" s="23"/>
      <c r="M91" s="10"/>
      <c r="N91" s="5"/>
    </row>
    <row r="92" spans="1:14" ht="24" customHeight="1" x14ac:dyDescent="0.35">
      <c r="A92" s="39" t="s">
        <v>104</v>
      </c>
      <c r="B92" s="8"/>
      <c r="C92" s="8"/>
      <c r="D92" s="8"/>
      <c r="E92" s="8"/>
      <c r="F92" s="8"/>
      <c r="G92" s="10"/>
      <c r="H92" s="39" t="s">
        <v>102</v>
      </c>
      <c r="I92" s="8"/>
      <c r="J92" s="8"/>
      <c r="K92" s="10"/>
      <c r="L92" s="39" t="s">
        <v>72</v>
      </c>
      <c r="M92" s="10"/>
      <c r="N92" s="30"/>
    </row>
    <row r="93" spans="1:14" ht="15.5" x14ac:dyDescent="0.35">
      <c r="A93" s="40" t="s">
        <v>73</v>
      </c>
      <c r="B93" s="23" t="s">
        <v>105</v>
      </c>
      <c r="C93" s="8"/>
      <c r="D93" s="8"/>
      <c r="E93" s="8"/>
      <c r="F93" s="8"/>
      <c r="G93" s="10"/>
      <c r="H93" s="43" t="s">
        <v>106</v>
      </c>
      <c r="I93" s="14"/>
      <c r="J93" s="14"/>
      <c r="K93" s="15"/>
      <c r="L93" s="42">
        <v>2</v>
      </c>
      <c r="M93" s="10"/>
      <c r="N93" s="5"/>
    </row>
    <row r="94" spans="1:14" ht="15.5" x14ac:dyDescent="0.35">
      <c r="A94" s="40" t="s">
        <v>76</v>
      </c>
      <c r="B94" s="23" t="s">
        <v>107</v>
      </c>
      <c r="C94" s="8"/>
      <c r="D94" s="8"/>
      <c r="E94" s="8"/>
      <c r="F94" s="8"/>
      <c r="G94" s="10"/>
      <c r="H94" s="25"/>
      <c r="I94" s="2"/>
      <c r="J94" s="2"/>
      <c r="K94" s="26"/>
      <c r="L94" s="42">
        <v>2</v>
      </c>
      <c r="M94" s="10"/>
      <c r="N94" s="5"/>
    </row>
    <row r="95" spans="1:14" ht="15.5" x14ac:dyDescent="0.35">
      <c r="A95" s="40" t="s">
        <v>78</v>
      </c>
      <c r="B95" s="23" t="s">
        <v>108</v>
      </c>
      <c r="C95" s="8"/>
      <c r="D95" s="8"/>
      <c r="E95" s="8"/>
      <c r="F95" s="8"/>
      <c r="G95" s="10"/>
      <c r="H95" s="25"/>
      <c r="I95" s="2"/>
      <c r="J95" s="2"/>
      <c r="K95" s="26"/>
      <c r="L95" s="42">
        <v>2</v>
      </c>
      <c r="M95" s="10"/>
      <c r="N95" s="5"/>
    </row>
    <row r="96" spans="1:14" ht="15.5" x14ac:dyDescent="0.35">
      <c r="A96" s="40" t="s">
        <v>80</v>
      </c>
      <c r="B96" s="23" t="s">
        <v>109</v>
      </c>
      <c r="C96" s="8"/>
      <c r="D96" s="8"/>
      <c r="E96" s="8"/>
      <c r="F96" s="8"/>
      <c r="G96" s="10"/>
      <c r="H96" s="25"/>
      <c r="I96" s="2"/>
      <c r="J96" s="2"/>
      <c r="K96" s="26"/>
      <c r="L96" s="42">
        <v>2</v>
      </c>
      <c r="M96" s="10"/>
      <c r="N96" s="5"/>
    </row>
    <row r="97" spans="1:14" ht="15.5" x14ac:dyDescent="0.35">
      <c r="A97" s="40" t="s">
        <v>82</v>
      </c>
      <c r="B97" s="23" t="s">
        <v>110</v>
      </c>
      <c r="C97" s="8"/>
      <c r="D97" s="8"/>
      <c r="E97" s="8"/>
      <c r="F97" s="8"/>
      <c r="G97" s="10"/>
      <c r="H97" s="25"/>
      <c r="I97" s="2"/>
      <c r="J97" s="2"/>
      <c r="K97" s="26"/>
      <c r="L97" s="42">
        <v>2</v>
      </c>
      <c r="M97" s="10"/>
      <c r="N97" s="5"/>
    </row>
    <row r="98" spans="1:14" ht="15.5" x14ac:dyDescent="0.35">
      <c r="A98" s="40" t="s">
        <v>84</v>
      </c>
      <c r="B98" s="23" t="s">
        <v>111</v>
      </c>
      <c r="C98" s="8"/>
      <c r="D98" s="8"/>
      <c r="E98" s="8"/>
      <c r="F98" s="8"/>
      <c r="G98" s="10"/>
      <c r="H98" s="25"/>
      <c r="I98" s="2"/>
      <c r="J98" s="2"/>
      <c r="K98" s="26"/>
      <c r="L98" s="42">
        <v>2</v>
      </c>
      <c r="M98" s="10"/>
      <c r="N98" s="5"/>
    </row>
    <row r="99" spans="1:14" ht="15.5" x14ac:dyDescent="0.35">
      <c r="A99" s="40" t="s">
        <v>86</v>
      </c>
      <c r="B99" s="23" t="s">
        <v>112</v>
      </c>
      <c r="C99" s="8"/>
      <c r="D99" s="8"/>
      <c r="E99" s="8"/>
      <c r="F99" s="8"/>
      <c r="G99" s="10"/>
      <c r="H99" s="25"/>
      <c r="I99" s="2"/>
      <c r="J99" s="2"/>
      <c r="K99" s="26"/>
      <c r="L99" s="42">
        <v>2</v>
      </c>
      <c r="M99" s="10"/>
      <c r="N99" s="5"/>
    </row>
    <row r="100" spans="1:14" ht="15.5" x14ac:dyDescent="0.35">
      <c r="A100" s="40" t="s">
        <v>88</v>
      </c>
      <c r="B100" s="23" t="s">
        <v>113</v>
      </c>
      <c r="C100" s="8"/>
      <c r="D100" s="8"/>
      <c r="E100" s="8"/>
      <c r="F100" s="8"/>
      <c r="G100" s="10"/>
      <c r="H100" s="25"/>
      <c r="I100" s="2"/>
      <c r="J100" s="2"/>
      <c r="K100" s="26"/>
      <c r="L100" s="42">
        <v>2</v>
      </c>
      <c r="M100" s="10"/>
      <c r="N100" s="5"/>
    </row>
    <row r="101" spans="1:14" ht="15.5" x14ac:dyDescent="0.35">
      <c r="A101" s="40" t="s">
        <v>90</v>
      </c>
      <c r="B101" s="23" t="s">
        <v>114</v>
      </c>
      <c r="C101" s="8"/>
      <c r="D101" s="8"/>
      <c r="E101" s="8"/>
      <c r="F101" s="8"/>
      <c r="G101" s="10"/>
      <c r="H101" s="25"/>
      <c r="I101" s="2"/>
      <c r="J101" s="2"/>
      <c r="K101" s="26"/>
      <c r="L101" s="42">
        <v>2</v>
      </c>
      <c r="M101" s="10"/>
      <c r="N101" s="5"/>
    </row>
    <row r="102" spans="1:14" ht="15.5" x14ac:dyDescent="0.35">
      <c r="A102" s="40" t="s">
        <v>92</v>
      </c>
      <c r="B102" s="23" t="s">
        <v>115</v>
      </c>
      <c r="C102" s="8"/>
      <c r="D102" s="8"/>
      <c r="E102" s="8"/>
      <c r="F102" s="8"/>
      <c r="G102" s="10"/>
      <c r="H102" s="25"/>
      <c r="I102" s="2"/>
      <c r="J102" s="2"/>
      <c r="K102" s="26"/>
      <c r="L102" s="42">
        <v>2</v>
      </c>
      <c r="M102" s="10"/>
      <c r="N102" s="5"/>
    </row>
    <row r="103" spans="1:14" ht="15.5" x14ac:dyDescent="0.35">
      <c r="A103" s="40" t="s">
        <v>94</v>
      </c>
      <c r="B103" s="23" t="s">
        <v>116</v>
      </c>
      <c r="C103" s="8"/>
      <c r="D103" s="8"/>
      <c r="E103" s="8"/>
      <c r="F103" s="8"/>
      <c r="G103" s="10"/>
      <c r="H103" s="25"/>
      <c r="I103" s="2"/>
      <c r="J103" s="2"/>
      <c r="K103" s="26"/>
      <c r="L103" s="42">
        <v>2</v>
      </c>
      <c r="M103" s="10"/>
      <c r="N103" s="5"/>
    </row>
    <row r="104" spans="1:14" ht="15.5" x14ac:dyDescent="0.35">
      <c r="A104" s="40" t="s">
        <v>96</v>
      </c>
      <c r="B104" s="23" t="s">
        <v>117</v>
      </c>
      <c r="C104" s="8"/>
      <c r="D104" s="8"/>
      <c r="E104" s="8"/>
      <c r="F104" s="8"/>
      <c r="G104" s="10"/>
      <c r="H104" s="25"/>
      <c r="I104" s="2"/>
      <c r="J104" s="2"/>
      <c r="K104" s="26"/>
      <c r="L104" s="42">
        <v>2</v>
      </c>
      <c r="M104" s="10"/>
      <c r="N104" s="5"/>
    </row>
    <row r="105" spans="1:14" ht="15.5" x14ac:dyDescent="0.35">
      <c r="A105" s="40" t="s">
        <v>98</v>
      </c>
      <c r="B105" s="23" t="s">
        <v>118</v>
      </c>
      <c r="C105" s="8"/>
      <c r="D105" s="8"/>
      <c r="E105" s="8"/>
      <c r="F105" s="8"/>
      <c r="G105" s="10"/>
      <c r="H105" s="25"/>
      <c r="I105" s="2"/>
      <c r="J105" s="2"/>
      <c r="K105" s="26"/>
      <c r="L105" s="42">
        <v>2</v>
      </c>
      <c r="M105" s="10"/>
      <c r="N105" s="5"/>
    </row>
    <row r="106" spans="1:14" ht="15.5" x14ac:dyDescent="0.35">
      <c r="A106" s="40" t="s">
        <v>103</v>
      </c>
      <c r="B106" s="23" t="s">
        <v>119</v>
      </c>
      <c r="C106" s="8"/>
      <c r="D106" s="8"/>
      <c r="E106" s="8"/>
      <c r="F106" s="8"/>
      <c r="G106" s="10"/>
      <c r="H106" s="24"/>
      <c r="I106" s="18"/>
      <c r="J106" s="18"/>
      <c r="K106" s="19"/>
      <c r="L106" s="42">
        <v>2</v>
      </c>
      <c r="M106" s="10"/>
      <c r="N106" s="5"/>
    </row>
    <row r="107" spans="1:14" ht="24" hidden="1" customHeight="1" x14ac:dyDescent="0.35">
      <c r="A107" s="39" t="s">
        <v>120</v>
      </c>
      <c r="B107" s="8"/>
      <c r="C107" s="8"/>
      <c r="D107" s="8"/>
      <c r="E107" s="8"/>
      <c r="F107" s="8"/>
      <c r="G107" s="10"/>
      <c r="H107" s="39"/>
      <c r="I107" s="8"/>
      <c r="J107" s="8"/>
      <c r="K107" s="10"/>
      <c r="L107" s="39" t="s">
        <v>72</v>
      </c>
      <c r="M107" s="10"/>
      <c r="N107" s="30"/>
    </row>
    <row r="108" spans="1:14" ht="15.5" hidden="1" x14ac:dyDescent="0.35">
      <c r="A108" s="40" t="s">
        <v>73</v>
      </c>
      <c r="B108" s="23"/>
      <c r="C108" s="8"/>
      <c r="D108" s="8"/>
      <c r="E108" s="8"/>
      <c r="F108" s="8"/>
      <c r="G108" s="10"/>
      <c r="H108" s="41"/>
      <c r="I108" s="14"/>
      <c r="J108" s="14"/>
      <c r="K108" s="15"/>
      <c r="L108" s="23"/>
      <c r="M108" s="10"/>
      <c r="N108" s="5"/>
    </row>
    <row r="109" spans="1:14" ht="15.5" hidden="1" x14ac:dyDescent="0.35">
      <c r="A109" s="40" t="s">
        <v>76</v>
      </c>
      <c r="B109" s="23"/>
      <c r="C109" s="8"/>
      <c r="D109" s="8"/>
      <c r="E109" s="8"/>
      <c r="F109" s="8"/>
      <c r="G109" s="10"/>
      <c r="H109" s="25"/>
      <c r="I109" s="2"/>
      <c r="J109" s="2"/>
      <c r="K109" s="26"/>
      <c r="L109" s="23"/>
      <c r="M109" s="10"/>
      <c r="N109" s="5"/>
    </row>
    <row r="110" spans="1:14" ht="15.5" hidden="1" x14ac:dyDescent="0.35">
      <c r="A110" s="40" t="s">
        <v>78</v>
      </c>
      <c r="B110" s="23"/>
      <c r="C110" s="8"/>
      <c r="D110" s="8"/>
      <c r="E110" s="8"/>
      <c r="F110" s="8"/>
      <c r="G110" s="10"/>
      <c r="H110" s="25"/>
      <c r="I110" s="2"/>
      <c r="J110" s="2"/>
      <c r="K110" s="26"/>
      <c r="L110" s="23"/>
      <c r="M110" s="10"/>
      <c r="N110" s="5"/>
    </row>
    <row r="111" spans="1:14" ht="15.5" hidden="1" x14ac:dyDescent="0.35">
      <c r="A111" s="40" t="s">
        <v>80</v>
      </c>
      <c r="B111" s="23"/>
      <c r="C111" s="8"/>
      <c r="D111" s="8"/>
      <c r="E111" s="8"/>
      <c r="F111" s="8"/>
      <c r="G111" s="10"/>
      <c r="H111" s="25"/>
      <c r="I111" s="2"/>
      <c r="J111" s="2"/>
      <c r="K111" s="26"/>
      <c r="L111" s="23"/>
      <c r="M111" s="10"/>
      <c r="N111" s="5"/>
    </row>
    <row r="112" spans="1:14" ht="15.5" hidden="1" x14ac:dyDescent="0.35">
      <c r="A112" s="40" t="s">
        <v>82</v>
      </c>
      <c r="B112" s="23"/>
      <c r="C112" s="8"/>
      <c r="D112" s="8"/>
      <c r="E112" s="8"/>
      <c r="F112" s="8"/>
      <c r="G112" s="10"/>
      <c r="H112" s="25"/>
      <c r="I112" s="2"/>
      <c r="J112" s="2"/>
      <c r="K112" s="26"/>
      <c r="L112" s="23"/>
      <c r="M112" s="10"/>
      <c r="N112" s="5"/>
    </row>
    <row r="113" spans="1:14" ht="15.5" hidden="1" x14ac:dyDescent="0.35">
      <c r="A113" s="40" t="s">
        <v>84</v>
      </c>
      <c r="B113" s="23"/>
      <c r="C113" s="8"/>
      <c r="D113" s="8"/>
      <c r="E113" s="8"/>
      <c r="F113" s="8"/>
      <c r="G113" s="10"/>
      <c r="H113" s="25"/>
      <c r="I113" s="2"/>
      <c r="J113" s="2"/>
      <c r="K113" s="26"/>
      <c r="L113" s="23"/>
      <c r="M113" s="10"/>
      <c r="N113" s="5"/>
    </row>
    <row r="114" spans="1:14" ht="15.5" hidden="1" x14ac:dyDescent="0.35">
      <c r="A114" s="40" t="s">
        <v>86</v>
      </c>
      <c r="B114" s="23"/>
      <c r="C114" s="8"/>
      <c r="D114" s="8"/>
      <c r="E114" s="8"/>
      <c r="F114" s="8"/>
      <c r="G114" s="10"/>
      <c r="H114" s="25"/>
      <c r="I114" s="2"/>
      <c r="J114" s="2"/>
      <c r="K114" s="26"/>
      <c r="L114" s="23"/>
      <c r="M114" s="10"/>
      <c r="N114" s="5"/>
    </row>
    <row r="115" spans="1:14" ht="15.5" hidden="1" x14ac:dyDescent="0.35">
      <c r="A115" s="40" t="s">
        <v>88</v>
      </c>
      <c r="B115" s="23"/>
      <c r="C115" s="8"/>
      <c r="D115" s="8"/>
      <c r="E115" s="8"/>
      <c r="F115" s="8"/>
      <c r="G115" s="10"/>
      <c r="H115" s="25"/>
      <c r="I115" s="2"/>
      <c r="J115" s="2"/>
      <c r="K115" s="26"/>
      <c r="L115" s="23"/>
      <c r="M115" s="10"/>
      <c r="N115" s="5"/>
    </row>
    <row r="116" spans="1:14" ht="15.5" hidden="1" x14ac:dyDescent="0.35">
      <c r="A116" s="40" t="s">
        <v>90</v>
      </c>
      <c r="B116" s="23"/>
      <c r="C116" s="8"/>
      <c r="D116" s="8"/>
      <c r="E116" s="8"/>
      <c r="F116" s="8"/>
      <c r="G116" s="10"/>
      <c r="H116" s="25"/>
      <c r="I116" s="2"/>
      <c r="J116" s="2"/>
      <c r="K116" s="26"/>
      <c r="L116" s="23"/>
      <c r="M116" s="10"/>
      <c r="N116" s="5"/>
    </row>
    <row r="117" spans="1:14" ht="15.5" hidden="1" x14ac:dyDescent="0.35">
      <c r="A117" s="40" t="s">
        <v>92</v>
      </c>
      <c r="B117" s="23"/>
      <c r="C117" s="8"/>
      <c r="D117" s="8"/>
      <c r="E117" s="8"/>
      <c r="F117" s="8"/>
      <c r="G117" s="10"/>
      <c r="H117" s="25"/>
      <c r="I117" s="2"/>
      <c r="J117" s="2"/>
      <c r="K117" s="26"/>
      <c r="L117" s="23"/>
      <c r="M117" s="10"/>
      <c r="N117" s="5"/>
    </row>
    <row r="118" spans="1:14" ht="15.5" hidden="1" x14ac:dyDescent="0.35">
      <c r="A118" s="40" t="s">
        <v>94</v>
      </c>
      <c r="B118" s="23"/>
      <c r="C118" s="8"/>
      <c r="D118" s="8"/>
      <c r="E118" s="8"/>
      <c r="F118" s="8"/>
      <c r="G118" s="10"/>
      <c r="H118" s="25"/>
      <c r="I118" s="2"/>
      <c r="J118" s="2"/>
      <c r="K118" s="26"/>
      <c r="L118" s="23"/>
      <c r="M118" s="10"/>
      <c r="N118" s="5"/>
    </row>
    <row r="119" spans="1:14" ht="15.5" hidden="1" x14ac:dyDescent="0.35">
      <c r="A119" s="40" t="s">
        <v>96</v>
      </c>
      <c r="B119" s="23"/>
      <c r="C119" s="8"/>
      <c r="D119" s="8"/>
      <c r="E119" s="8"/>
      <c r="F119" s="8"/>
      <c r="G119" s="10"/>
      <c r="H119" s="25"/>
      <c r="I119" s="2"/>
      <c r="J119" s="2"/>
      <c r="K119" s="26"/>
      <c r="L119" s="23"/>
      <c r="M119" s="10"/>
      <c r="N119" s="5"/>
    </row>
    <row r="120" spans="1:14" ht="15.5" hidden="1" x14ac:dyDescent="0.35">
      <c r="A120" s="40" t="s">
        <v>98</v>
      </c>
      <c r="B120" s="23"/>
      <c r="C120" s="8"/>
      <c r="D120" s="8"/>
      <c r="E120" s="8"/>
      <c r="F120" s="8"/>
      <c r="G120" s="10"/>
      <c r="H120" s="25"/>
      <c r="I120" s="2"/>
      <c r="J120" s="2"/>
      <c r="K120" s="26"/>
      <c r="L120" s="23"/>
      <c r="M120" s="10"/>
      <c r="N120" s="5"/>
    </row>
    <row r="121" spans="1:14" ht="15.5" hidden="1" x14ac:dyDescent="0.35">
      <c r="A121" s="40" t="s">
        <v>103</v>
      </c>
      <c r="B121" s="23"/>
      <c r="C121" s="8"/>
      <c r="D121" s="8"/>
      <c r="E121" s="8"/>
      <c r="F121" s="8"/>
      <c r="G121" s="10"/>
      <c r="H121" s="24"/>
      <c r="I121" s="18"/>
      <c r="J121" s="18"/>
      <c r="K121" s="19"/>
      <c r="L121" s="23"/>
      <c r="M121" s="10"/>
      <c r="N121" s="5"/>
    </row>
    <row r="122" spans="1:14" ht="115.5" customHeight="1" x14ac:dyDescent="0.35">
      <c r="A122" s="23" t="s">
        <v>121</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122</v>
      </c>
      <c r="B124" s="2"/>
      <c r="C124" s="2"/>
      <c r="D124" s="2"/>
      <c r="E124" s="2"/>
      <c r="F124" s="2"/>
      <c r="G124" s="2"/>
      <c r="H124" s="2"/>
      <c r="I124" s="2"/>
      <c r="J124" s="2"/>
      <c r="K124" s="2"/>
      <c r="L124" s="2"/>
      <c r="M124" s="2"/>
      <c r="N124" s="30"/>
    </row>
    <row r="125" spans="1:14" ht="46.5" x14ac:dyDescent="0.35">
      <c r="A125" s="44" t="s">
        <v>123</v>
      </c>
      <c r="B125" s="45" t="s">
        <v>124</v>
      </c>
      <c r="C125" s="8"/>
      <c r="D125" s="8"/>
      <c r="E125" s="8"/>
      <c r="F125" s="8"/>
      <c r="G125" s="10"/>
      <c r="H125" s="45" t="s">
        <v>125</v>
      </c>
      <c r="I125" s="8"/>
      <c r="J125" s="8"/>
      <c r="K125" s="10"/>
      <c r="L125" s="46" t="s">
        <v>126</v>
      </c>
      <c r="M125" s="10"/>
      <c r="N125" s="5"/>
    </row>
    <row r="126" spans="1:14" ht="34.5" customHeight="1" x14ac:dyDescent="0.35">
      <c r="A126" s="47" t="s">
        <v>127</v>
      </c>
      <c r="B126" s="48" t="s">
        <v>128</v>
      </c>
      <c r="C126" s="14"/>
      <c r="D126" s="14"/>
      <c r="E126" s="14"/>
      <c r="F126" s="14"/>
      <c r="G126" s="15"/>
      <c r="H126" s="49" t="s">
        <v>129</v>
      </c>
      <c r="I126" s="14"/>
      <c r="J126" s="14"/>
      <c r="K126" s="50" t="s">
        <v>130</v>
      </c>
      <c r="L126" s="51">
        <f>1-SUM(L129:M131)</f>
        <v>0.5</v>
      </c>
      <c r="M126" s="15"/>
      <c r="N126" s="5"/>
    </row>
    <row r="127" spans="1:14" ht="31.5" customHeight="1" x14ac:dyDescent="0.35">
      <c r="A127" s="52"/>
      <c r="B127" s="25"/>
      <c r="C127" s="2"/>
      <c r="D127" s="2"/>
      <c r="E127" s="2"/>
      <c r="F127" s="2"/>
      <c r="G127" s="26"/>
      <c r="H127" s="25"/>
      <c r="I127" s="2"/>
      <c r="J127" s="2"/>
      <c r="K127" s="52"/>
      <c r="L127" s="25"/>
      <c r="M127" s="26"/>
      <c r="N127" s="5"/>
    </row>
    <row r="128" spans="1:14" ht="36.75" customHeight="1" x14ac:dyDescent="0.35">
      <c r="A128" s="36"/>
      <c r="B128" s="24"/>
      <c r="C128" s="18"/>
      <c r="D128" s="18"/>
      <c r="E128" s="18"/>
      <c r="F128" s="18"/>
      <c r="G128" s="19"/>
      <c r="H128" s="24"/>
      <c r="I128" s="18"/>
      <c r="J128" s="18"/>
      <c r="K128" s="36"/>
      <c r="L128" s="24"/>
      <c r="M128" s="19"/>
      <c r="N128" s="5"/>
    </row>
    <row r="129" spans="1:14" ht="68.25" hidden="1" customHeight="1" x14ac:dyDescent="0.35">
      <c r="A129" s="44" t="s">
        <v>131</v>
      </c>
      <c r="B129" s="53" t="s">
        <v>132</v>
      </c>
      <c r="C129" s="8"/>
      <c r="D129" s="8"/>
      <c r="E129" s="8"/>
      <c r="F129" s="8"/>
      <c r="G129" s="10"/>
      <c r="H129" s="53" t="s">
        <v>133</v>
      </c>
      <c r="I129" s="8"/>
      <c r="J129" s="8"/>
      <c r="K129" s="10"/>
      <c r="L129" s="54"/>
      <c r="M129" s="10"/>
      <c r="N129" s="5"/>
    </row>
    <row r="130" spans="1:14" ht="46.5" x14ac:dyDescent="0.35">
      <c r="A130" s="44" t="s">
        <v>134</v>
      </c>
      <c r="B130" s="53" t="s">
        <v>135</v>
      </c>
      <c r="C130" s="8"/>
      <c r="D130" s="8"/>
      <c r="E130" s="8"/>
      <c r="F130" s="8"/>
      <c r="G130" s="10"/>
      <c r="H130" s="53" t="s">
        <v>136</v>
      </c>
      <c r="I130" s="8"/>
      <c r="J130" s="8"/>
      <c r="K130" s="10"/>
      <c r="L130" s="54">
        <v>0.5</v>
      </c>
      <c r="M130" s="10"/>
      <c r="N130" s="5"/>
    </row>
    <row r="131" spans="1:14" ht="31" hidden="1" x14ac:dyDescent="0.35">
      <c r="A131" s="44" t="s">
        <v>137</v>
      </c>
      <c r="B131" s="55" t="s">
        <v>138</v>
      </c>
      <c r="C131" s="8"/>
      <c r="D131" s="8"/>
      <c r="E131" s="8"/>
      <c r="F131" s="8"/>
      <c r="G131" s="10"/>
      <c r="H131" s="53" t="s">
        <v>139</v>
      </c>
      <c r="I131" s="8"/>
      <c r="J131" s="8"/>
      <c r="K131" s="10"/>
      <c r="L131" s="54"/>
      <c r="M131" s="10"/>
      <c r="N131" s="5"/>
    </row>
    <row r="132" spans="1:14" ht="15.5" x14ac:dyDescent="0.35">
      <c r="A132" s="45" t="s">
        <v>140</v>
      </c>
      <c r="B132" s="8"/>
      <c r="C132" s="8"/>
      <c r="D132" s="8"/>
      <c r="E132" s="8"/>
      <c r="F132" s="8"/>
      <c r="G132" s="8"/>
      <c r="H132" s="8"/>
      <c r="I132" s="8"/>
      <c r="J132" s="8"/>
      <c r="K132" s="8"/>
      <c r="L132" s="8"/>
      <c r="M132" s="10"/>
      <c r="N132" s="5"/>
    </row>
    <row r="133" spans="1:14" ht="15.5" x14ac:dyDescent="0.35">
      <c r="A133" s="56" t="s">
        <v>141</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7" t="s">
        <v>142</v>
      </c>
      <c r="B135" s="10"/>
      <c r="C135" s="58">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7" t="s">
        <v>143</v>
      </c>
      <c r="B137" s="10"/>
      <c r="C137" s="9" t="str">
        <f>E15</f>
        <v>Prof. dr. ing. Constantin-Cătălin Dosoftei</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9" t="s">
        <v>144</v>
      </c>
      <c r="B139" s="15"/>
      <c r="C139" s="9" t="str">
        <f t="shared" ref="C139:C141" si="0">E17</f>
        <v>Asist. dr.ing. Georgel Gabor</v>
      </c>
      <c r="D139" s="8"/>
      <c r="E139" s="8"/>
      <c r="F139" s="8"/>
      <c r="G139" s="10"/>
      <c r="H139" s="9">
        <f t="shared" ref="H139:H141" si="1">E20</f>
        <v>0</v>
      </c>
      <c r="I139" s="8"/>
      <c r="J139" s="8"/>
      <c r="K139" s="8"/>
      <c r="L139" s="8"/>
      <c r="M139" s="10"/>
      <c r="N139" s="5"/>
    </row>
    <row r="140" spans="1:14" ht="32.25" customHeight="1" x14ac:dyDescent="0.35">
      <c r="A140" s="25"/>
      <c r="B140" s="26"/>
      <c r="C140" s="9" t="str">
        <f t="shared" si="0"/>
        <v>Prof. dr. ing. Constantin-Cătălin Dosoftei</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7" t="s">
        <v>145</v>
      </c>
      <c r="B143" s="10"/>
      <c r="C143" s="60">
        <f>[1]Date!C35</f>
        <v>45915</v>
      </c>
      <c r="D143" s="10"/>
      <c r="E143" s="57" t="s">
        <v>146</v>
      </c>
      <c r="F143" s="8"/>
      <c r="G143" s="10"/>
      <c r="H143" s="61" t="str">
        <f>[1]Date!C37</f>
        <v>Conf.dr.ing. Mihai POSTOLACHE</v>
      </c>
      <c r="I143" s="8"/>
      <c r="J143" s="8"/>
      <c r="K143" s="8"/>
      <c r="L143" s="8"/>
      <c r="M143" s="10"/>
      <c r="N143" s="5"/>
    </row>
    <row r="144" spans="1:14" ht="21.75" customHeight="1" x14ac:dyDescent="0.35">
      <c r="A144" s="62"/>
      <c r="B144" s="62"/>
      <c r="C144" s="63"/>
      <c r="D144" s="63"/>
      <c r="E144" s="62"/>
      <c r="F144" s="62"/>
      <c r="G144" s="62"/>
      <c r="H144" s="63"/>
      <c r="I144" s="63"/>
      <c r="J144" s="63"/>
      <c r="K144" s="63"/>
      <c r="L144" s="63"/>
      <c r="M144" s="63"/>
      <c r="N144" s="5"/>
    </row>
    <row r="145" spans="1:14" ht="28.5" customHeight="1" x14ac:dyDescent="0.35">
      <c r="A145" s="57" t="s">
        <v>147</v>
      </c>
      <c r="B145" s="10"/>
      <c r="C145" s="60">
        <f>[1]Date!C36</f>
        <v>45918</v>
      </c>
      <c r="D145" s="10"/>
      <c r="E145" s="57" t="s">
        <v>148</v>
      </c>
      <c r="F145" s="8"/>
      <c r="G145" s="10"/>
      <c r="H145" s="61" t="str">
        <f>[1]Date!C38</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2026-03-01T09:15:42Z</dcterms:created>
  <dcterms:modified xsi:type="dcterms:W3CDTF">2026-03-01T09:15:45Z</dcterms:modified>
</cp:coreProperties>
</file>