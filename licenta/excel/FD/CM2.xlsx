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BDFB316D-74AD-4349-8224-3D30F255713F}" xr6:coauthVersionLast="47" xr6:coauthVersionMax="47" xr10:uidLastSave="{00000000-0000-0000-0000-000000000000}"/>
  <bookViews>
    <workbookView xWindow="-110" yWindow="-110" windowWidth="25820" windowHeight="15500" xr2:uid="{3008DE86-8A5E-4FE4-B0F8-4C2D1ACF27B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E14" i="1" a="1"/>
  <c r="E14" i="1" s="1"/>
  <c r="K26" i="1" a="1"/>
  <c r="K26" i="1" s="1"/>
  <c r="K27" i="1" s="1"/>
  <c r="I26" i="1" l="1" a="1"/>
  <c r="I26" i="1" s="1"/>
  <c r="I27" i="1" s="1"/>
  <c r="C36" i="1" a="1"/>
  <c r="C36" i="1" s="1"/>
  <c r="M14" i="1" a="1"/>
  <c r="M14"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8A56B63A-03F7-4957-81F9-32BBE79FADC7}">
      <text>
        <r>
          <rPr>
            <sz val="10"/>
            <color rgb="FF000000"/>
            <rFont val="Aptos Narrow"/>
            <scheme val="minor"/>
          </rPr>
          <t>Pondere din nota de la E / V</t>
        </r>
      </text>
    </comment>
    <comment ref="K127" authorId="0" shapeId="0" xr:uid="{A174E515-73B0-4BB5-9E86-D821EFC1EC99}">
      <text>
        <r>
          <rPr>
            <sz val="10"/>
            <color rgb="FF000000"/>
            <rFont val="Aptos Narrow"/>
            <scheme val="minor"/>
          </rPr>
          <t>Pondere din nota de la E / V</t>
        </r>
      </text>
    </comment>
    <comment ref="K128" authorId="0" shapeId="0" xr:uid="{2048AC96-7915-4807-8EAB-09CAE5C54733}">
      <text>
        <r>
          <rPr>
            <sz val="10"/>
            <color rgb="FF000000"/>
            <rFont val="Aptos Narrow"/>
            <scheme val="minor"/>
          </rPr>
          <t>Pondere din nota de la E / V</t>
        </r>
      </text>
    </comment>
  </commentList>
</comments>
</file>

<file path=xl/sharedStrings.xml><?xml version="1.0" encoding="utf-8"?>
<sst xmlns="http://schemas.openxmlformats.org/spreadsheetml/2006/main" count="189" uniqueCount="136">
  <si>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</si>
  <si>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</si>
  <si>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</si>
  <si>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</si>
  <si>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</si>
  <si>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</si>
  <si>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</si>
  <si>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</si>
  <si>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</si>
  <si>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</si>
  <si>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</si>
  <si>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</si>
  <si>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</si>
  <si>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Complemente de matematică II</t>
  </si>
  <si>
    <t>(în limba engleză, conform Suplimentului la diplomă)</t>
  </si>
  <si>
    <t>2.1.2. Codul disciplinei</t>
  </si>
  <si>
    <t xml:space="preserve">2.1.3. Categoria formativă </t>
  </si>
  <si>
    <t>2.2 Titularul / titularii activităţilor de curs</t>
  </si>
  <si>
    <t>Prof. dr. habil. Dorel Fetcu</t>
  </si>
  <si>
    <t>2.3 Titularul / titularii activităţilor de aplicaţii (S, L, P, Pr)</t>
  </si>
  <si>
    <t>-</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</si>
  <si>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</si>
  <si>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</si>
  <si>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</si>
  <si>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</si>
  <si>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</si>
  <si>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</si>
  <si>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</si>
  <si>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</si>
  <si>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</si>
  <si>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</si>
  <si>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</si>
  <si>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</si>
  <si>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</si>
  <si>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</si>
  <si>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</si>
  <si>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</si>
  <si>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</si>
  <si>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</si>
  <si>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</si>
  <si>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</si>
  <si>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</si>
  <si>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</si>
  <si>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</si>
  <si>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</si>
  <si>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</si>
  <si>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</si>
  <si>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</si>
  <si>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</si>
  <si>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</si>
  <si>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4.2 de rezultate ale învățării</t>
  </si>
  <si>
    <t>Deprinderi de calcul şi operare cu noţiuni de calcul diferenţial și integral</t>
  </si>
  <si>
    <t>5. Condiţii</t>
  </si>
  <si>
    <t>5.1 de desfăşurare a cursului</t>
  </si>
  <si>
    <t xml:space="preserve">Sală de curs, dotată cu calculator, videoproiector, tablă
</t>
  </si>
  <si>
    <t>5.2 de desfăşurare a seminarului / laboratorului / proiectului</t>
  </si>
  <si>
    <t>6. Obiectivul general al disciplinei</t>
  </si>
  <si>
    <t>Obiectivul general este acela al însușirii de către studenți a unor cunoștințe matematice care le completeaza pe cele dobandite in urma frecventarii cursurilor de Analiza Matematica si Matematici aplicate in inginerie, necesare parcurgerii și înțelegerii cu succes a disciplinelor de specialitate. În paralel urmărim formarea unei gândiri logice și perfecționarea deprinderilor de calcul, crearea unei imagini clare asupra importanței și rolului disciplinei în formarea viitorilor specialiști. Se are în vedere consolidarea cunoştinţelor de calcul integral atat in cazul real cat si in cel complex, aplicarea cunostintelor de calcul diferential in studiul functiilor definite implicit si al extremelor cu legaturi, punerea bazelor studiului teoriei campurilor si a teoriei distributiilor.</t>
  </si>
  <si>
    <t>7. Rezultatele învățării</t>
  </si>
  <si>
    <t>Cunoștințe</t>
  </si>
  <si>
    <t>Studentul / Absolventul:</t>
  </si>
  <si>
    <t xml:space="preserve">- Definește conceptele fundamentale din disciplinele de bază si avansate ale matematicii din curricula.
- Compară și distinge noțiunile înrudite și proprietățile acestora din disciplinele de bază si avansate ale matematicii.
- Formulează observații și diferențiază noțiuni, proprietăți și aserțiuni din disciplinele de baza si cele avansate de matematica.
- Definește conceptele de bază din discipline avansate de matematică din curricula..
- Indică și recunoaște conceptele implicate în cerințele din exercițiile și problemele formulate la disciplinele din curricula.
</t>
  </si>
  <si>
    <t>Aptitudini</t>
  </si>
  <si>
    <t xml:space="preserve">- oferă exemple de utilizare a conceptelor și rezultatelor teoretice de bază la rezolvarea exercițiilor și problemelor formulate în legătură cu tematica parcursă la disciplinele din curriculă.
- recunoaște și analizează condițiile necesare și/sau suficiente din enunțul aserțiunilor matematice și specifică rolul acestora în demonstrație.
- identifică și descrie elementele esențiale din construcția demonstrațiilor unor aserțiuni matematice (leme, propoziții, teoreme), recunoaște erorile de raționament și le corectează.
- răspunde la întrebări și formulează corect și riguros enunțurile unor aserțiuni matematice (leme, propoziții, teoreme) din disciplinele din curriculă.
- reproduce și analizează ipotezele și concluziile din aserțiunile matematice și discută modul în care acestea se pot lega în cadrul demonstrației.
- argumentează rolul elementelor din ipoteza aserțiunilor matematice, discută modul în care  cestea se articulează în demonstrație și construiește în mod independent demonstrații corecte ale unor aserțiuni matematice din cadrul disciplinelor majore ale matematicii.
- identifică și aplică tehnicile adecvate pentru rezolvarea exercițiilor și problemelor din  disciplinele avansate de matematică.
- descrie probleme din lumea reală în termeni matematici, identifică ipotezele de lucru, construiește modele matematice adecvate și explică limitările modelelor astfel obținute.
</t>
  </si>
  <si>
    <t>Responsabilitate și autonomie</t>
  </si>
  <si>
    <t xml:space="preserve">- folosește gândirea logică, analizează enunțul problemelor, selectează metoda specifică de rezolvare a acestora și utilizează scheme logice                                                                                      şi diagrame de lucru în rezolvarea problemelor din tematica parcursă la disciplinele din curriculă.
- adaptează tehnicile și strategiile de rezolvare a problemelor de rutină la rezolvarea problemelor de sinteză și cu grad mai ridicat de complexitate și foloseşte reprezentări variate pentru ilustrarea sau justificarea unor metode de rezolvare a problemelor.
- realizează particularizări sau generalizări, pornind de la o proprietate sau o problemă dată și redactează individual soluțiile complete ale problemelor rezolvate din tematica parcursă.
- extinde tehnicile de rezolvare a problemelor obișnuite la probleme care apar în situații noi și cu grad progresiv de dificultate, caută și alte metode de rezolvare și formulează consecinţe şi concluzii ce decurg dintr-un set de ipoteze.
- analizează metodele de rezolvare, stabilește unicitatea soluțiilor, recunoaște erorile de raționament din rezolvarea unei probleme, găsește modalitatea prin care le poate elimina și obține versiunea corectă a demonstrației / metodei de rezolvare.
- verifică, pe cazuri particulare sau prin construirea unor exemple sau contraexemple, validitatea unor afirmații matematice. Studentul/absolventul transpune o situaţie practică în limbaj matematic, rezolvă problema obţinută şi interpretează rezultatele obţinute. 
- identifică și corelează legături între concepte aparent fără legătură din disciplinele majore ale  matematicii.
- rezumă, clasifică şi prezintă concluziile unor probleme date folosind diverse tipuri de reprezentări și comunică clar și eficient concepte și raționamente matematice la specialiști și nespecialiști prin rapoarte scrise și prezentări orale.
- foloseşte metode de informare şi de documentare independentă, care îi oferă deschiderea spre învăţarea continuă, elaborează comunicări științifice sau rapoarte științifice și face referințe bibliografice complete prin respectarea normelor de etică la citarea surselor de documentare folosite.
- abordează rezolvarea problemelor din unghiuri și direcții diferite, inclusiv pe baza unor metodologii netradiționale, pentru a le utiliza in informatică și la alte aplicații ale matematicii.
</t>
  </si>
  <si>
    <t xml:space="preserve">8. Metode de predare </t>
  </si>
  <si>
    <t>În activitatea de predare vor fi utilizate prelegeri participative și dezbateri care sa faciliteze intelegerea si asimilarea informatiilor prezentate. Fiecare curs va debuta cu o scurtă recapitulare a noțiunilor parcurse la cursul anterior. 
Metoda de predare este bazată şi pe modele de învățare prin descoperire facilitate de explorarea directă și indirectă a realității (experimentul, demonstrația, modelarea), dar și pe metode bazate pe acțiune, precum exercițiul și rezolvarea de probleme) .</t>
  </si>
  <si>
    <t>9. Conţinuturi</t>
  </si>
  <si>
    <t>9.1. Curs</t>
  </si>
  <si>
    <t>Metode de predare</t>
  </si>
  <si>
    <t>Timp alocat</t>
  </si>
  <si>
    <t>1</t>
  </si>
  <si>
    <t>Integrale binome, trigonometrice si integrarea functiilor rationale. Substitutiile lui Euler</t>
  </si>
  <si>
    <t>Prezentare la tablă, prelegere interactivă.
Discuții, Explicații</t>
  </si>
  <si>
    <t>2 ore</t>
  </si>
  <si>
    <t>2</t>
  </si>
  <si>
    <t>Aplicarea Teoremei reziduurilor in calcul integralelor improprii reale</t>
  </si>
  <si>
    <t>3</t>
  </si>
  <si>
    <t>Integrala curbilinie de speta a doua - independenta de drum</t>
  </si>
  <si>
    <t>4</t>
  </si>
  <si>
    <t>Teorema functiilor implicite. Teorema de inversare locala</t>
  </si>
  <si>
    <t>3 ore</t>
  </si>
  <si>
    <t>5</t>
  </si>
  <si>
    <t>Extreme cu legaturi</t>
  </si>
  <si>
    <t>4 ore</t>
  </si>
  <si>
    <t>6</t>
  </si>
  <si>
    <t>Elemente de teoria campurilor. Campuri scalare si campuri vectoriale. Gradientul unui camp scalar. Divergenta si rotorul unui camp vectorial.</t>
  </si>
  <si>
    <t>6 ore</t>
  </si>
  <si>
    <t>7</t>
  </si>
  <si>
    <t>Elemente de teoria distributiilor. Definitii. Proprietati. Distributii de tip functie. Distributii singulare. Derivarea distributiilor. Convolutia distributiilor. Solutii fundamentale ale operatorilor diferentiali.</t>
  </si>
  <si>
    <t>9 ore</t>
  </si>
  <si>
    <t>8</t>
  </si>
  <si>
    <t>9</t>
  </si>
  <si>
    <t>10</t>
  </si>
  <si>
    <t>11</t>
  </si>
  <si>
    <t>12</t>
  </si>
  <si>
    <t>13</t>
  </si>
  <si>
    <t>14</t>
  </si>
  <si>
    <r>
      <rPr>
        <sz val="12"/>
        <rFont val="Arial"/>
      </rPr>
      <t xml:space="preserve">Bibliografie curs:
1. V. Brînzănescu, O. Stănăşilă, Matematici speciale, teorie, exemple, aplicaţii,  Ed.  All, Bucureşti, 1998.
2. Advanced Engineering Mathematics-NPTEL, http://nptel.ac.in/courses/index.php?subjectId=111105035
3. E. Kreyszig, Advanced Engineering Mathematics, Wiley; 10th edition, 2011
4. D. Roşu, Capitole de matematici speciale, Ed. Performantica, Iași, 2017.
5. D. Rosu, Elemente de teoria distributiilor, </t>
    </r>
    <r>
      <rPr>
        <u/>
        <sz val="12"/>
        <color rgb="FF1155CC"/>
        <rFont val="Arial"/>
      </rPr>
      <t>https://math.etti.tuiasi.ro/rosu/index.php?pentru_studenti</t>
    </r>
    <r>
      <rPr>
        <sz val="12"/>
        <rFont val="Arial"/>
      </rPr>
      <t xml:space="preserve">
</t>
    </r>
  </si>
  <si>
    <t>9.2a Seminar</t>
  </si>
  <si>
    <t>Metode de lucru</t>
  </si>
  <si>
    <t>9.2b Laborator</t>
  </si>
  <si>
    <t>9.2c Proiect</t>
  </si>
  <si>
    <t xml:space="preserve">Bibliografie aplicaţii (seminar / laborator / proiect):
1. 
2. 
3. 
...
</t>
  </si>
  <si>
    <t>10. Evaluare</t>
  </si>
  <si>
    <t>Tip activitate</t>
  </si>
  <si>
    <t>10.1 Criterii de evaluare</t>
  </si>
  <si>
    <t>10.2 Metode de evaluare</t>
  </si>
  <si>
    <t>10.3 Pondere din nota finală [%]</t>
  </si>
  <si>
    <t>10.4 Examen / Verificare</t>
  </si>
  <si>
    <t>Completitudinea şi corectitudinea cunoştinţelor. 
Capacitatea de analiză, de interpretare personală, originalitatea, creativitatea. 
Gradul de asimilare a limbajului matematic şi capacitatea de comunicare.</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</si>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</sst>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math.etti.tuiasi.ro/rosu/index.php?pentru_student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84B6-F2FF-49A3-84DE-0CE59E77580D}">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Mathematical Supplements II</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AIA.CMII.114</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hidden="1" x14ac:dyDescent="0.35">
      <c r="A17" s="13" t="s">
        <v>19</v>
      </c>
      <c r="B17" s="14"/>
      <c r="C17" s="14"/>
      <c r="D17" s="15"/>
      <c r="E17" s="23" t="s">
        <v>20</v>
      </c>
      <c r="F17" s="8"/>
      <c r="G17" s="8"/>
      <c r="H17" s="8"/>
      <c r="I17" s="8"/>
      <c r="J17" s="8"/>
      <c r="K17" s="8"/>
      <c r="L17" s="8"/>
      <c r="M17" s="10"/>
      <c r="N17" s="5"/>
    </row>
    <row r="18" spans="1:14" ht="15.5" hidden="1"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1</v>
      </c>
      <c r="D23" s="28" t="s">
        <v>22</v>
      </c>
      <c r="E23" s="27">
        <f t="array" aca="1" ref="E23" ca="1">INDEX([1]Date!A8:A21, MATCH(E12,[1]Date!C8:C21,0),0)</f>
        <v>2</v>
      </c>
      <c r="F23" s="29" t="s">
        <v>23</v>
      </c>
      <c r="G23" s="8"/>
      <c r="H23" s="10"/>
      <c r="I23" s="22" t="str">
        <f t="array" aca="1" ref="I23" ca="1">INDEX([1]Date!M8:M21, MATCH(E12,[1]Date!C8:C21,0),0)</f>
        <v>V</v>
      </c>
      <c r="J23" s="29" t="s">
        <v>24</v>
      </c>
      <c r="K23" s="8"/>
      <c r="L23" s="10"/>
      <c r="M23" s="27" t="str">
        <f t="array" aca="1" ref="M23" ca="1">INDEX([1]Date!F8:F21, MATCH(E12,[1]Date!C8:C21,0),0)</f>
        <v>DFA</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27">
        <f ca="1">SUM(E26+G26+I26+K26)</f>
        <v>2</v>
      </c>
      <c r="D26" s="28" t="s">
        <v>27</v>
      </c>
      <c r="E26" s="27">
        <f t="array" aca="1" ref="E26" ca="1">INDEX([1]Date!H8:H21, MATCH(E12,[1]Date!C8:C21,0),0)</f>
        <v>2</v>
      </c>
      <c r="F26" s="28" t="s">
        <v>28</v>
      </c>
      <c r="G26" s="27">
        <f t="array" aca="1" ref="G26" ca="1">INDEX([1]Date!I8:I21, MATCH(E12,[1]Date!C8:C21,0),0)</f>
        <v>0</v>
      </c>
      <c r="H26" s="28" t="s">
        <v>29</v>
      </c>
      <c r="I26" s="27">
        <f t="array" aca="1" ref="I26" ca="1">INDEX([1]Date!J8:J21, MATCH(E12,[1]Date!C8:C21,0),0)</f>
        <v>0</v>
      </c>
      <c r="J26" s="28" t="s">
        <v>30</v>
      </c>
      <c r="K26" s="27">
        <f t="array" aca="1" ref="K26" ca="1">INDEX([1]Date!K8:K21, MATCH(E12,[1]Date!C8:C21,0),0)</f>
        <v>0</v>
      </c>
      <c r="L26" s="7" t="s">
        <v>31</v>
      </c>
      <c r="M26" s="10"/>
      <c r="N26" s="30"/>
    </row>
    <row r="27" spans="1:14" ht="31" x14ac:dyDescent="0.35">
      <c r="A27" s="7" t="s">
        <v>32</v>
      </c>
      <c r="B27" s="10"/>
      <c r="C27" s="27">
        <f ca="1">C26*14</f>
        <v>28</v>
      </c>
      <c r="D27" s="28" t="s">
        <v>33</v>
      </c>
      <c r="E27" s="27">
        <f ca="1">E26*14</f>
        <v>28</v>
      </c>
      <c r="F27" s="28" t="s">
        <v>34</v>
      </c>
      <c r="G27" s="27">
        <f ca="1">G26*14</f>
        <v>0</v>
      </c>
      <c r="H27" s="28" t="s">
        <v>35</v>
      </c>
      <c r="I27" s="27">
        <f ca="1">I26*14</f>
        <v>0</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1">
        <v>30</v>
      </c>
      <c r="N29" s="5"/>
    </row>
    <row r="30" spans="1:14" ht="15.5" x14ac:dyDescent="0.35">
      <c r="A30" s="7" t="s">
        <v>41</v>
      </c>
      <c r="B30" s="8"/>
      <c r="C30" s="8"/>
      <c r="D30" s="8"/>
      <c r="E30" s="8"/>
      <c r="F30" s="8"/>
      <c r="G30" s="8"/>
      <c r="H30" s="8"/>
      <c r="I30" s="8"/>
      <c r="J30" s="8"/>
      <c r="K30" s="8"/>
      <c r="L30" s="10"/>
      <c r="M30" s="31">
        <v>23</v>
      </c>
      <c r="N30" s="5"/>
    </row>
    <row r="31" spans="1:14" ht="15.5" x14ac:dyDescent="0.35">
      <c r="A31" s="7" t="s">
        <v>42</v>
      </c>
      <c r="B31" s="8"/>
      <c r="C31" s="8"/>
      <c r="D31" s="8"/>
      <c r="E31" s="8"/>
      <c r="F31" s="8"/>
      <c r="G31" s="8"/>
      <c r="H31" s="8"/>
      <c r="I31" s="8"/>
      <c r="J31" s="8"/>
      <c r="K31" s="8"/>
      <c r="L31" s="10"/>
      <c r="M31" s="31"/>
      <c r="N31" s="5"/>
    </row>
    <row r="32" spans="1:14" ht="15.5" x14ac:dyDescent="0.35">
      <c r="A32" s="7" t="s">
        <v>43</v>
      </c>
      <c r="B32" s="8"/>
      <c r="C32" s="8"/>
      <c r="D32" s="8"/>
      <c r="E32" s="8"/>
      <c r="F32" s="8"/>
      <c r="G32" s="8"/>
      <c r="H32" s="8"/>
      <c r="I32" s="8"/>
      <c r="J32" s="8"/>
      <c r="K32" s="8"/>
      <c r="L32" s="10"/>
      <c r="M32" s="27">
        <f t="array" aca="1" ref="M32" ca="1">IF(INDEX([1]Date!M8:M21, MATCH(E12,[1]Date!C8:C21,0),0)="E",3,0)</f>
        <v>0</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INDEX([1]Date!L8:L21, MATCH(E12,[1]Date!C8:C21,0),0)</f>
        <v>53</v>
      </c>
      <c r="D34" s="5"/>
      <c r="E34" s="5"/>
      <c r="F34" s="5"/>
      <c r="G34" s="5"/>
      <c r="H34" s="5"/>
      <c r="I34" s="5"/>
      <c r="J34" s="5"/>
      <c r="K34" s="5"/>
      <c r="L34" s="5"/>
      <c r="M34" s="5"/>
      <c r="N34" s="5"/>
    </row>
    <row r="35" spans="1:14" ht="15.5" x14ac:dyDescent="0.35">
      <c r="A35" s="7" t="s">
        <v>46</v>
      </c>
      <c r="B35" s="10"/>
      <c r="C35" s="27">
        <f ca="1">C27+M32+C34</f>
        <v>81</v>
      </c>
      <c r="D35" s="5"/>
      <c r="E35" s="5"/>
      <c r="F35" s="5"/>
      <c r="G35" s="5"/>
      <c r="H35" s="5"/>
      <c r="I35" s="5"/>
      <c r="J35" s="5"/>
      <c r="K35" s="5"/>
      <c r="L35" s="5"/>
      <c r="M35" s="5"/>
      <c r="N35" s="5"/>
    </row>
    <row r="36" spans="1:14" ht="15.5" x14ac:dyDescent="0.35">
      <c r="A36" s="7" t="s">
        <v>47</v>
      </c>
      <c r="B36" s="10"/>
      <c r="C36" s="27">
        <f t="array" aca="1" ref="C36" ca="1">INDEX([1]Date!N8:N21, MATCH(E12,[1]Date!C8:C21,0),0)</f>
        <v>3</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20</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hidden="1" x14ac:dyDescent="0.35">
      <c r="A44" s="7" t="s">
        <v>55</v>
      </c>
      <c r="B44" s="10"/>
      <c r="C44" s="23" t="s">
        <v>20</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56</v>
      </c>
      <c r="B46" s="2"/>
      <c r="C46" s="2"/>
      <c r="D46" s="2"/>
      <c r="E46" s="2"/>
      <c r="F46" s="2"/>
      <c r="G46" s="2"/>
      <c r="H46" s="2"/>
      <c r="I46" s="2"/>
      <c r="J46" s="2"/>
      <c r="K46" s="2"/>
      <c r="L46" s="2"/>
      <c r="M46" s="2"/>
      <c r="N46" s="30"/>
    </row>
    <row r="47" spans="1:14" ht="15.5" x14ac:dyDescent="0.35">
      <c r="A47" s="23" t="s">
        <v>57</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58</v>
      </c>
      <c r="B49" s="2"/>
      <c r="C49" s="2"/>
      <c r="D49" s="2"/>
      <c r="E49" s="2"/>
      <c r="F49" s="2"/>
      <c r="G49" s="2"/>
      <c r="H49" s="2"/>
      <c r="I49" s="2"/>
      <c r="J49" s="2"/>
      <c r="K49" s="2"/>
      <c r="L49" s="2"/>
      <c r="M49" s="2"/>
      <c r="N49" s="30"/>
    </row>
    <row r="50" spans="1:14" ht="15.5" x14ac:dyDescent="0.35">
      <c r="A50" s="32" t="s">
        <v>59</v>
      </c>
      <c r="B50" s="33" t="s">
        <v>60</v>
      </c>
      <c r="C50" s="8"/>
      <c r="D50" s="8"/>
      <c r="E50" s="8"/>
      <c r="F50" s="8"/>
      <c r="G50" s="8"/>
      <c r="H50" s="8"/>
      <c r="I50" s="8"/>
      <c r="J50" s="8"/>
      <c r="K50" s="8"/>
      <c r="L50" s="8"/>
      <c r="M50" s="10"/>
      <c r="N50" s="5"/>
    </row>
    <row r="51" spans="1:14" ht="15.5" x14ac:dyDescent="0.35">
      <c r="A51" s="34"/>
      <c r="B51" s="35" t="s">
        <v>61</v>
      </c>
      <c r="C51" s="8"/>
      <c r="D51" s="8"/>
      <c r="E51" s="8"/>
      <c r="F51" s="8"/>
      <c r="G51" s="8"/>
      <c r="H51" s="8"/>
      <c r="I51" s="8"/>
      <c r="J51" s="8"/>
      <c r="K51" s="8"/>
      <c r="L51" s="8"/>
      <c r="M51" s="10"/>
      <c r="N51" s="5"/>
    </row>
    <row r="52" spans="1:14" ht="15.5" x14ac:dyDescent="0.35">
      <c r="A52" s="32" t="s">
        <v>62</v>
      </c>
      <c r="B52" s="33" t="s">
        <v>60</v>
      </c>
      <c r="C52" s="8"/>
      <c r="D52" s="8"/>
      <c r="E52" s="8"/>
      <c r="F52" s="8"/>
      <c r="G52" s="8"/>
      <c r="H52" s="8"/>
      <c r="I52" s="8"/>
      <c r="J52" s="8"/>
      <c r="K52" s="8"/>
      <c r="L52" s="8"/>
      <c r="M52" s="10"/>
      <c r="N52" s="5"/>
    </row>
    <row r="53" spans="1:14" ht="15.5" x14ac:dyDescent="0.35">
      <c r="A53" s="34"/>
      <c r="B53" s="35" t="s">
        <v>63</v>
      </c>
      <c r="C53" s="8"/>
      <c r="D53" s="8"/>
      <c r="E53" s="8"/>
      <c r="F53" s="8"/>
      <c r="G53" s="8"/>
      <c r="H53" s="8"/>
      <c r="I53" s="8"/>
      <c r="J53" s="8"/>
      <c r="K53" s="8"/>
      <c r="L53" s="8"/>
      <c r="M53" s="10"/>
      <c r="N53" s="5"/>
    </row>
    <row r="54" spans="1:14" ht="18" customHeight="1" x14ac:dyDescent="0.35">
      <c r="A54" s="32" t="s">
        <v>64</v>
      </c>
      <c r="B54" s="33" t="s">
        <v>60</v>
      </c>
      <c r="C54" s="8"/>
      <c r="D54" s="8"/>
      <c r="E54" s="8"/>
      <c r="F54" s="8"/>
      <c r="G54" s="8"/>
      <c r="H54" s="8"/>
      <c r="I54" s="8"/>
      <c r="J54" s="8"/>
      <c r="K54" s="8"/>
      <c r="L54" s="8"/>
      <c r="M54" s="10"/>
      <c r="N54" s="5"/>
    </row>
    <row r="55" spans="1:14" ht="294" customHeight="1" x14ac:dyDescent="0.35">
      <c r="A55" s="34"/>
      <c r="B55" s="36"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66</v>
      </c>
      <c r="B57" s="2"/>
      <c r="C57" s="2"/>
      <c r="D57" s="2"/>
      <c r="E57" s="2"/>
      <c r="F57" s="2"/>
      <c r="G57" s="2"/>
      <c r="H57" s="2"/>
      <c r="I57" s="2"/>
      <c r="J57" s="2"/>
      <c r="K57" s="2"/>
      <c r="L57" s="2"/>
      <c r="M57" s="2"/>
      <c r="N57" s="30"/>
    </row>
    <row r="58" spans="1:14" ht="85.5" customHeight="1" x14ac:dyDescent="0.35">
      <c r="A58" s="23" t="s">
        <v>67</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68</v>
      </c>
      <c r="B60" s="2"/>
      <c r="C60" s="2"/>
      <c r="D60" s="2"/>
      <c r="E60" s="2"/>
      <c r="F60" s="2"/>
      <c r="G60" s="2"/>
      <c r="H60" s="2"/>
      <c r="I60" s="2"/>
      <c r="J60" s="2"/>
      <c r="K60" s="2"/>
      <c r="L60" s="2"/>
      <c r="M60" s="2"/>
      <c r="N60" s="30"/>
    </row>
    <row r="61" spans="1:14" ht="24.75" customHeight="1" x14ac:dyDescent="0.35">
      <c r="A61" s="37" t="s">
        <v>69</v>
      </c>
      <c r="B61" s="8"/>
      <c r="C61" s="8"/>
      <c r="D61" s="8"/>
      <c r="E61" s="8"/>
      <c r="F61" s="8"/>
      <c r="G61" s="10"/>
      <c r="H61" s="37" t="s">
        <v>70</v>
      </c>
      <c r="I61" s="8"/>
      <c r="J61" s="8"/>
      <c r="K61" s="10"/>
      <c r="L61" s="37" t="s">
        <v>71</v>
      </c>
      <c r="M61" s="10"/>
      <c r="N61" s="30"/>
    </row>
    <row r="62" spans="1:14" ht="15.5" x14ac:dyDescent="0.35">
      <c r="A62" s="38" t="s">
        <v>72</v>
      </c>
      <c r="B62" s="23" t="s">
        <v>73</v>
      </c>
      <c r="C62" s="8"/>
      <c r="D62" s="8"/>
      <c r="E62" s="8"/>
      <c r="F62" s="8"/>
      <c r="G62" s="10"/>
      <c r="H62" s="39" t="s">
        <v>74</v>
      </c>
      <c r="I62" s="14"/>
      <c r="J62" s="14"/>
      <c r="K62" s="15"/>
      <c r="L62" s="40" t="s">
        <v>75</v>
      </c>
      <c r="M62" s="10"/>
      <c r="N62" s="5"/>
    </row>
    <row r="63" spans="1:14" ht="15.5" x14ac:dyDescent="0.35">
      <c r="A63" s="38" t="s">
        <v>76</v>
      </c>
      <c r="B63" s="23" t="s">
        <v>77</v>
      </c>
      <c r="C63" s="8"/>
      <c r="D63" s="8"/>
      <c r="E63" s="8"/>
      <c r="F63" s="8"/>
      <c r="G63" s="10"/>
      <c r="H63" s="25"/>
      <c r="I63" s="2"/>
      <c r="J63" s="2"/>
      <c r="K63" s="26"/>
      <c r="L63" s="40" t="s">
        <v>75</v>
      </c>
      <c r="M63" s="10"/>
      <c r="N63" s="5"/>
    </row>
    <row r="64" spans="1:14" ht="15.5" x14ac:dyDescent="0.35">
      <c r="A64" s="38" t="s">
        <v>78</v>
      </c>
      <c r="B64" s="23" t="s">
        <v>79</v>
      </c>
      <c r="C64" s="8"/>
      <c r="D64" s="8"/>
      <c r="E64" s="8"/>
      <c r="F64" s="8"/>
      <c r="G64" s="10"/>
      <c r="H64" s="25"/>
      <c r="I64" s="2"/>
      <c r="J64" s="2"/>
      <c r="K64" s="26"/>
      <c r="L64" s="40" t="s">
        <v>75</v>
      </c>
      <c r="M64" s="10"/>
      <c r="N64" s="5"/>
    </row>
    <row r="65" spans="1:14" ht="15.5" x14ac:dyDescent="0.35">
      <c r="A65" s="38" t="s">
        <v>80</v>
      </c>
      <c r="B65" s="23" t="s">
        <v>81</v>
      </c>
      <c r="C65" s="8"/>
      <c r="D65" s="8"/>
      <c r="E65" s="8"/>
      <c r="F65" s="8"/>
      <c r="G65" s="10"/>
      <c r="H65" s="25"/>
      <c r="I65" s="2"/>
      <c r="J65" s="2"/>
      <c r="K65" s="26"/>
      <c r="L65" s="40" t="s">
        <v>82</v>
      </c>
      <c r="M65" s="10"/>
      <c r="N65" s="5"/>
    </row>
    <row r="66" spans="1:14" ht="15.5" x14ac:dyDescent="0.35">
      <c r="A66" s="38" t="s">
        <v>83</v>
      </c>
      <c r="B66" s="23" t="s">
        <v>84</v>
      </c>
      <c r="C66" s="8"/>
      <c r="D66" s="8"/>
      <c r="E66" s="8"/>
      <c r="F66" s="8"/>
      <c r="G66" s="10"/>
      <c r="H66" s="25"/>
      <c r="I66" s="2"/>
      <c r="J66" s="2"/>
      <c r="K66" s="26"/>
      <c r="L66" s="40" t="s">
        <v>85</v>
      </c>
      <c r="M66" s="10"/>
      <c r="N66" s="5"/>
    </row>
    <row r="67" spans="1:14" ht="15.5" x14ac:dyDescent="0.35">
      <c r="A67" s="38" t="s">
        <v>86</v>
      </c>
      <c r="B67" s="23" t="s">
        <v>87</v>
      </c>
      <c r="C67" s="8"/>
      <c r="D67" s="8"/>
      <c r="E67" s="8"/>
      <c r="F67" s="8"/>
      <c r="G67" s="10"/>
      <c r="H67" s="25"/>
      <c r="I67" s="2"/>
      <c r="J67" s="2"/>
      <c r="K67" s="26"/>
      <c r="L67" s="40" t="s">
        <v>88</v>
      </c>
      <c r="M67" s="10"/>
      <c r="N67" s="5"/>
    </row>
    <row r="68" spans="1:14" ht="15.5" x14ac:dyDescent="0.35">
      <c r="A68" s="38" t="s">
        <v>89</v>
      </c>
      <c r="B68" s="23" t="s">
        <v>90</v>
      </c>
      <c r="C68" s="8"/>
      <c r="D68" s="8"/>
      <c r="E68" s="8"/>
      <c r="F68" s="8"/>
      <c r="G68" s="10"/>
      <c r="H68" s="25"/>
      <c r="I68" s="2"/>
      <c r="J68" s="2"/>
      <c r="K68" s="26"/>
      <c r="L68" s="40" t="s">
        <v>91</v>
      </c>
      <c r="M68" s="10"/>
      <c r="N68" s="5"/>
    </row>
    <row r="69" spans="1:14" ht="15.5" x14ac:dyDescent="0.35">
      <c r="A69" s="38" t="s">
        <v>92</v>
      </c>
      <c r="B69" s="23"/>
      <c r="C69" s="8"/>
      <c r="D69" s="8"/>
      <c r="E69" s="8"/>
      <c r="F69" s="8"/>
      <c r="G69" s="10"/>
      <c r="H69" s="25"/>
      <c r="I69" s="2"/>
      <c r="J69" s="2"/>
      <c r="K69" s="26"/>
      <c r="L69" s="23"/>
      <c r="M69" s="10"/>
      <c r="N69" s="5"/>
    </row>
    <row r="70" spans="1:14" ht="15.5" hidden="1" x14ac:dyDescent="0.35">
      <c r="A70" s="38" t="s">
        <v>93</v>
      </c>
      <c r="B70" s="23"/>
      <c r="C70" s="8"/>
      <c r="D70" s="8"/>
      <c r="E70" s="8"/>
      <c r="F70" s="8"/>
      <c r="G70" s="10"/>
      <c r="H70" s="25"/>
      <c r="I70" s="2"/>
      <c r="J70" s="2"/>
      <c r="K70" s="26"/>
      <c r="L70" s="23"/>
      <c r="M70" s="10"/>
      <c r="N70" s="5"/>
    </row>
    <row r="71" spans="1:14" ht="15.5" hidden="1" x14ac:dyDescent="0.35">
      <c r="A71" s="38" t="s">
        <v>94</v>
      </c>
      <c r="B71" s="23"/>
      <c r="C71" s="8"/>
      <c r="D71" s="8"/>
      <c r="E71" s="8"/>
      <c r="F71" s="8"/>
      <c r="G71" s="10"/>
      <c r="H71" s="25"/>
      <c r="I71" s="2"/>
      <c r="J71" s="2"/>
      <c r="K71" s="26"/>
      <c r="L71" s="23"/>
      <c r="M71" s="10"/>
      <c r="N71" s="5"/>
    </row>
    <row r="72" spans="1:14" ht="15.5" hidden="1" x14ac:dyDescent="0.35">
      <c r="A72" s="38" t="s">
        <v>95</v>
      </c>
      <c r="B72" s="23"/>
      <c r="C72" s="8"/>
      <c r="D72" s="8"/>
      <c r="E72" s="8"/>
      <c r="F72" s="8"/>
      <c r="G72" s="10"/>
      <c r="H72" s="25"/>
      <c r="I72" s="2"/>
      <c r="J72" s="2"/>
      <c r="K72" s="26"/>
      <c r="L72" s="23"/>
      <c r="M72" s="10"/>
      <c r="N72" s="5"/>
    </row>
    <row r="73" spans="1:14" ht="15.5" hidden="1" x14ac:dyDescent="0.35">
      <c r="A73" s="38" t="s">
        <v>96</v>
      </c>
      <c r="B73" s="23"/>
      <c r="C73" s="8"/>
      <c r="D73" s="8"/>
      <c r="E73" s="8"/>
      <c r="F73" s="8"/>
      <c r="G73" s="10"/>
      <c r="H73" s="25"/>
      <c r="I73" s="2"/>
      <c r="J73" s="2"/>
      <c r="K73" s="26"/>
      <c r="L73" s="23"/>
      <c r="M73" s="10"/>
      <c r="N73" s="5"/>
    </row>
    <row r="74" spans="1:14" ht="15.5" hidden="1" x14ac:dyDescent="0.35">
      <c r="A74" s="38" t="s">
        <v>97</v>
      </c>
      <c r="B74" s="23"/>
      <c r="C74" s="8"/>
      <c r="D74" s="8"/>
      <c r="E74" s="8"/>
      <c r="F74" s="8"/>
      <c r="G74" s="10"/>
      <c r="H74" s="25"/>
      <c r="I74" s="2"/>
      <c r="J74" s="2"/>
      <c r="K74" s="26"/>
      <c r="L74" s="23"/>
      <c r="M74" s="10"/>
      <c r="N74" s="5"/>
    </row>
    <row r="75" spans="1:14" ht="15.5" hidden="1" x14ac:dyDescent="0.35">
      <c r="A75" s="38" t="s">
        <v>98</v>
      </c>
      <c r="B75" s="23"/>
      <c r="C75" s="8"/>
      <c r="D75" s="8"/>
      <c r="E75" s="8"/>
      <c r="F75" s="8"/>
      <c r="G75" s="10"/>
      <c r="H75" s="24"/>
      <c r="I75" s="18"/>
      <c r="J75" s="18"/>
      <c r="K75" s="19"/>
      <c r="L75" s="23"/>
      <c r="M75" s="10"/>
      <c r="N75" s="5"/>
    </row>
    <row r="76" spans="1:14" ht="15.5" x14ac:dyDescent="0.35">
      <c r="A76" s="41" t="s">
        <v>99</v>
      </c>
      <c r="B76" s="8"/>
      <c r="C76" s="8"/>
      <c r="D76" s="8"/>
      <c r="E76" s="8"/>
      <c r="F76" s="8"/>
      <c r="G76" s="8"/>
      <c r="H76" s="8"/>
      <c r="I76" s="8"/>
      <c r="J76" s="8"/>
      <c r="K76" s="8"/>
      <c r="L76" s="8"/>
      <c r="M76" s="10"/>
      <c r="N76" s="5"/>
    </row>
    <row r="77" spans="1:14" ht="24.75" hidden="1" customHeight="1" x14ac:dyDescent="0.35">
      <c r="A77" s="37" t="s">
        <v>100</v>
      </c>
      <c r="B77" s="8"/>
      <c r="C77" s="8"/>
      <c r="D77" s="8"/>
      <c r="E77" s="8"/>
      <c r="F77" s="8"/>
      <c r="G77" s="10"/>
      <c r="H77" s="37" t="s">
        <v>101</v>
      </c>
      <c r="I77" s="8"/>
      <c r="J77" s="8"/>
      <c r="K77" s="10"/>
      <c r="L77" s="37" t="s">
        <v>71</v>
      </c>
      <c r="M77" s="10"/>
      <c r="N77" s="30"/>
    </row>
    <row r="78" spans="1:14" ht="15.5" hidden="1" x14ac:dyDescent="0.35">
      <c r="A78" s="38" t="s">
        <v>72</v>
      </c>
      <c r="B78" s="23"/>
      <c r="C78" s="8"/>
      <c r="D78" s="8"/>
      <c r="E78" s="8"/>
      <c r="F78" s="8"/>
      <c r="G78" s="10"/>
      <c r="H78" s="39"/>
      <c r="I78" s="14"/>
      <c r="J78" s="14"/>
      <c r="K78" s="15"/>
      <c r="L78" s="23"/>
      <c r="M78" s="10"/>
      <c r="N78" s="5"/>
    </row>
    <row r="79" spans="1:14" ht="15.5" hidden="1" x14ac:dyDescent="0.35">
      <c r="A79" s="38" t="s">
        <v>76</v>
      </c>
      <c r="B79" s="23"/>
      <c r="C79" s="8"/>
      <c r="D79" s="8"/>
      <c r="E79" s="8"/>
      <c r="F79" s="8"/>
      <c r="G79" s="10"/>
      <c r="H79" s="25"/>
      <c r="I79" s="2"/>
      <c r="J79" s="2"/>
      <c r="K79" s="26"/>
      <c r="L79" s="23"/>
      <c r="M79" s="10"/>
      <c r="N79" s="5"/>
    </row>
    <row r="80" spans="1:14" ht="15.5" hidden="1" x14ac:dyDescent="0.35">
      <c r="A80" s="38" t="s">
        <v>78</v>
      </c>
      <c r="B80" s="23"/>
      <c r="C80" s="8"/>
      <c r="D80" s="8"/>
      <c r="E80" s="8"/>
      <c r="F80" s="8"/>
      <c r="G80" s="10"/>
      <c r="H80" s="25"/>
      <c r="I80" s="2"/>
      <c r="J80" s="2"/>
      <c r="K80" s="26"/>
      <c r="L80" s="23"/>
      <c r="M80" s="10"/>
      <c r="N80" s="5"/>
    </row>
    <row r="81" spans="1:14" ht="15.5" hidden="1" x14ac:dyDescent="0.35">
      <c r="A81" s="38" t="s">
        <v>80</v>
      </c>
      <c r="B81" s="23"/>
      <c r="C81" s="8"/>
      <c r="D81" s="8"/>
      <c r="E81" s="8"/>
      <c r="F81" s="8"/>
      <c r="G81" s="10"/>
      <c r="H81" s="25"/>
      <c r="I81" s="2"/>
      <c r="J81" s="2"/>
      <c r="K81" s="26"/>
      <c r="L81" s="23"/>
      <c r="M81" s="10"/>
      <c r="N81" s="5"/>
    </row>
    <row r="82" spans="1:14" ht="15.5" hidden="1" x14ac:dyDescent="0.35">
      <c r="A82" s="38" t="s">
        <v>83</v>
      </c>
      <c r="B82" s="23"/>
      <c r="C82" s="8"/>
      <c r="D82" s="8"/>
      <c r="E82" s="8"/>
      <c r="F82" s="8"/>
      <c r="G82" s="10"/>
      <c r="H82" s="25"/>
      <c r="I82" s="2"/>
      <c r="J82" s="2"/>
      <c r="K82" s="26"/>
      <c r="L82" s="23"/>
      <c r="M82" s="10"/>
      <c r="N82" s="5"/>
    </row>
    <row r="83" spans="1:14" ht="15.5" hidden="1" x14ac:dyDescent="0.35">
      <c r="A83" s="38" t="s">
        <v>86</v>
      </c>
      <c r="B83" s="23"/>
      <c r="C83" s="8"/>
      <c r="D83" s="8"/>
      <c r="E83" s="8"/>
      <c r="F83" s="8"/>
      <c r="G83" s="10"/>
      <c r="H83" s="25"/>
      <c r="I83" s="2"/>
      <c r="J83" s="2"/>
      <c r="K83" s="26"/>
      <c r="L83" s="23"/>
      <c r="M83" s="10"/>
      <c r="N83" s="5"/>
    </row>
    <row r="84" spans="1:14" ht="15.5" hidden="1" x14ac:dyDescent="0.35">
      <c r="A84" s="38" t="s">
        <v>89</v>
      </c>
      <c r="B84" s="23"/>
      <c r="C84" s="8"/>
      <c r="D84" s="8"/>
      <c r="E84" s="8"/>
      <c r="F84" s="8"/>
      <c r="G84" s="10"/>
      <c r="H84" s="25"/>
      <c r="I84" s="2"/>
      <c r="J84" s="2"/>
      <c r="K84" s="26"/>
      <c r="L84" s="23"/>
      <c r="M84" s="10"/>
      <c r="N84" s="5"/>
    </row>
    <row r="85" spans="1:14" ht="15.5" hidden="1" x14ac:dyDescent="0.35">
      <c r="A85" s="38" t="s">
        <v>92</v>
      </c>
      <c r="B85" s="23"/>
      <c r="C85" s="8"/>
      <c r="D85" s="8"/>
      <c r="E85" s="8"/>
      <c r="F85" s="8"/>
      <c r="G85" s="10"/>
      <c r="H85" s="25"/>
      <c r="I85" s="2"/>
      <c r="J85" s="2"/>
      <c r="K85" s="26"/>
      <c r="L85" s="23"/>
      <c r="M85" s="10"/>
      <c r="N85" s="5"/>
    </row>
    <row r="86" spans="1:14" ht="15.5" hidden="1" x14ac:dyDescent="0.35">
      <c r="A86" s="38" t="s">
        <v>93</v>
      </c>
      <c r="B86" s="23"/>
      <c r="C86" s="8"/>
      <c r="D86" s="8"/>
      <c r="E86" s="8"/>
      <c r="F86" s="8"/>
      <c r="G86" s="10"/>
      <c r="H86" s="25"/>
      <c r="I86" s="2"/>
      <c r="J86" s="2"/>
      <c r="K86" s="26"/>
      <c r="L86" s="23"/>
      <c r="M86" s="10"/>
      <c r="N86" s="5"/>
    </row>
    <row r="87" spans="1:14" ht="15.5" hidden="1" x14ac:dyDescent="0.35">
      <c r="A87" s="38" t="s">
        <v>94</v>
      </c>
      <c r="B87" s="23"/>
      <c r="C87" s="8"/>
      <c r="D87" s="8"/>
      <c r="E87" s="8"/>
      <c r="F87" s="8"/>
      <c r="G87" s="10"/>
      <c r="H87" s="25"/>
      <c r="I87" s="2"/>
      <c r="J87" s="2"/>
      <c r="K87" s="26"/>
      <c r="L87" s="23"/>
      <c r="M87" s="10"/>
      <c r="N87" s="5"/>
    </row>
    <row r="88" spans="1:14" ht="15.5" hidden="1" x14ac:dyDescent="0.35">
      <c r="A88" s="38" t="s">
        <v>95</v>
      </c>
      <c r="B88" s="23"/>
      <c r="C88" s="8"/>
      <c r="D88" s="8"/>
      <c r="E88" s="8"/>
      <c r="F88" s="8"/>
      <c r="G88" s="10"/>
      <c r="H88" s="25"/>
      <c r="I88" s="2"/>
      <c r="J88" s="2"/>
      <c r="K88" s="26"/>
      <c r="L88" s="23"/>
      <c r="M88" s="10"/>
      <c r="N88" s="5"/>
    </row>
    <row r="89" spans="1:14" ht="15.5" hidden="1" x14ac:dyDescent="0.35">
      <c r="A89" s="38" t="s">
        <v>96</v>
      </c>
      <c r="B89" s="23"/>
      <c r="C89" s="8"/>
      <c r="D89" s="8"/>
      <c r="E89" s="8"/>
      <c r="F89" s="8"/>
      <c r="G89" s="10"/>
      <c r="H89" s="25"/>
      <c r="I89" s="2"/>
      <c r="J89" s="2"/>
      <c r="K89" s="26"/>
      <c r="L89" s="23"/>
      <c r="M89" s="10"/>
      <c r="N89" s="5"/>
    </row>
    <row r="90" spans="1:14" ht="15.5" hidden="1" x14ac:dyDescent="0.35">
      <c r="A90" s="38" t="s">
        <v>97</v>
      </c>
      <c r="B90" s="23"/>
      <c r="C90" s="8"/>
      <c r="D90" s="8"/>
      <c r="E90" s="8"/>
      <c r="F90" s="8"/>
      <c r="G90" s="10"/>
      <c r="H90" s="25"/>
      <c r="I90" s="2"/>
      <c r="J90" s="2"/>
      <c r="K90" s="26"/>
      <c r="L90" s="23"/>
      <c r="M90" s="10"/>
      <c r="N90" s="5"/>
    </row>
    <row r="91" spans="1:14" ht="15.5" hidden="1" x14ac:dyDescent="0.35">
      <c r="A91" s="38" t="s">
        <v>98</v>
      </c>
      <c r="B91" s="23"/>
      <c r="C91" s="8"/>
      <c r="D91" s="8"/>
      <c r="E91" s="8"/>
      <c r="F91" s="8"/>
      <c r="G91" s="10"/>
      <c r="H91" s="24"/>
      <c r="I91" s="18"/>
      <c r="J91" s="18"/>
      <c r="K91" s="19"/>
      <c r="L91" s="23"/>
      <c r="M91" s="10"/>
      <c r="N91" s="5"/>
    </row>
    <row r="92" spans="1:14" ht="24" hidden="1" customHeight="1" x14ac:dyDescent="0.35">
      <c r="A92" s="37" t="s">
        <v>102</v>
      </c>
      <c r="B92" s="8"/>
      <c r="C92" s="8"/>
      <c r="D92" s="8"/>
      <c r="E92" s="8"/>
      <c r="F92" s="8"/>
      <c r="G92" s="10"/>
      <c r="H92" s="37" t="s">
        <v>101</v>
      </c>
      <c r="I92" s="8"/>
      <c r="J92" s="8"/>
      <c r="K92" s="10"/>
      <c r="L92" s="37" t="s">
        <v>71</v>
      </c>
      <c r="M92" s="10"/>
      <c r="N92" s="30"/>
    </row>
    <row r="93" spans="1:14" ht="15.5" hidden="1" x14ac:dyDescent="0.35">
      <c r="A93" s="38" t="s">
        <v>72</v>
      </c>
      <c r="B93" s="23"/>
      <c r="C93" s="8"/>
      <c r="D93" s="8"/>
      <c r="E93" s="8"/>
      <c r="F93" s="8"/>
      <c r="G93" s="10"/>
      <c r="H93" s="39"/>
      <c r="I93" s="14"/>
      <c r="J93" s="14"/>
      <c r="K93" s="15"/>
      <c r="L93" s="23"/>
      <c r="M93" s="10"/>
      <c r="N93" s="5"/>
    </row>
    <row r="94" spans="1:14" ht="15.5" hidden="1" x14ac:dyDescent="0.35">
      <c r="A94" s="38" t="s">
        <v>76</v>
      </c>
      <c r="B94" s="23"/>
      <c r="C94" s="8"/>
      <c r="D94" s="8"/>
      <c r="E94" s="8"/>
      <c r="F94" s="8"/>
      <c r="G94" s="10"/>
      <c r="H94" s="25"/>
      <c r="I94" s="2"/>
      <c r="J94" s="2"/>
      <c r="K94" s="26"/>
      <c r="L94" s="23"/>
      <c r="M94" s="10"/>
      <c r="N94" s="5"/>
    </row>
    <row r="95" spans="1:14" ht="15.5" hidden="1" x14ac:dyDescent="0.35">
      <c r="A95" s="38" t="s">
        <v>78</v>
      </c>
      <c r="B95" s="23"/>
      <c r="C95" s="8"/>
      <c r="D95" s="8"/>
      <c r="E95" s="8"/>
      <c r="F95" s="8"/>
      <c r="G95" s="10"/>
      <c r="H95" s="25"/>
      <c r="I95" s="2"/>
      <c r="J95" s="2"/>
      <c r="K95" s="26"/>
      <c r="L95" s="23"/>
      <c r="M95" s="10"/>
      <c r="N95" s="5"/>
    </row>
    <row r="96" spans="1:14" ht="15.5" hidden="1" x14ac:dyDescent="0.35">
      <c r="A96" s="38" t="s">
        <v>80</v>
      </c>
      <c r="B96" s="23"/>
      <c r="C96" s="8"/>
      <c r="D96" s="8"/>
      <c r="E96" s="8"/>
      <c r="F96" s="8"/>
      <c r="G96" s="10"/>
      <c r="H96" s="25"/>
      <c r="I96" s="2"/>
      <c r="J96" s="2"/>
      <c r="K96" s="26"/>
      <c r="L96" s="23"/>
      <c r="M96" s="10"/>
      <c r="N96" s="5"/>
    </row>
    <row r="97" spans="1:14" ht="15.5" hidden="1" x14ac:dyDescent="0.35">
      <c r="A97" s="38" t="s">
        <v>83</v>
      </c>
      <c r="B97" s="23"/>
      <c r="C97" s="8"/>
      <c r="D97" s="8"/>
      <c r="E97" s="8"/>
      <c r="F97" s="8"/>
      <c r="G97" s="10"/>
      <c r="H97" s="25"/>
      <c r="I97" s="2"/>
      <c r="J97" s="2"/>
      <c r="K97" s="26"/>
      <c r="L97" s="23"/>
      <c r="M97" s="10"/>
      <c r="N97" s="5"/>
    </row>
    <row r="98" spans="1:14" ht="15.5" hidden="1" x14ac:dyDescent="0.35">
      <c r="A98" s="38" t="s">
        <v>86</v>
      </c>
      <c r="B98" s="23"/>
      <c r="C98" s="8"/>
      <c r="D98" s="8"/>
      <c r="E98" s="8"/>
      <c r="F98" s="8"/>
      <c r="G98" s="10"/>
      <c r="H98" s="25"/>
      <c r="I98" s="2"/>
      <c r="J98" s="2"/>
      <c r="K98" s="26"/>
      <c r="L98" s="23"/>
      <c r="M98" s="10"/>
      <c r="N98" s="5"/>
    </row>
    <row r="99" spans="1:14" ht="15.5" hidden="1" x14ac:dyDescent="0.35">
      <c r="A99" s="38" t="s">
        <v>89</v>
      </c>
      <c r="B99" s="23"/>
      <c r="C99" s="8"/>
      <c r="D99" s="8"/>
      <c r="E99" s="8"/>
      <c r="F99" s="8"/>
      <c r="G99" s="10"/>
      <c r="H99" s="25"/>
      <c r="I99" s="2"/>
      <c r="J99" s="2"/>
      <c r="K99" s="26"/>
      <c r="L99" s="23"/>
      <c r="M99" s="10"/>
      <c r="N99" s="5"/>
    </row>
    <row r="100" spans="1:14" ht="15.5" hidden="1" x14ac:dyDescent="0.35">
      <c r="A100" s="38" t="s">
        <v>92</v>
      </c>
      <c r="B100" s="23"/>
      <c r="C100" s="8"/>
      <c r="D100" s="8"/>
      <c r="E100" s="8"/>
      <c r="F100" s="8"/>
      <c r="G100" s="10"/>
      <c r="H100" s="25"/>
      <c r="I100" s="2"/>
      <c r="J100" s="2"/>
      <c r="K100" s="26"/>
      <c r="L100" s="23"/>
      <c r="M100" s="10"/>
      <c r="N100" s="5"/>
    </row>
    <row r="101" spans="1:14" ht="15.5" hidden="1" x14ac:dyDescent="0.35">
      <c r="A101" s="38" t="s">
        <v>93</v>
      </c>
      <c r="B101" s="23"/>
      <c r="C101" s="8"/>
      <c r="D101" s="8"/>
      <c r="E101" s="8"/>
      <c r="F101" s="8"/>
      <c r="G101" s="10"/>
      <c r="H101" s="25"/>
      <c r="I101" s="2"/>
      <c r="J101" s="2"/>
      <c r="K101" s="26"/>
      <c r="L101" s="23"/>
      <c r="M101" s="10"/>
      <c r="N101" s="5"/>
    </row>
    <row r="102" spans="1:14" ht="15.5" hidden="1" x14ac:dyDescent="0.35">
      <c r="A102" s="38" t="s">
        <v>94</v>
      </c>
      <c r="B102" s="23"/>
      <c r="C102" s="8"/>
      <c r="D102" s="8"/>
      <c r="E102" s="8"/>
      <c r="F102" s="8"/>
      <c r="G102" s="10"/>
      <c r="H102" s="25"/>
      <c r="I102" s="2"/>
      <c r="J102" s="2"/>
      <c r="K102" s="26"/>
      <c r="L102" s="23"/>
      <c r="M102" s="10"/>
      <c r="N102" s="5"/>
    </row>
    <row r="103" spans="1:14" ht="15.5" hidden="1" x14ac:dyDescent="0.35">
      <c r="A103" s="38" t="s">
        <v>95</v>
      </c>
      <c r="B103" s="23"/>
      <c r="C103" s="8"/>
      <c r="D103" s="8"/>
      <c r="E103" s="8"/>
      <c r="F103" s="8"/>
      <c r="G103" s="10"/>
      <c r="H103" s="25"/>
      <c r="I103" s="2"/>
      <c r="J103" s="2"/>
      <c r="K103" s="26"/>
      <c r="L103" s="23"/>
      <c r="M103" s="10"/>
      <c r="N103" s="5"/>
    </row>
    <row r="104" spans="1:14" ht="15.5" hidden="1" x14ac:dyDescent="0.35">
      <c r="A104" s="38" t="s">
        <v>96</v>
      </c>
      <c r="B104" s="23"/>
      <c r="C104" s="8"/>
      <c r="D104" s="8"/>
      <c r="E104" s="8"/>
      <c r="F104" s="8"/>
      <c r="G104" s="10"/>
      <c r="H104" s="25"/>
      <c r="I104" s="2"/>
      <c r="J104" s="2"/>
      <c r="K104" s="26"/>
      <c r="L104" s="23"/>
      <c r="M104" s="10"/>
      <c r="N104" s="5"/>
    </row>
    <row r="105" spans="1:14" ht="15.5" hidden="1" x14ac:dyDescent="0.35">
      <c r="A105" s="38" t="s">
        <v>97</v>
      </c>
      <c r="B105" s="23"/>
      <c r="C105" s="8"/>
      <c r="D105" s="8"/>
      <c r="E105" s="8"/>
      <c r="F105" s="8"/>
      <c r="G105" s="10"/>
      <c r="H105" s="25"/>
      <c r="I105" s="2"/>
      <c r="J105" s="2"/>
      <c r="K105" s="26"/>
      <c r="L105" s="23"/>
      <c r="M105" s="10"/>
      <c r="N105" s="5"/>
    </row>
    <row r="106" spans="1:14" ht="15.5" hidden="1" x14ac:dyDescent="0.35">
      <c r="A106" s="38" t="s">
        <v>98</v>
      </c>
      <c r="B106" s="23"/>
      <c r="C106" s="8"/>
      <c r="D106" s="8"/>
      <c r="E106" s="8"/>
      <c r="F106" s="8"/>
      <c r="G106" s="10"/>
      <c r="H106" s="24"/>
      <c r="I106" s="18"/>
      <c r="J106" s="18"/>
      <c r="K106" s="19"/>
      <c r="L106" s="23"/>
      <c r="M106" s="10"/>
      <c r="N106" s="5"/>
    </row>
    <row r="107" spans="1:14" ht="24" hidden="1" customHeight="1" x14ac:dyDescent="0.35">
      <c r="A107" s="37" t="s">
        <v>103</v>
      </c>
      <c r="B107" s="8"/>
      <c r="C107" s="8"/>
      <c r="D107" s="8"/>
      <c r="E107" s="8"/>
      <c r="F107" s="8"/>
      <c r="G107" s="10"/>
      <c r="H107" s="37" t="s">
        <v>101</v>
      </c>
      <c r="I107" s="8"/>
      <c r="J107" s="8"/>
      <c r="K107" s="10"/>
      <c r="L107" s="37" t="s">
        <v>71</v>
      </c>
      <c r="M107" s="10"/>
      <c r="N107" s="30"/>
    </row>
    <row r="108" spans="1:14" ht="15.5" hidden="1" x14ac:dyDescent="0.35">
      <c r="A108" s="38" t="s">
        <v>72</v>
      </c>
      <c r="B108" s="23"/>
      <c r="C108" s="8"/>
      <c r="D108" s="8"/>
      <c r="E108" s="8"/>
      <c r="F108" s="8"/>
      <c r="G108" s="10"/>
      <c r="H108" s="39"/>
      <c r="I108" s="14"/>
      <c r="J108" s="14"/>
      <c r="K108" s="15"/>
      <c r="L108" s="23"/>
      <c r="M108" s="10"/>
      <c r="N108" s="5"/>
    </row>
    <row r="109" spans="1:14" ht="15.5" hidden="1" x14ac:dyDescent="0.35">
      <c r="A109" s="38" t="s">
        <v>76</v>
      </c>
      <c r="B109" s="23"/>
      <c r="C109" s="8"/>
      <c r="D109" s="8"/>
      <c r="E109" s="8"/>
      <c r="F109" s="8"/>
      <c r="G109" s="10"/>
      <c r="H109" s="25"/>
      <c r="I109" s="2"/>
      <c r="J109" s="2"/>
      <c r="K109" s="26"/>
      <c r="L109" s="23"/>
      <c r="M109" s="10"/>
      <c r="N109" s="5"/>
    </row>
    <row r="110" spans="1:14" ht="15.5" hidden="1" x14ac:dyDescent="0.35">
      <c r="A110" s="38" t="s">
        <v>78</v>
      </c>
      <c r="B110" s="23"/>
      <c r="C110" s="8"/>
      <c r="D110" s="8"/>
      <c r="E110" s="8"/>
      <c r="F110" s="8"/>
      <c r="G110" s="10"/>
      <c r="H110" s="25"/>
      <c r="I110" s="2"/>
      <c r="J110" s="2"/>
      <c r="K110" s="26"/>
      <c r="L110" s="23"/>
      <c r="M110" s="10"/>
      <c r="N110" s="5"/>
    </row>
    <row r="111" spans="1:14" ht="15.5" hidden="1" x14ac:dyDescent="0.35">
      <c r="A111" s="38" t="s">
        <v>80</v>
      </c>
      <c r="B111" s="23"/>
      <c r="C111" s="8"/>
      <c r="D111" s="8"/>
      <c r="E111" s="8"/>
      <c r="F111" s="8"/>
      <c r="G111" s="10"/>
      <c r="H111" s="25"/>
      <c r="I111" s="2"/>
      <c r="J111" s="2"/>
      <c r="K111" s="26"/>
      <c r="L111" s="23"/>
      <c r="M111" s="10"/>
      <c r="N111" s="5"/>
    </row>
    <row r="112" spans="1:14" ht="15.5" hidden="1" x14ac:dyDescent="0.35">
      <c r="A112" s="38" t="s">
        <v>83</v>
      </c>
      <c r="B112" s="23"/>
      <c r="C112" s="8"/>
      <c r="D112" s="8"/>
      <c r="E112" s="8"/>
      <c r="F112" s="8"/>
      <c r="G112" s="10"/>
      <c r="H112" s="25"/>
      <c r="I112" s="2"/>
      <c r="J112" s="2"/>
      <c r="K112" s="26"/>
      <c r="L112" s="23"/>
      <c r="M112" s="10"/>
      <c r="N112" s="5"/>
    </row>
    <row r="113" spans="1:14" ht="15.5" hidden="1" x14ac:dyDescent="0.35">
      <c r="A113" s="38" t="s">
        <v>86</v>
      </c>
      <c r="B113" s="23"/>
      <c r="C113" s="8"/>
      <c r="D113" s="8"/>
      <c r="E113" s="8"/>
      <c r="F113" s="8"/>
      <c r="G113" s="10"/>
      <c r="H113" s="25"/>
      <c r="I113" s="2"/>
      <c r="J113" s="2"/>
      <c r="K113" s="26"/>
      <c r="L113" s="23"/>
      <c r="M113" s="10"/>
      <c r="N113" s="5"/>
    </row>
    <row r="114" spans="1:14" ht="15.5" hidden="1" x14ac:dyDescent="0.35">
      <c r="A114" s="38" t="s">
        <v>89</v>
      </c>
      <c r="B114" s="23"/>
      <c r="C114" s="8"/>
      <c r="D114" s="8"/>
      <c r="E114" s="8"/>
      <c r="F114" s="8"/>
      <c r="G114" s="10"/>
      <c r="H114" s="25"/>
      <c r="I114" s="2"/>
      <c r="J114" s="2"/>
      <c r="K114" s="26"/>
      <c r="L114" s="23"/>
      <c r="M114" s="10"/>
      <c r="N114" s="5"/>
    </row>
    <row r="115" spans="1:14" ht="15.5" hidden="1" x14ac:dyDescent="0.35">
      <c r="A115" s="38" t="s">
        <v>92</v>
      </c>
      <c r="B115" s="23"/>
      <c r="C115" s="8"/>
      <c r="D115" s="8"/>
      <c r="E115" s="8"/>
      <c r="F115" s="8"/>
      <c r="G115" s="10"/>
      <c r="H115" s="25"/>
      <c r="I115" s="2"/>
      <c r="J115" s="2"/>
      <c r="K115" s="26"/>
      <c r="L115" s="23"/>
      <c r="M115" s="10"/>
      <c r="N115" s="5"/>
    </row>
    <row r="116" spans="1:14" ht="15.5" hidden="1" x14ac:dyDescent="0.35">
      <c r="A116" s="38" t="s">
        <v>93</v>
      </c>
      <c r="B116" s="23"/>
      <c r="C116" s="8"/>
      <c r="D116" s="8"/>
      <c r="E116" s="8"/>
      <c r="F116" s="8"/>
      <c r="G116" s="10"/>
      <c r="H116" s="25"/>
      <c r="I116" s="2"/>
      <c r="J116" s="2"/>
      <c r="K116" s="26"/>
      <c r="L116" s="23"/>
      <c r="M116" s="10"/>
      <c r="N116" s="5"/>
    </row>
    <row r="117" spans="1:14" ht="15.5" hidden="1" x14ac:dyDescent="0.35">
      <c r="A117" s="38" t="s">
        <v>94</v>
      </c>
      <c r="B117" s="23"/>
      <c r="C117" s="8"/>
      <c r="D117" s="8"/>
      <c r="E117" s="8"/>
      <c r="F117" s="8"/>
      <c r="G117" s="10"/>
      <c r="H117" s="25"/>
      <c r="I117" s="2"/>
      <c r="J117" s="2"/>
      <c r="K117" s="26"/>
      <c r="L117" s="23"/>
      <c r="M117" s="10"/>
      <c r="N117" s="5"/>
    </row>
    <row r="118" spans="1:14" ht="15.5" hidden="1" x14ac:dyDescent="0.35">
      <c r="A118" s="38" t="s">
        <v>95</v>
      </c>
      <c r="B118" s="23"/>
      <c r="C118" s="8"/>
      <c r="D118" s="8"/>
      <c r="E118" s="8"/>
      <c r="F118" s="8"/>
      <c r="G118" s="10"/>
      <c r="H118" s="25"/>
      <c r="I118" s="2"/>
      <c r="J118" s="2"/>
      <c r="K118" s="26"/>
      <c r="L118" s="23"/>
      <c r="M118" s="10"/>
      <c r="N118" s="5"/>
    </row>
    <row r="119" spans="1:14" ht="15.5" hidden="1" x14ac:dyDescent="0.35">
      <c r="A119" s="38" t="s">
        <v>96</v>
      </c>
      <c r="B119" s="23"/>
      <c r="C119" s="8"/>
      <c r="D119" s="8"/>
      <c r="E119" s="8"/>
      <c r="F119" s="8"/>
      <c r="G119" s="10"/>
      <c r="H119" s="25"/>
      <c r="I119" s="2"/>
      <c r="J119" s="2"/>
      <c r="K119" s="26"/>
      <c r="L119" s="23"/>
      <c r="M119" s="10"/>
      <c r="N119" s="5"/>
    </row>
    <row r="120" spans="1:14" ht="15.5" hidden="1" x14ac:dyDescent="0.35">
      <c r="A120" s="38" t="s">
        <v>97</v>
      </c>
      <c r="B120" s="23"/>
      <c r="C120" s="8"/>
      <c r="D120" s="8"/>
      <c r="E120" s="8"/>
      <c r="F120" s="8"/>
      <c r="G120" s="10"/>
      <c r="H120" s="25"/>
      <c r="I120" s="2"/>
      <c r="J120" s="2"/>
      <c r="K120" s="26"/>
      <c r="L120" s="23"/>
      <c r="M120" s="10"/>
      <c r="N120" s="5"/>
    </row>
    <row r="121" spans="1:14" ht="15.5" hidden="1" x14ac:dyDescent="0.35">
      <c r="A121" s="38" t="s">
        <v>98</v>
      </c>
      <c r="B121" s="23"/>
      <c r="C121" s="8"/>
      <c r="D121" s="8"/>
      <c r="E121" s="8"/>
      <c r="F121" s="8"/>
      <c r="G121" s="10"/>
      <c r="H121" s="24"/>
      <c r="I121" s="18"/>
      <c r="J121" s="18"/>
      <c r="K121" s="19"/>
      <c r="L121" s="23"/>
      <c r="M121" s="10"/>
      <c r="N121" s="5"/>
    </row>
    <row r="122" spans="1:14" ht="115.5" hidden="1" customHeight="1" x14ac:dyDescent="0.35">
      <c r="A122" s="23" t="s">
        <v>104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105</v>
      </c>
      <c r="B124" s="2"/>
      <c r="C124" s="2"/>
      <c r="D124" s="2"/>
      <c r="E124" s="2"/>
      <c r="F124" s="2"/>
      <c r="G124" s="2"/>
      <c r="H124" s="2"/>
      <c r="I124" s="2"/>
      <c r="J124" s="2"/>
      <c r="K124" s="2"/>
      <c r="L124" s="2"/>
      <c r="M124" s="2"/>
      <c r="N124" s="30"/>
    </row>
    <row r="125" spans="1:14" ht="46.5" x14ac:dyDescent="0.35">
      <c r="A125" s="42" t="s">
        <v>106</v>
      </c>
      <c r="B125" s="43" t="s">
        <v>107</v>
      </c>
      <c r="C125" s="8"/>
      <c r="D125" s="8"/>
      <c r="E125" s="8"/>
      <c r="F125" s="8"/>
      <c r="G125" s="10"/>
      <c r="H125" s="43" t="s">
        <v>108</v>
      </c>
      <c r="I125" s="8"/>
      <c r="J125" s="8"/>
      <c r="K125" s="10"/>
      <c r="L125" s="44" t="s">
        <v>109</v>
      </c>
      <c r="M125" s="10"/>
      <c r="N125" s="5"/>
    </row>
    <row r="126" spans="1:14" ht="15.5" x14ac:dyDescent="0.35">
      <c r="A126" s="45" t="s">
        <v>110</v>
      </c>
      <c r="B126" s="46" t="s">
        <v>111</v>
      </c>
      <c r="C126" s="14"/>
      <c r="D126" s="14"/>
      <c r="E126" s="14"/>
      <c r="F126" s="14"/>
      <c r="G126" s="15"/>
      <c r="H126" s="47" t="s">
        <v>112</v>
      </c>
      <c r="I126" s="8"/>
      <c r="J126" s="8"/>
      <c r="K126" s="48" t="s">
        <v>113</v>
      </c>
      <c r="L126" s="49">
        <f>1-SUM(L129:M131)</f>
        <v>1</v>
      </c>
      <c r="M126" s="15"/>
      <c r="N126" s="5"/>
    </row>
    <row r="127" spans="1:14" ht="15.5" x14ac:dyDescent="0.35">
      <c r="A127" s="50"/>
      <c r="B127" s="25"/>
      <c r="C127" s="2"/>
      <c r="D127" s="2"/>
      <c r="E127" s="2"/>
      <c r="F127" s="2"/>
      <c r="G127" s="26"/>
      <c r="H127" s="51" t="s">
        <v>114</v>
      </c>
      <c r="I127" s="8"/>
      <c r="J127" s="8"/>
      <c r="K127" s="48" t="s">
        <v>115</v>
      </c>
      <c r="L127" s="25"/>
      <c r="M127" s="26"/>
      <c r="N127" s="5"/>
    </row>
    <row r="128" spans="1:14" ht="15.5" x14ac:dyDescent="0.35">
      <c r="A128" s="34"/>
      <c r="B128" s="24"/>
      <c r="C128" s="18"/>
      <c r="D128" s="18"/>
      <c r="E128" s="18"/>
      <c r="F128" s="18"/>
      <c r="G128" s="19"/>
      <c r="H128" s="51" t="s">
        <v>116</v>
      </c>
      <c r="I128" s="8"/>
      <c r="J128" s="8"/>
      <c r="K128" s="48" t="s">
        <v>117</v>
      </c>
      <c r="L128" s="24"/>
      <c r="M128" s="19"/>
      <c r="N128" s="5"/>
    </row>
    <row r="129" spans="1:14" ht="68.25" hidden="1" customHeight="1" x14ac:dyDescent="0.35">
      <c r="A129" s="42" t="s">
        <v>118</v>
      </c>
      <c r="B129" s="52" t="s">
        <v>119</v>
      </c>
      <c r="C129" s="8"/>
      <c r="D129" s="8"/>
      <c r="E129" s="8"/>
      <c r="F129" s="8"/>
      <c r="G129" s="10"/>
      <c r="H129" s="51" t="s">
        <v>120</v>
      </c>
      <c r="I129" s="8"/>
      <c r="J129" s="8"/>
      <c r="K129" s="10"/>
      <c r="L129" s="53"/>
      <c r="M129" s="10"/>
      <c r="N129" s="5"/>
    </row>
    <row r="130" spans="1:14" ht="46.5" hidden="1" x14ac:dyDescent="0.35">
      <c r="A130" s="42" t="s">
        <v>121</v>
      </c>
      <c r="B130" s="52" t="s">
        <v>122</v>
      </c>
      <c r="C130" s="8"/>
      <c r="D130" s="8"/>
      <c r="E130" s="8"/>
      <c r="F130" s="8"/>
      <c r="G130" s="10"/>
      <c r="H130" s="51" t="s">
        <v>123</v>
      </c>
      <c r="I130" s="8"/>
      <c r="J130" s="8"/>
      <c r="K130" s="10"/>
      <c r="L130" s="53"/>
      <c r="M130" s="10"/>
      <c r="N130" s="5"/>
    </row>
    <row r="131" spans="1:14" ht="31" hidden="1" x14ac:dyDescent="0.35">
      <c r="A131" s="42" t="s">
        <v>124</v>
      </c>
      <c r="B131" s="52" t="s">
        <v>125</v>
      </c>
      <c r="C131" s="8"/>
      <c r="D131" s="8"/>
      <c r="E131" s="8"/>
      <c r="F131" s="8"/>
      <c r="G131" s="10"/>
      <c r="H131" s="51" t="s">
        <v>126</v>
      </c>
      <c r="I131" s="8"/>
      <c r="J131" s="8"/>
      <c r="K131" s="10"/>
      <c r="L131" s="53"/>
      <c r="M131" s="10"/>
      <c r="N131" s="5"/>
    </row>
    <row r="132" spans="1:14" ht="15.5" x14ac:dyDescent="0.35">
      <c r="A132" s="43" t="s">
        <v>127</v>
      </c>
      <c r="B132" s="8"/>
      <c r="C132" s="8"/>
      <c r="D132" s="8"/>
      <c r="E132" s="8"/>
      <c r="F132" s="8"/>
      <c r="G132" s="8"/>
      <c r="H132" s="8"/>
      <c r="I132" s="8"/>
      <c r="J132" s="8"/>
      <c r="K132" s="8"/>
      <c r="L132" s="8"/>
      <c r="M132" s="10"/>
      <c r="N132" s="5"/>
    </row>
    <row r="133" spans="1:14" ht="15.5" x14ac:dyDescent="0.35">
      <c r="A133" s="52" t="s">
        <v>128</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4" t="s">
        <v>129</v>
      </c>
      <c r="B135" s="10"/>
      <c r="C135" s="55">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4" t="s">
        <v>130</v>
      </c>
      <c r="B137" s="10"/>
      <c r="C137" s="9" t="str">
        <f>E15</f>
        <v>Prof. dr. habil. Dorel Fetcu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hidden="1" customHeight="1" x14ac:dyDescent="0.35">
      <c r="A139" s="56" t="s">
        <v>131</v>
      </c>
      <c r="B139" s="15"/>
      <c r="C139" s="9" t="str">
        <f t="shared" ref="C139:C141" si="0">E17</f>
        <v>-</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4" t="s">
        <v>132</v>
      </c>
      <c r="B143" s="10"/>
      <c r="C143" s="57">
        <f>[1]Date!C25</f>
        <v>45915</v>
      </c>
      <c r="D143" s="10"/>
      <c r="E143" s="54" t="s">
        <v>133</v>
      </c>
      <c r="F143" s="8"/>
      <c r="G143" s="10"/>
      <c r="H143" s="58" t="str">
        <f>[1]Date!C27</f>
        <v>Conf.dr.ing. Mihai POSTOLACHE</v>
      </c>
      <c r="I143" s="8"/>
      <c r="J143" s="8"/>
      <c r="K143" s="8"/>
      <c r="L143" s="8"/>
      <c r="M143" s="10"/>
      <c r="N143" s="5"/>
    </row>
    <row r="144" spans="1:14" ht="21.75" customHeight="1" x14ac:dyDescent="0.35">
      <c r="A144" s="59"/>
      <c r="B144" s="59"/>
      <c r="C144" s="60"/>
      <c r="D144" s="60"/>
      <c r="E144" s="59"/>
      <c r="F144" s="59"/>
      <c r="G144" s="59"/>
      <c r="H144" s="60"/>
      <c r="I144" s="60"/>
      <c r="J144" s="60"/>
      <c r="K144" s="60"/>
      <c r="L144" s="60"/>
      <c r="M144" s="60"/>
      <c r="N144" s="5"/>
    </row>
    <row r="145" spans="1:14" ht="28.5" customHeight="1" x14ac:dyDescent="0.35">
      <c r="A145" s="54" t="s">
        <v>134</v>
      </c>
      <c r="B145" s="10"/>
      <c r="C145" s="57">
        <f>[1]Date!C26</f>
        <v>45918</v>
      </c>
      <c r="D145" s="10"/>
      <c r="E145" s="54" t="s">
        <v>135</v>
      </c>
      <c r="F145" s="8"/>
      <c r="G145" s="10"/>
      <c r="H145" s="58" t="str">
        <f>[1]Date!C28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76" r:id="rId1" xr:uid="{27CC2990-1413-4598-AF89-B4B75D2F2989}"/>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2026-03-01T09:04:07Z</dcterms:created>
  <dcterms:modified xsi:type="dcterms:W3CDTF">2026-03-01T09:04:10Z</dcterms:modified>
</cp:coreProperties>
</file>