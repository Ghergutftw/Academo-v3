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CC36B264-F25A-4E54-9FC1-1B199D7E4A23}" xr6:coauthVersionLast="47" xr6:coauthVersionMax="47" xr10:uidLastSave="{00000000-0000-0000-0000-000000000000}"/>
  <bookViews>
    <workbookView xWindow="-110" yWindow="-110" windowWidth="25820" windowHeight="15500" xr2:uid="{FC805A14-3C54-411D-B259-8B8E37C6624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36" i="1" a="1"/>
  <c r="C36" i="1" s="1"/>
  <c r="C23" i="1"/>
  <c r="C9" i="1"/>
  <c r="C8" i="1"/>
  <c r="C7" i="1"/>
  <c r="A2" i="1"/>
  <c r="M32" i="1" a="1"/>
  <c r="M32" i="1" s="1"/>
  <c r="E13" i="1" l="1" a="1"/>
  <c r="E13" i="1" s="1"/>
  <c r="G26" i="1" a="1"/>
  <c r="G26" i="1" s="1"/>
  <c r="G27" i="1" s="1"/>
  <c r="E14" i="1" a="1"/>
  <c r="E14" i="1" s="1"/>
  <c r="I26" i="1" a="1"/>
  <c r="I26" i="1" s="1"/>
  <c r="I27" i="1" s="1"/>
  <c r="M14" i="1" a="1"/>
  <c r="M14" i="1" s="1"/>
  <c r="K26" i="1" a="1"/>
  <c r="K26" i="1" s="1"/>
  <c r="K27" i="1" s="1"/>
  <c r="E23" i="1" a="1"/>
  <c r="E23" i="1" s="1"/>
  <c r="I23" i="1" a="1"/>
  <c r="I23" i="1" s="1"/>
  <c r="M23" i="1" a="1"/>
  <c r="M23" i="1" s="1"/>
  <c r="E26" i="1" a="1"/>
  <c r="E26" i="1" s="1"/>
  <c r="C34" i="1" a="1"/>
  <c r="C34" i="1" s="1"/>
  <c r="M33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2B8ADB8E-093B-403F-86CB-2FDB4CF10045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4D4A2A84-071F-4C2F-8BA3-F696A166D686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<sst xmlns="http://schemas.openxmlformats.org/spreadsheetml/2006/main" count="201" uniqueCount="151">
  <si>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</si>
  <si>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</si>
  <si>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</si>
  <si>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</si>
  <si>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</si>
  <si>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</si>
  <si>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</si>
  <si>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</si>
  <si>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</si>
  <si>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</si>
  <si>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</si>
  <si>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</si>
  <si>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</si>
  <si>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Programarea calculatoarelor I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</si>
  <si>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</si>
  <si>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</si>
  <si>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</si>
  <si>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</si>
  <si>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Dr. ing. Bogdan BURLACU</t>
  </si>
  <si>
    <t>2.3 Titularul / titularii activităţilor de aplicaţii (S, L, P, Pr)</t>
  </si>
  <si>
    <t>Drd.ing. Adrian Paul Botezatu</t>
  </si>
  <si>
    <t>Ing. Ionuț Sopon</t>
  </si>
  <si>
    <t>Ing. Denis Ioan Pleșcan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</si>
  <si>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</si>
  <si>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</si>
  <si>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</si>
  <si>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</si>
  <si>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</si>
  <si>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</si>
  <si>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</si>
  <si>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</si>
  <si>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</si>
  <si>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</si>
  <si>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</si>
  <si>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</si>
  <si>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</si>
  <si>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</si>
  <si>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</si>
  <si>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</si>
  <si>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</si>
  <si>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</si>
  <si>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</si>
  <si>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</si>
  <si>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</si>
  <si>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</si>
  <si>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</si>
  <si>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</si>
  <si>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</si>
  <si>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</si>
  <si>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</si>
  <si>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</si>
  <si>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</si>
  <si>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</si>
  <si>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</si>
  <si>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- cunoștinte de bază despre arhitectura unui calculator</t>
  </si>
  <si>
    <t>5. Condiţii</t>
  </si>
  <si>
    <t>5.1 de desfăşurare a cursului</t>
  </si>
  <si>
    <t>- tablă
- videoproiector
- calculator cu access la internet
- cont academic activ</t>
  </si>
  <si>
    <t>5.2 de desfăşurare a seminarului / laboratorului / proiectului</t>
  </si>
  <si>
    <t>- calculatoare cu sistemul de operare Linux</t>
  </si>
  <si>
    <t>6. Obiectivul general al disciplinei</t>
  </si>
  <si>
    <t>Transmiterea către studenți a noțiunilor fundamentale de programare structurată în limbajul C (standard ISO C23), noțiuni de proiectare software (modularitate, factorizarea codului, mentenabilitate), noțiuni de stabilitate, performanță, lucrul cu memoria.</t>
  </si>
  <si>
    <t>7. Rezultatele învățării</t>
  </si>
  <si>
    <t>Cunoștințe</t>
  </si>
  <si>
    <t>Studentul / Absolventul:</t>
  </si>
  <si>
    <t>- noțiuni de bază despre organizarea unui sistem de calcul (procesor, memorie, bus, dispozitive de intrare-ieșire)
- noțiuni de bază despre sistemul de operare Linux și despre standardul POSIX
- noțiuni de bază despre programarea imperativă/structurată (reutilizarea codului, factorizare, modularizare, mentenabilitate)
- noțiuni avansate de lucru cu memoria (pointeri) și de gestionare dinamică a memoriei
- noțiuni avansate de lucru cu dispozitive de intrare-ieșire (fișiere)</t>
  </si>
  <si>
    <t>Aptitudini</t>
  </si>
  <si>
    <t>- interacționează cu linia de comandă în sistemul de operare GNU/Linux
- editează fișiere sursă și apelează compilatorul
- compilează programe în fișiere obiect (executabile, biblioteci) fără erori sau warning-uri
- operează într-un mod eficient facilitățile bibliotecii standard (libc)
- examinează pe cont propriu secțiunea 3 a manualului Linux (funcțiile bibliotecii standard)
- implementează algoritmi pentru a rezolva o gamă variată de probleme folosindu-se de elementele limbajului (variabile, funcții, structuri, pointeri, tablouri, etc.)</t>
  </si>
  <si>
    <t>Responsabilitate și autonomie</t>
  </si>
  <si>
    <t>- rezolvă individual (pe cont propriu) exerciții similare cu cele arătate la curs sau laborator
- investighează potențialele erori de compilare și warning-uri pentru a aprofunda semnificația acestora și a îmbunătății corectitudinea programelor</t>
  </si>
  <si>
    <t xml:space="preserve">8. Metode de predare </t>
  </si>
  <si>
    <r>
      <rPr>
        <sz val="12"/>
        <rFont val="Arial"/>
      </rPr>
      <t xml:space="preserve">- prezentare orală și la tablă
- prezentare interactivă (folosind exemple pe calculator și exemple online be Compiler Explorer - </t>
    </r>
    <r>
      <rPr>
        <u/>
        <sz val="12"/>
        <color rgb="FF1155CC"/>
        <rFont val="Arial"/>
      </rPr>
      <t>godbolt.org</t>
    </r>
    <r>
      <rPr>
        <sz val="12"/>
        <rFont val="Arial"/>
      </rPr>
      <t>)
- rezolvarea unor diferite probleme simple (cu titlu de exemplu) cu implicarea interactivă a studenților</t>
    </r>
  </si>
  <si>
    <t>9. Conţinuturi</t>
  </si>
  <si>
    <t>9.1. Curs</t>
  </si>
  <si>
    <t>Metode de predare</t>
  </si>
  <si>
    <t>Timp alocat</t>
  </si>
  <si>
    <t>1</t>
  </si>
  <si>
    <t>Introducere, scurt istoric și motivație pentru limbajul de programare C</t>
  </si>
  <si>
    <t>Utilizarea suportului electronic (slide-uri, exemple de cod). Prezentarea la tablă a principalelor concepte. Exemple interactive și discuții cu studenții.</t>
  </si>
  <si>
    <t>2</t>
  </si>
  <si>
    <t>Concepte importante și terminologie (procesor, memorie, bus, dispozitive de intrare-ieșire)</t>
  </si>
  <si>
    <t>3</t>
  </si>
  <si>
    <t>Structura de bază a unui program C. Procesul de compilare.</t>
  </si>
  <si>
    <t>4</t>
  </si>
  <si>
    <t>Obiecte, tipuri de date fundamentale, funcții</t>
  </si>
  <si>
    <t>5</t>
  </si>
  <si>
    <t>Expresii și operatori</t>
  </si>
  <si>
    <t>6</t>
  </si>
  <si>
    <t>Flux de control (iterație, selecție, salt)</t>
  </si>
  <si>
    <t>7</t>
  </si>
  <si>
    <t>Operatori logici, operatori binari, operatorul cast</t>
  </si>
  <si>
    <t>8</t>
  </si>
  <si>
    <t>Calificatori: const, volatile, restrict</t>
  </si>
  <si>
    <t>9</t>
  </si>
  <si>
    <t>Clase de memorie, durata de viață a variabilelor, domeniu (scope), vizibilitate</t>
  </si>
  <si>
    <t>10</t>
  </si>
  <si>
    <t>Tipuri de date derivate: struct, union, enum</t>
  </si>
  <si>
    <t>11</t>
  </si>
  <si>
    <t>Lucrul cu dispozitivele de intrare-ieșire. Lucrul cu fișiere</t>
  </si>
  <si>
    <t>12</t>
  </si>
  <si>
    <t>Lucrul cu linia de comandă, gestionarea argumentelor în linie de comandă</t>
  </si>
  <si>
    <t>13</t>
  </si>
  <si>
    <t>14</t>
  </si>
  <si>
    <t xml:space="preserve">Bibliografie curs:
1. J. Gustedt, Modern C. Manning, 2025. Online: https://inria.hal.science/hal-02383654                                         
2. R. Seacord, Effective C, 2nd Edition: An Introduction to Professional C Programming. No Starch Press, 2024. Online: https://nostarch.com/effective-c-2nd-edition                                         
3. B. Hall, Beej's Guide to C Programming. 2025. Online: https://beej.us/guide/bgc/                                         
</t>
  </si>
  <si>
    <t>9.2a Seminar</t>
  </si>
  <si>
    <t>Metode de lucru</t>
  </si>
  <si>
    <t>9.2b Laborator</t>
  </si>
  <si>
    <t>Reprezentarea algoritmilor prin scheme logice</t>
  </si>
  <si>
    <t>Rezolvare de probleme cu implementarea practică a soluției și discutarea situațiilor speciale.</t>
  </si>
  <si>
    <t>Elemente de bază ale limbajului C. Variabile.</t>
  </si>
  <si>
    <t>Elemente de bază ale limbajului C. Decizia și repetiția.</t>
  </si>
  <si>
    <t>Elemente de bază ale limbajului C. Decizia și funcții.</t>
  </si>
  <si>
    <t>Tablouri</t>
  </si>
  <si>
    <t>Pointeri</t>
  </si>
  <si>
    <t>Pointeri. Alocare dinamică de memorie.</t>
  </si>
  <si>
    <t>Matrice alocate static.</t>
  </si>
  <si>
    <t>Matrice alocate dinamic.</t>
  </si>
  <si>
    <t>Structuri.</t>
  </si>
  <si>
    <t>Structuri și pointeri.</t>
  </si>
  <si>
    <t>Funcții pentru lucrul cu șiruri de caractere.</t>
  </si>
  <si>
    <t>Fișiere. Argumentele liniei de comandă.</t>
  </si>
  <si>
    <t>9.2c Proiect</t>
  </si>
  <si>
    <t xml:space="preserve">Bibliografie laborator:
1. J. Gustedt, Modern C. Manning, 2025. Online: https://inria.hal.science/hal-02383654                                         
2. R. Seacord, Effective C, 2nd Edition: An Introduction to Professional C Programming. No Starch Press, 2024. Online: https://nostarch.com/effective-c-2nd-edition                                         
3. B. Hall, Beej's Guide to C Programming. 2025. Online: https://beej.us/guide/bgc/        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</si>
  <si>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</si>
  <si>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</si>
  <si>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</si>
  <si>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</si>
  <si>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</si>
  <si>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Verificare</t>
  </si>
  <si>
    <t>Completitudinea şi corectitudinea cunoştinţelor privind sintaxa limbajului de programare.
Capacitatea de analiză, de interpretare personală, originalitatea, creativitatea. 
Gradul de asimilare a limbajului de programare şi capacitatea de comunicare.
Capacitatea de a valorifica abilităţile dobândite de programare a aplicațiilor.
Capacitatea de a prelucra cerințele și de a implementa programele.</t>
  </si>
  <si>
    <t>- test de evaluare formativ (verificări pe parcursul semestrului).</t>
  </si>
  <si>
    <t>50%</t>
  </si>
  <si>
    <t>- test de evaluare sumativ (verificare finală).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</si>
  <si>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</si>
  <si>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</si>
  <si>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</si>
  <si>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</si>
  <si>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</si>
  <si>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</si>
  <si>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</si>
  <si>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</si>
  <si>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</si>
  <si>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</si>
  <si>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rezultă prin considerarea punctajelor și ponderilor alocate fiecărei activităţi din cadrul disciplinei. Se vor acorda note întregi de la 10 la 1, nota 5 certificând dobândirea rezultatelor învăţării minimale aferente disciplinei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</si>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</sst>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u/>
      <sz val="12"/>
      <color rgb="FF0000FF"/>
      <name val="Arial"/>
    </font>
    <font>
      <sz val="12"/>
      <name val="Arial"/>
    </font>
    <font>
      <u/>
      <sz val="12"/>
      <color rgb="FF1155CC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1.xlsx" TargetMode="External"/><Relationship Id="rId1" Type="http://schemas.openxmlformats.org/officeDocument/2006/relationships/externalLinkPath" Target="/Users/Madalin/Downloads/FD%20AIA%20-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ALGA"/>
      <sheetName val="AM"/>
      <sheetName val="PC I"/>
      <sheetName val="FIZ"/>
      <sheetName val="BFC"/>
      <sheetName val="SP I"/>
      <sheetName val="MAI"/>
      <sheetName val="SPD"/>
      <sheetName val="DCE"/>
      <sheetName val="PC II"/>
      <sheetName val="ETH"/>
      <sheetName val="SP II"/>
      <sheetName val="CM I"/>
      <sheetName val="CM II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C1" t="str">
            <v>Anul universitar: 2025-2026</v>
          </cell>
        </row>
        <row r="2">
          <cell r="B2" t="str">
            <v>Automatică, Informatică Aplicată și Sisteme Inteligente</v>
          </cell>
        </row>
        <row r="3">
          <cell r="B3" t="str">
            <v>Licență</v>
          </cell>
        </row>
        <row r="4">
          <cell r="B4">
            <v>1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Algebră liniară și geometrie analitică</v>
          </cell>
          <cell r="D8" t="str">
            <v xml:space="preserve">Linear Algebra and Analytic Geometry  </v>
          </cell>
          <cell r="E8" t="str">
            <v>AIA.ALGA.101</v>
          </cell>
          <cell r="F8" t="str">
            <v>DOB</v>
          </cell>
          <cell r="G8" t="str">
            <v>DF</v>
          </cell>
          <cell r="H8">
            <v>2</v>
          </cell>
          <cell r="I8">
            <v>3</v>
          </cell>
          <cell r="J8">
            <v>0</v>
          </cell>
          <cell r="K8">
            <v>0</v>
          </cell>
          <cell r="L8">
            <v>89</v>
          </cell>
          <cell r="M8" t="str">
            <v>E</v>
          </cell>
          <cell r="N8">
            <v>6</v>
          </cell>
        </row>
        <row r="9">
          <cell r="A9">
            <v>1</v>
          </cell>
          <cell r="C9" t="str">
            <v>Analiză matematică</v>
          </cell>
          <cell r="D9" t="str">
            <v>Calculus</v>
          </cell>
          <cell r="E9" t="str">
            <v>AIA.AM.102</v>
          </cell>
          <cell r="F9" t="str">
            <v>DOB</v>
          </cell>
          <cell r="G9" t="str">
            <v>DF</v>
          </cell>
          <cell r="H9">
            <v>2</v>
          </cell>
          <cell r="I9">
            <v>3</v>
          </cell>
          <cell r="J9">
            <v>0</v>
          </cell>
          <cell r="K9">
            <v>0</v>
          </cell>
          <cell r="L9">
            <v>89</v>
          </cell>
          <cell r="M9" t="str">
            <v>E</v>
          </cell>
          <cell r="N9">
            <v>6</v>
          </cell>
        </row>
        <row r="10">
          <cell r="A10">
            <v>1</v>
          </cell>
          <cell r="C10" t="str">
            <v>Programarea calculatoarelor I</v>
          </cell>
          <cell r="D10" t="str">
            <v>Computer Programming I</v>
          </cell>
          <cell r="E10" t="str">
            <v>AIA.PCI.103</v>
          </cell>
          <cell r="F10" t="str">
            <v>DOB</v>
          </cell>
          <cell r="G10" t="str">
            <v>DF</v>
          </cell>
          <cell r="H10">
            <v>2</v>
          </cell>
          <cell r="I10">
            <v>0</v>
          </cell>
          <cell r="J10">
            <v>3</v>
          </cell>
          <cell r="K10">
            <v>0</v>
          </cell>
          <cell r="L10">
            <v>89</v>
          </cell>
          <cell r="M10" t="str">
            <v>E</v>
          </cell>
          <cell r="N10">
            <v>6</v>
          </cell>
        </row>
        <row r="11">
          <cell r="A11">
            <v>1</v>
          </cell>
          <cell r="C11" t="str">
            <v>Fizică</v>
          </cell>
          <cell r="D11" t="str">
            <v>Physics</v>
          </cell>
          <cell r="E11" t="str">
            <v>AIA.FIZ.104</v>
          </cell>
          <cell r="F11" t="str">
            <v>DOB</v>
          </cell>
          <cell r="G11" t="str">
            <v>DF</v>
          </cell>
          <cell r="H11">
            <v>2</v>
          </cell>
          <cell r="I11">
            <v>1</v>
          </cell>
          <cell r="J11">
            <v>2</v>
          </cell>
          <cell r="K11">
            <v>0</v>
          </cell>
          <cell r="L11">
            <v>65</v>
          </cell>
          <cell r="M11" t="str">
            <v>V</v>
          </cell>
          <cell r="N11">
            <v>5</v>
          </cell>
        </row>
        <row r="12">
          <cell r="A12">
            <v>1</v>
          </cell>
          <cell r="C12" t="str">
            <v>Bazele funcționării calculatoarelor</v>
          </cell>
          <cell r="D12" t="str">
            <v>Fundamentals of Computer Operation</v>
          </cell>
          <cell r="E12" t="str">
            <v>AIA.BFC.105</v>
          </cell>
          <cell r="F12" t="str">
            <v>DOB</v>
          </cell>
          <cell r="G12" t="str">
            <v>DF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79</v>
          </cell>
          <cell r="M12" t="str">
            <v>V</v>
          </cell>
          <cell r="N12">
            <v>5</v>
          </cell>
        </row>
        <row r="13">
          <cell r="A13">
            <v>1</v>
          </cell>
          <cell r="C13" t="str">
            <v>Sport I</v>
          </cell>
          <cell r="D13" t="str">
            <v>Physical Training I</v>
          </cell>
          <cell r="E13" t="str">
            <v>AIA.SPI.106</v>
          </cell>
          <cell r="F13" t="str">
            <v>DOB</v>
          </cell>
          <cell r="G13" t="str">
            <v>DC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26</v>
          </cell>
          <cell r="M13" t="str">
            <v>V
(A/R)</v>
          </cell>
          <cell r="N13">
            <v>2</v>
          </cell>
        </row>
        <row r="14">
          <cell r="A14">
            <v>2</v>
          </cell>
          <cell r="C14" t="str">
            <v>Matematici aplicate în inginerie</v>
          </cell>
          <cell r="D14" t="str">
            <v>Applied Mathematics in Engineering</v>
          </cell>
          <cell r="E14" t="str">
            <v>AIA.EDCO.107</v>
          </cell>
          <cell r="F14" t="str">
            <v>DOB</v>
          </cell>
          <cell r="G14" t="str">
            <v>DF</v>
          </cell>
          <cell r="H14">
            <v>2</v>
          </cell>
          <cell r="I14">
            <v>3</v>
          </cell>
          <cell r="J14">
            <v>0</v>
          </cell>
          <cell r="K14">
            <v>0</v>
          </cell>
          <cell r="L14">
            <v>89</v>
          </cell>
          <cell r="M14" t="str">
            <v>E</v>
          </cell>
          <cell r="N14">
            <v>6</v>
          </cell>
        </row>
        <row r="15">
          <cell r="A15">
            <v>2</v>
          </cell>
          <cell r="C15" t="str">
            <v>Statistică și prelucrarea datelor</v>
          </cell>
          <cell r="D15" t="str">
            <v>Statistics and Data Processing</v>
          </cell>
          <cell r="E15" t="str">
            <v>AIA.SPD.108</v>
          </cell>
          <cell r="F15" t="str">
            <v>DOB</v>
          </cell>
          <cell r="G15" t="str">
            <v>DF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79</v>
          </cell>
          <cell r="M15" t="str">
            <v>V</v>
          </cell>
          <cell r="N15">
            <v>5</v>
          </cell>
        </row>
        <row r="16">
          <cell r="A16">
            <v>2</v>
          </cell>
          <cell r="C16" t="str">
            <v>Dispozitive și circuite electronice</v>
          </cell>
          <cell r="D16" t="str">
            <v>Electronic Devices and Circuits</v>
          </cell>
          <cell r="E16" t="str">
            <v>AIA.DCE.109</v>
          </cell>
          <cell r="F16" t="str">
            <v>DOB</v>
          </cell>
          <cell r="G16" t="str">
            <v>DF</v>
          </cell>
          <cell r="H16">
            <v>2</v>
          </cell>
          <cell r="I16">
            <v>0</v>
          </cell>
          <cell r="J16">
            <v>3</v>
          </cell>
          <cell r="K16">
            <v>0</v>
          </cell>
          <cell r="L16">
            <v>62</v>
          </cell>
          <cell r="M16" t="str">
            <v>E</v>
          </cell>
          <cell r="N16">
            <v>5</v>
          </cell>
        </row>
        <row r="17">
          <cell r="A17">
            <v>2</v>
          </cell>
          <cell r="C17" t="str">
            <v>Programarea calculatoarelor II</v>
          </cell>
          <cell r="D17" t="str">
            <v>Computer Programming II</v>
          </cell>
          <cell r="E17" t="str">
            <v>AIA.PCII.110</v>
          </cell>
          <cell r="F17" t="str">
            <v>DOB</v>
          </cell>
          <cell r="G17" t="str">
            <v>DF</v>
          </cell>
          <cell r="H17">
            <v>2</v>
          </cell>
          <cell r="I17">
            <v>0</v>
          </cell>
          <cell r="J17">
            <v>3</v>
          </cell>
          <cell r="K17">
            <v>0</v>
          </cell>
          <cell r="L17">
            <v>89</v>
          </cell>
          <cell r="M17" t="str">
            <v>E</v>
          </cell>
          <cell r="N17">
            <v>6</v>
          </cell>
        </row>
        <row r="18">
          <cell r="A18">
            <v>2</v>
          </cell>
          <cell r="C18" t="str">
            <v>Electrotehnică</v>
          </cell>
          <cell r="D18" t="str">
            <v xml:space="preserve">Fundamentals of Electrical Engineering </v>
          </cell>
          <cell r="E18" t="str">
            <v>AIA.ETH.111</v>
          </cell>
          <cell r="F18" t="str">
            <v>DOB</v>
          </cell>
          <cell r="G18" t="str">
            <v>DF</v>
          </cell>
          <cell r="H18">
            <v>2</v>
          </cell>
          <cell r="I18">
            <v>1</v>
          </cell>
          <cell r="J18">
            <v>2</v>
          </cell>
          <cell r="K18">
            <v>0</v>
          </cell>
          <cell r="L18">
            <v>89</v>
          </cell>
          <cell r="M18" t="str">
            <v>E</v>
          </cell>
          <cell r="N18">
            <v>6</v>
          </cell>
        </row>
        <row r="19">
          <cell r="A19">
            <v>2</v>
          </cell>
          <cell r="C19" t="str">
            <v>Sport II</v>
          </cell>
          <cell r="D19" t="str">
            <v>Physical Training II</v>
          </cell>
          <cell r="E19" t="str">
            <v>AIA.SPII.112</v>
          </cell>
          <cell r="F19" t="str">
            <v>DOB</v>
          </cell>
          <cell r="G19" t="str">
            <v>DC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26</v>
          </cell>
          <cell r="M19" t="str">
            <v>V
(A/R)</v>
          </cell>
          <cell r="N19">
            <v>2</v>
          </cell>
        </row>
        <row r="20">
          <cell r="A20">
            <v>1</v>
          </cell>
          <cell r="C20" t="str">
            <v>Complemente de matematică I</v>
          </cell>
          <cell r="D20" t="str">
            <v>Mathematical Supplements I</v>
          </cell>
          <cell r="E20" t="str">
            <v>AIA.CMI.113</v>
          </cell>
          <cell r="F20" t="str">
            <v>DFA</v>
          </cell>
          <cell r="G20" t="str">
            <v>DF</v>
          </cell>
          <cell r="H20">
            <v>2</v>
          </cell>
          <cell r="I20">
            <v>0</v>
          </cell>
          <cell r="J20">
            <v>0</v>
          </cell>
          <cell r="K20">
            <v>0</v>
          </cell>
          <cell r="L20">
            <v>53</v>
          </cell>
          <cell r="M20" t="str">
            <v>V</v>
          </cell>
          <cell r="N20">
            <v>3</v>
          </cell>
        </row>
        <row r="21">
          <cell r="A21">
            <v>2</v>
          </cell>
          <cell r="C21" t="str">
            <v>Complemente de matematică II</v>
          </cell>
          <cell r="D21" t="str">
            <v>Mathematical Supplements II</v>
          </cell>
          <cell r="E21" t="str">
            <v>AIA.CMII.114</v>
          </cell>
          <cell r="F21" t="str">
            <v>DFA</v>
          </cell>
          <cell r="G21" t="str">
            <v>DF</v>
          </cell>
          <cell r="H21">
            <v>2</v>
          </cell>
          <cell r="I21">
            <v>0</v>
          </cell>
          <cell r="J21">
            <v>0</v>
          </cell>
          <cell r="K21">
            <v>0</v>
          </cell>
          <cell r="L21">
            <v>53</v>
          </cell>
          <cell r="M21" t="str">
            <v>V</v>
          </cell>
          <cell r="N21">
            <v>3</v>
          </cell>
        </row>
        <row r="25">
          <cell r="C25">
            <v>45915</v>
          </cell>
        </row>
        <row r="26">
          <cell r="C26">
            <v>45918</v>
          </cell>
        </row>
        <row r="27">
          <cell r="C27" t="str">
            <v>Conf.dr.ing. Mihai POSTOLACHE</v>
          </cell>
        </row>
        <row r="28">
          <cell r="C28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godbol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5E9-224F-4022-841F-59F941BD932D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Automatică, Informatică Aplicată și Sisteme Inteligente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INDEX([1]Date!D8:D21, MATCH(E12,[1]Date!C8:C21,0),0)</f>
        <v>Computer Programming I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INDEX([1]Date!E8:E21, MATCH(E12,[1]Date!C8:C21,0),0)</f>
        <v>AIA.PCI.103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INDEX([1]Date!G8:G21, MATCH(E12,[1]Date!C8:C21,0),0)</f>
        <v>DF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20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 t="s">
        <v>21</v>
      </c>
      <c r="F18" s="8"/>
      <c r="G18" s="8"/>
      <c r="H18" s="8"/>
      <c r="I18" s="8"/>
      <c r="J18" s="8"/>
      <c r="K18" s="8"/>
      <c r="L18" s="8"/>
      <c r="M18" s="10"/>
      <c r="N18" s="5"/>
    </row>
    <row r="19" spans="1:14" ht="15.5" x14ac:dyDescent="0.35">
      <c r="A19" s="25"/>
      <c r="B19" s="2"/>
      <c r="C19" s="2"/>
      <c r="D19" s="26"/>
      <c r="E19" s="23" t="s">
        <v>22</v>
      </c>
      <c r="F19" s="8"/>
      <c r="G19" s="8"/>
      <c r="H19" s="8"/>
      <c r="I19" s="8"/>
      <c r="J19" s="8"/>
      <c r="K19" s="8"/>
      <c r="L19" s="8"/>
      <c r="M19" s="10"/>
      <c r="N19" s="5"/>
    </row>
    <row r="20" spans="1:14" ht="15.5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23</v>
      </c>
      <c r="B23" s="10"/>
      <c r="C23" s="27">
        <f>[1]Date!B4</f>
        <v>1</v>
      </c>
      <c r="D23" s="28" t="s">
        <v>24</v>
      </c>
      <c r="E23" s="27">
        <f t="array" aca="1" ref="E23" ca="1">INDEX([1]Date!A8:A21, MATCH(E12,[1]Date!C8:C21,0),0)</f>
        <v>1</v>
      </c>
      <c r="F23" s="29" t="s">
        <v>25</v>
      </c>
      <c r="G23" s="8"/>
      <c r="H23" s="10"/>
      <c r="I23" s="22" t="str">
        <f t="array" aca="1" ref="I23" ca="1">INDEX([1]Date!M8:M21, MATCH(E12,[1]Date!C8:C21,0),0)</f>
        <v>E</v>
      </c>
      <c r="J23" s="29" t="s">
        <v>26</v>
      </c>
      <c r="K23" s="8"/>
      <c r="L23" s="10"/>
      <c r="M23" s="27" t="str">
        <f t="array" aca="1" ref="M23" ca="1">INDEX([1]Date!F8:F21, MATCH(E12,[1]Date!C8:C21,0),0)</f>
        <v>DOB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28</v>
      </c>
      <c r="B26" s="10"/>
      <c r="C26" s="27">
        <f ca="1">SUM(E26+G26+I26+K26)</f>
        <v>5</v>
      </c>
      <c r="D26" s="28" t="s">
        <v>29</v>
      </c>
      <c r="E26" s="27">
        <f t="array" aca="1" ref="E26" ca="1">INDEX([1]Date!H8:H21, MATCH(E12,[1]Date!C8:C21,0),0)</f>
        <v>2</v>
      </c>
      <c r="F26" s="28" t="s">
        <v>30</v>
      </c>
      <c r="G26" s="27">
        <f t="array" aca="1" ref="G26" ca="1">INDEX([1]Date!I8:I21, MATCH(E12,[1]Date!C8:C21,0),0)</f>
        <v>0</v>
      </c>
      <c r="H26" s="28" t="s">
        <v>31</v>
      </c>
      <c r="I26" s="27">
        <f t="array" aca="1" ref="I26" ca="1">INDEX([1]Date!J8:J21, MATCH(E12,[1]Date!C8:C21,0),0)</f>
        <v>3</v>
      </c>
      <c r="J26" s="28" t="s">
        <v>32</v>
      </c>
      <c r="K26" s="27">
        <f t="array" aca="1" ref="K26" ca="1">INDEX([1]Date!K8:K21, MATCH(E12,[1]Date!C8:C21,0),0)</f>
        <v>0</v>
      </c>
      <c r="L26" s="7" t="s">
        <v>33</v>
      </c>
      <c r="M26" s="10"/>
      <c r="N26" s="30"/>
    </row>
    <row r="27" spans="1:14" ht="31" x14ac:dyDescent="0.35">
      <c r="A27" s="7" t="s">
        <v>34</v>
      </c>
      <c r="B27" s="10"/>
      <c r="C27" s="27">
        <f ca="1">C26*14</f>
        <v>70</v>
      </c>
      <c r="D27" s="28" t="s">
        <v>35</v>
      </c>
      <c r="E27" s="27">
        <f ca="1">E26*14</f>
        <v>28</v>
      </c>
      <c r="F27" s="28" t="s">
        <v>36</v>
      </c>
      <c r="G27" s="27">
        <f ca="1">G26*14</f>
        <v>0</v>
      </c>
      <c r="H27" s="28" t="s">
        <v>37</v>
      </c>
      <c r="I27" s="27">
        <f ca="1">I26*14</f>
        <v>42</v>
      </c>
      <c r="J27" s="28" t="s">
        <v>38</v>
      </c>
      <c r="K27" s="27">
        <f ca="1">K26*14</f>
        <v>0</v>
      </c>
      <c r="L27" s="28" t="s">
        <v>39</v>
      </c>
      <c r="M27" s="27">
        <v>0</v>
      </c>
      <c r="N27" s="5"/>
    </row>
    <row r="28" spans="1:14" ht="15.5" x14ac:dyDescent="0.35">
      <c r="A28" s="7" t="s">
        <v>40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41</v>
      </c>
      <c r="N28" s="5"/>
    </row>
    <row r="29" spans="1:14" ht="15.5" x14ac:dyDescent="0.35">
      <c r="A29" s="7" t="s">
        <v>42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1">
        <v>20</v>
      </c>
      <c r="N29" s="5"/>
    </row>
    <row r="30" spans="1:14" ht="15.5" x14ac:dyDescent="0.35">
      <c r="A30" s="7" t="s">
        <v>43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1">
        <v>23</v>
      </c>
      <c r="N30" s="5"/>
    </row>
    <row r="31" spans="1:14" ht="15.5" x14ac:dyDescent="0.35">
      <c r="A31" s="7" t="s">
        <v>44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1">
        <v>46</v>
      </c>
      <c r="N31" s="5"/>
    </row>
    <row r="32" spans="1:14" ht="15.5" x14ac:dyDescent="0.35">
      <c r="A32" s="7" t="s">
        <v>45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IF(INDEX([1]Date!M8:M21, MATCH(E12,[1]Date!C8:C21,0),0)="E",3,0)</f>
        <v>3</v>
      </c>
      <c r="N32" s="5"/>
    </row>
    <row r="33" spans="1:14" ht="15.5" x14ac:dyDescent="0.35">
      <c r="A33" s="7" t="s">
        <v>46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47</v>
      </c>
      <c r="B34" s="10"/>
      <c r="C34" s="27">
        <f t="array" aca="1" ref="C34" ca="1">INDEX([1]Date!L8:L21, MATCH(E12,[1]Date!C8:C21,0),0)</f>
        <v>89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48</v>
      </c>
      <c r="B35" s="10"/>
      <c r="C35" s="27">
        <f ca="1">C27+M32+C34</f>
        <v>162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49</v>
      </c>
      <c r="B36" s="10"/>
      <c r="C36" s="27">
        <f t="array" aca="1" ref="C36" ca="1">INDEX([1]Date!N8:N21, MATCH(E12,[1]Date!C8:C21,0),0)</f>
        <v>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50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51</v>
      </c>
      <c r="B39" s="10"/>
      <c r="C39" s="9" t="s">
        <v>52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53</v>
      </c>
      <c r="B40" s="10"/>
      <c r="C40" s="23" t="s">
        <v>54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56</v>
      </c>
      <c r="B43" s="10"/>
      <c r="C43" s="23" t="s">
        <v>57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58</v>
      </c>
      <c r="B44" s="10"/>
      <c r="C44" s="23" t="s">
        <v>59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60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15.5" x14ac:dyDescent="0.35">
      <c r="A47" s="23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62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2" t="s">
        <v>63</v>
      </c>
      <c r="B50" s="33" t="s">
        <v>64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4"/>
      <c r="B51" s="35" t="s">
        <v>65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2" t="s">
        <v>66</v>
      </c>
      <c r="B52" s="33" t="s">
        <v>64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4"/>
      <c r="B53" s="35" t="s">
        <v>67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5.5" x14ac:dyDescent="0.35">
      <c r="A54" s="32" t="s">
        <v>68</v>
      </c>
      <c r="B54" s="33" t="s">
        <v>64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5.5" x14ac:dyDescent="0.35">
      <c r="A55" s="34"/>
      <c r="B55" s="36" t="s">
        <v>69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70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15.5" x14ac:dyDescent="0.35">
      <c r="A58" s="37" t="s">
        <v>71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72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15.5" x14ac:dyDescent="0.35">
      <c r="A61" s="38" t="s">
        <v>73</v>
      </c>
      <c r="B61" s="8"/>
      <c r="C61" s="8"/>
      <c r="D61" s="8"/>
      <c r="E61" s="8"/>
      <c r="F61" s="8"/>
      <c r="G61" s="10"/>
      <c r="H61" s="38" t="s">
        <v>74</v>
      </c>
      <c r="I61" s="8"/>
      <c r="J61" s="8"/>
      <c r="K61" s="10"/>
      <c r="L61" s="38" t="s">
        <v>75</v>
      </c>
      <c r="M61" s="10"/>
      <c r="N61" s="30"/>
    </row>
    <row r="62" spans="1:14" ht="15.5" x14ac:dyDescent="0.35">
      <c r="A62" s="39" t="s">
        <v>76</v>
      </c>
      <c r="B62" s="23" t="s">
        <v>77</v>
      </c>
      <c r="C62" s="8"/>
      <c r="D62" s="8"/>
      <c r="E62" s="8"/>
      <c r="F62" s="8"/>
      <c r="G62" s="10"/>
      <c r="H62" s="40" t="s">
        <v>78</v>
      </c>
      <c r="I62" s="14"/>
      <c r="J62" s="14"/>
      <c r="K62" s="15"/>
      <c r="L62" s="41">
        <v>1</v>
      </c>
      <c r="M62" s="10"/>
      <c r="N62" s="5"/>
    </row>
    <row r="63" spans="1:14" ht="15.5" x14ac:dyDescent="0.35">
      <c r="A63" s="39" t="s">
        <v>79</v>
      </c>
      <c r="B63" s="23" t="s">
        <v>80</v>
      </c>
      <c r="C63" s="8"/>
      <c r="D63" s="8"/>
      <c r="E63" s="8"/>
      <c r="F63" s="8"/>
      <c r="G63" s="10"/>
      <c r="H63" s="25"/>
      <c r="I63" s="2"/>
      <c r="J63" s="2"/>
      <c r="K63" s="26"/>
      <c r="L63" s="41">
        <v>1</v>
      </c>
      <c r="M63" s="10"/>
      <c r="N63" s="5"/>
    </row>
    <row r="64" spans="1:14" ht="15.5" x14ac:dyDescent="0.35">
      <c r="A64" s="39" t="s">
        <v>81</v>
      </c>
      <c r="B64" s="23" t="s">
        <v>82</v>
      </c>
      <c r="C64" s="8"/>
      <c r="D64" s="8"/>
      <c r="E64" s="8"/>
      <c r="F64" s="8"/>
      <c r="G64" s="10"/>
      <c r="H64" s="25"/>
      <c r="I64" s="2"/>
      <c r="J64" s="2"/>
      <c r="K64" s="26"/>
      <c r="L64" s="41">
        <v>2</v>
      </c>
      <c r="M64" s="10"/>
      <c r="N64" s="5"/>
    </row>
    <row r="65" spans="1:14" ht="15.5" x14ac:dyDescent="0.35">
      <c r="A65" s="39" t="s">
        <v>83</v>
      </c>
      <c r="B65" s="23" t="s">
        <v>84</v>
      </c>
      <c r="C65" s="8"/>
      <c r="D65" s="8"/>
      <c r="E65" s="8"/>
      <c r="F65" s="8"/>
      <c r="G65" s="10"/>
      <c r="H65" s="25"/>
      <c r="I65" s="2"/>
      <c r="J65" s="2"/>
      <c r="K65" s="26"/>
      <c r="L65" s="41">
        <v>2</v>
      </c>
      <c r="M65" s="10"/>
      <c r="N65" s="5"/>
    </row>
    <row r="66" spans="1:14" ht="15.5" x14ac:dyDescent="0.35">
      <c r="A66" s="39" t="s">
        <v>85</v>
      </c>
      <c r="B66" s="23" t="s">
        <v>86</v>
      </c>
      <c r="C66" s="8"/>
      <c r="D66" s="8"/>
      <c r="E66" s="8"/>
      <c r="F66" s="8"/>
      <c r="G66" s="10"/>
      <c r="H66" s="25"/>
      <c r="I66" s="2"/>
      <c r="J66" s="2"/>
      <c r="K66" s="26"/>
      <c r="L66" s="41">
        <v>3</v>
      </c>
      <c r="M66" s="10"/>
      <c r="N66" s="5"/>
    </row>
    <row r="67" spans="1:14" ht="15.5" x14ac:dyDescent="0.35">
      <c r="A67" s="39" t="s">
        <v>87</v>
      </c>
      <c r="B67" s="23" t="s">
        <v>88</v>
      </c>
      <c r="C67" s="8"/>
      <c r="D67" s="8"/>
      <c r="E67" s="8"/>
      <c r="F67" s="8"/>
      <c r="G67" s="10"/>
      <c r="H67" s="25"/>
      <c r="I67" s="2"/>
      <c r="J67" s="2"/>
      <c r="K67" s="26"/>
      <c r="L67" s="41">
        <v>3</v>
      </c>
      <c r="M67" s="10"/>
      <c r="N67" s="5"/>
    </row>
    <row r="68" spans="1:14" ht="15.5" x14ac:dyDescent="0.35">
      <c r="A68" s="39" t="s">
        <v>89</v>
      </c>
      <c r="B68" s="23" t="s">
        <v>90</v>
      </c>
      <c r="C68" s="8"/>
      <c r="D68" s="8"/>
      <c r="E68" s="8"/>
      <c r="F68" s="8"/>
      <c r="G68" s="10"/>
      <c r="H68" s="25"/>
      <c r="I68" s="2"/>
      <c r="J68" s="2"/>
      <c r="K68" s="26"/>
      <c r="L68" s="41">
        <v>3</v>
      </c>
      <c r="M68" s="10"/>
      <c r="N68" s="5"/>
    </row>
    <row r="69" spans="1:14" ht="15.5" x14ac:dyDescent="0.35">
      <c r="A69" s="39" t="s">
        <v>91</v>
      </c>
      <c r="B69" s="23" t="s">
        <v>92</v>
      </c>
      <c r="C69" s="8"/>
      <c r="D69" s="8"/>
      <c r="E69" s="8"/>
      <c r="F69" s="8"/>
      <c r="G69" s="10"/>
      <c r="H69" s="25"/>
      <c r="I69" s="2"/>
      <c r="J69" s="2"/>
      <c r="K69" s="26"/>
      <c r="L69" s="41">
        <v>3</v>
      </c>
      <c r="M69" s="10"/>
      <c r="N69" s="5"/>
    </row>
    <row r="70" spans="1:14" ht="15.5" x14ac:dyDescent="0.35">
      <c r="A70" s="39" t="s">
        <v>93</v>
      </c>
      <c r="B70" s="23" t="s">
        <v>94</v>
      </c>
      <c r="C70" s="8"/>
      <c r="D70" s="8"/>
      <c r="E70" s="8"/>
      <c r="F70" s="8"/>
      <c r="G70" s="10"/>
      <c r="H70" s="25"/>
      <c r="I70" s="2"/>
      <c r="J70" s="2"/>
      <c r="K70" s="26"/>
      <c r="L70" s="41">
        <v>3</v>
      </c>
      <c r="M70" s="10"/>
      <c r="N70" s="5"/>
    </row>
    <row r="71" spans="1:14" ht="15.5" x14ac:dyDescent="0.35">
      <c r="A71" s="39" t="s">
        <v>95</v>
      </c>
      <c r="B71" s="23" t="s">
        <v>96</v>
      </c>
      <c r="C71" s="8"/>
      <c r="D71" s="8"/>
      <c r="E71" s="8"/>
      <c r="F71" s="8"/>
      <c r="G71" s="10"/>
      <c r="H71" s="25"/>
      <c r="I71" s="2"/>
      <c r="J71" s="2"/>
      <c r="K71" s="26"/>
      <c r="L71" s="41">
        <v>3</v>
      </c>
      <c r="M71" s="10"/>
      <c r="N71" s="5"/>
    </row>
    <row r="72" spans="1:14" ht="15.5" x14ac:dyDescent="0.35">
      <c r="A72" s="39" t="s">
        <v>97</v>
      </c>
      <c r="B72" s="23" t="s">
        <v>98</v>
      </c>
      <c r="C72" s="8"/>
      <c r="D72" s="8"/>
      <c r="E72" s="8"/>
      <c r="F72" s="8"/>
      <c r="G72" s="10"/>
      <c r="H72" s="25"/>
      <c r="I72" s="2"/>
      <c r="J72" s="2"/>
      <c r="K72" s="26"/>
      <c r="L72" s="41">
        <v>2</v>
      </c>
      <c r="M72" s="10"/>
      <c r="N72" s="5"/>
    </row>
    <row r="73" spans="1:14" ht="15.5" x14ac:dyDescent="0.35">
      <c r="A73" s="39" t="s">
        <v>99</v>
      </c>
      <c r="B73" s="23" t="s">
        <v>100</v>
      </c>
      <c r="C73" s="8"/>
      <c r="D73" s="8"/>
      <c r="E73" s="8"/>
      <c r="F73" s="8"/>
      <c r="G73" s="10"/>
      <c r="H73" s="25"/>
      <c r="I73" s="2"/>
      <c r="J73" s="2"/>
      <c r="K73" s="26"/>
      <c r="L73" s="41">
        <v>2</v>
      </c>
      <c r="M73" s="10"/>
      <c r="N73" s="5"/>
    </row>
    <row r="74" spans="1:14" ht="15.5" x14ac:dyDescent="0.35">
      <c r="A74" s="39" t="s">
        <v>101</v>
      </c>
      <c r="B74" s="23"/>
      <c r="C74" s="8"/>
      <c r="D74" s="8"/>
      <c r="E74" s="8"/>
      <c r="F74" s="8"/>
      <c r="G74" s="10"/>
      <c r="H74" s="25"/>
      <c r="I74" s="2"/>
      <c r="J74" s="2"/>
      <c r="K74" s="26"/>
      <c r="L74" s="23"/>
      <c r="M74" s="10"/>
      <c r="N74" s="5"/>
    </row>
    <row r="75" spans="1:14" ht="15.5" x14ac:dyDescent="0.35">
      <c r="A75" s="39" t="s">
        <v>102</v>
      </c>
      <c r="B75" s="23"/>
      <c r="C75" s="8"/>
      <c r="D75" s="8"/>
      <c r="E75" s="8"/>
      <c r="F75" s="8"/>
      <c r="G75" s="10"/>
      <c r="H75" s="24"/>
      <c r="I75" s="18"/>
      <c r="J75" s="18"/>
      <c r="K75" s="19"/>
      <c r="L75" s="23"/>
      <c r="M75" s="10"/>
      <c r="N75" s="5"/>
    </row>
    <row r="76" spans="1:14" ht="15.5" x14ac:dyDescent="0.35">
      <c r="A76" s="36" t="s">
        <v>103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15.5" hidden="1" x14ac:dyDescent="0.35">
      <c r="A77" s="38" t="s">
        <v>104</v>
      </c>
      <c r="B77" s="8"/>
      <c r="C77" s="8"/>
      <c r="D77" s="8"/>
      <c r="E77" s="8"/>
      <c r="F77" s="8"/>
      <c r="G77" s="10"/>
      <c r="H77" s="38" t="s">
        <v>105</v>
      </c>
      <c r="I77" s="8"/>
      <c r="J77" s="8"/>
      <c r="K77" s="10"/>
      <c r="L77" s="38" t="s">
        <v>75</v>
      </c>
      <c r="M77" s="10"/>
      <c r="N77" s="30"/>
    </row>
    <row r="78" spans="1:14" ht="15.5" hidden="1" x14ac:dyDescent="0.35">
      <c r="A78" s="39" t="s">
        <v>76</v>
      </c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 t="s">
        <v>79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 t="s">
        <v>81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 t="s">
        <v>83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 t="s">
        <v>85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 t="s">
        <v>87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 t="s">
        <v>89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 t="s">
        <v>91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 t="s">
        <v>93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 t="s">
        <v>95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 t="s">
        <v>97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 t="s">
        <v>99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 t="s">
        <v>101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 t="s">
        <v>102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15.5" x14ac:dyDescent="0.35">
      <c r="A92" s="38" t="s">
        <v>106</v>
      </c>
      <c r="B92" s="8"/>
      <c r="C92" s="8"/>
      <c r="D92" s="8"/>
      <c r="E92" s="8"/>
      <c r="F92" s="8"/>
      <c r="G92" s="10"/>
      <c r="H92" s="38" t="s">
        <v>105</v>
      </c>
      <c r="I92" s="8"/>
      <c r="J92" s="8"/>
      <c r="K92" s="10"/>
      <c r="L92" s="38" t="s">
        <v>75</v>
      </c>
      <c r="M92" s="10"/>
      <c r="N92" s="30"/>
    </row>
    <row r="93" spans="1:14" ht="15.5" x14ac:dyDescent="0.35">
      <c r="A93" s="39" t="s">
        <v>76</v>
      </c>
      <c r="B93" s="23" t="s">
        <v>107</v>
      </c>
      <c r="C93" s="8"/>
      <c r="D93" s="8"/>
      <c r="E93" s="8"/>
      <c r="F93" s="8"/>
      <c r="G93" s="10"/>
      <c r="H93" s="40" t="s">
        <v>108</v>
      </c>
      <c r="I93" s="14"/>
      <c r="J93" s="14"/>
      <c r="K93" s="15"/>
      <c r="L93" s="41">
        <v>2</v>
      </c>
      <c r="M93" s="10"/>
      <c r="N93" s="5"/>
    </row>
    <row r="94" spans="1:14" ht="15.5" x14ac:dyDescent="0.35">
      <c r="A94" s="39" t="s">
        <v>79</v>
      </c>
      <c r="B94" s="23" t="s">
        <v>109</v>
      </c>
      <c r="C94" s="8"/>
      <c r="D94" s="8"/>
      <c r="E94" s="8"/>
      <c r="F94" s="8"/>
      <c r="G94" s="10"/>
      <c r="H94" s="25"/>
      <c r="I94" s="2"/>
      <c r="J94" s="2"/>
      <c r="K94" s="26"/>
      <c r="L94" s="41">
        <v>2</v>
      </c>
      <c r="M94" s="10"/>
      <c r="N94" s="5"/>
    </row>
    <row r="95" spans="1:14" ht="15.5" x14ac:dyDescent="0.35">
      <c r="A95" s="39" t="s">
        <v>81</v>
      </c>
      <c r="B95" s="23" t="s">
        <v>110</v>
      </c>
      <c r="C95" s="8"/>
      <c r="D95" s="8"/>
      <c r="E95" s="8"/>
      <c r="F95" s="8"/>
      <c r="G95" s="10"/>
      <c r="H95" s="25"/>
      <c r="I95" s="2"/>
      <c r="J95" s="2"/>
      <c r="K95" s="26"/>
      <c r="L95" s="41">
        <v>2</v>
      </c>
      <c r="M95" s="10"/>
      <c r="N95" s="5"/>
    </row>
    <row r="96" spans="1:14" ht="15.5" x14ac:dyDescent="0.35">
      <c r="A96" s="39" t="s">
        <v>83</v>
      </c>
      <c r="B96" s="23" t="s">
        <v>111</v>
      </c>
      <c r="C96" s="8"/>
      <c r="D96" s="8"/>
      <c r="E96" s="8"/>
      <c r="F96" s="8"/>
      <c r="G96" s="10"/>
      <c r="H96" s="25"/>
      <c r="I96" s="2"/>
      <c r="J96" s="2"/>
      <c r="K96" s="26"/>
      <c r="L96" s="41">
        <v>2</v>
      </c>
      <c r="M96" s="10"/>
      <c r="N96" s="5"/>
    </row>
    <row r="97" spans="1:14" ht="15.5" x14ac:dyDescent="0.35">
      <c r="A97" s="39" t="s">
        <v>85</v>
      </c>
      <c r="B97" s="23" t="s">
        <v>112</v>
      </c>
      <c r="C97" s="8"/>
      <c r="D97" s="8"/>
      <c r="E97" s="8"/>
      <c r="F97" s="8"/>
      <c r="G97" s="10"/>
      <c r="H97" s="25"/>
      <c r="I97" s="2"/>
      <c r="J97" s="2"/>
      <c r="K97" s="26"/>
      <c r="L97" s="41">
        <v>2</v>
      </c>
      <c r="M97" s="10"/>
      <c r="N97" s="5"/>
    </row>
    <row r="98" spans="1:14" ht="15.5" x14ac:dyDescent="0.35">
      <c r="A98" s="39" t="s">
        <v>87</v>
      </c>
      <c r="B98" s="23" t="s">
        <v>113</v>
      </c>
      <c r="C98" s="8"/>
      <c r="D98" s="8"/>
      <c r="E98" s="8"/>
      <c r="F98" s="8"/>
      <c r="G98" s="10"/>
      <c r="H98" s="25"/>
      <c r="I98" s="2"/>
      <c r="J98" s="2"/>
      <c r="K98" s="26"/>
      <c r="L98" s="41">
        <v>2</v>
      </c>
      <c r="M98" s="10"/>
      <c r="N98" s="5"/>
    </row>
    <row r="99" spans="1:14" ht="15.5" x14ac:dyDescent="0.35">
      <c r="A99" s="39" t="s">
        <v>89</v>
      </c>
      <c r="B99" s="23" t="s">
        <v>114</v>
      </c>
      <c r="C99" s="8"/>
      <c r="D99" s="8"/>
      <c r="E99" s="8"/>
      <c r="F99" s="8"/>
      <c r="G99" s="10"/>
      <c r="H99" s="25"/>
      <c r="I99" s="2"/>
      <c r="J99" s="2"/>
      <c r="K99" s="26"/>
      <c r="L99" s="41">
        <v>2</v>
      </c>
      <c r="M99" s="10"/>
      <c r="N99" s="5"/>
    </row>
    <row r="100" spans="1:14" ht="15.5" x14ac:dyDescent="0.35">
      <c r="A100" s="39" t="s">
        <v>91</v>
      </c>
      <c r="B100" s="23" t="s">
        <v>115</v>
      </c>
      <c r="C100" s="8"/>
      <c r="D100" s="8"/>
      <c r="E100" s="8"/>
      <c r="F100" s="8"/>
      <c r="G100" s="10"/>
      <c r="H100" s="25"/>
      <c r="I100" s="2"/>
      <c r="J100" s="2"/>
      <c r="K100" s="26"/>
      <c r="L100" s="41">
        <v>2</v>
      </c>
      <c r="M100" s="10"/>
      <c r="N100" s="5"/>
    </row>
    <row r="101" spans="1:14" ht="15.5" x14ac:dyDescent="0.35">
      <c r="A101" s="39" t="s">
        <v>93</v>
      </c>
      <c r="B101" s="23" t="s">
        <v>116</v>
      </c>
      <c r="C101" s="8"/>
      <c r="D101" s="8"/>
      <c r="E101" s="8"/>
      <c r="F101" s="8"/>
      <c r="G101" s="10"/>
      <c r="H101" s="25"/>
      <c r="I101" s="2"/>
      <c r="J101" s="2"/>
      <c r="K101" s="26"/>
      <c r="L101" s="41">
        <v>2</v>
      </c>
      <c r="M101" s="10"/>
      <c r="N101" s="5"/>
    </row>
    <row r="102" spans="1:14" ht="15.5" x14ac:dyDescent="0.35">
      <c r="A102" s="39" t="s">
        <v>95</v>
      </c>
      <c r="B102" s="23" t="s">
        <v>117</v>
      </c>
      <c r="C102" s="8"/>
      <c r="D102" s="8"/>
      <c r="E102" s="8"/>
      <c r="F102" s="8"/>
      <c r="G102" s="10"/>
      <c r="H102" s="25"/>
      <c r="I102" s="2"/>
      <c r="J102" s="2"/>
      <c r="K102" s="26"/>
      <c r="L102" s="41">
        <v>2</v>
      </c>
      <c r="M102" s="10"/>
      <c r="N102" s="5"/>
    </row>
    <row r="103" spans="1:14" ht="15.5" x14ac:dyDescent="0.35">
      <c r="A103" s="39" t="s">
        <v>97</v>
      </c>
      <c r="B103" s="23" t="s">
        <v>118</v>
      </c>
      <c r="C103" s="8"/>
      <c r="D103" s="8"/>
      <c r="E103" s="8"/>
      <c r="F103" s="8"/>
      <c r="G103" s="10"/>
      <c r="H103" s="25"/>
      <c r="I103" s="2"/>
      <c r="J103" s="2"/>
      <c r="K103" s="26"/>
      <c r="L103" s="41">
        <v>2</v>
      </c>
      <c r="M103" s="10"/>
      <c r="N103" s="5"/>
    </row>
    <row r="104" spans="1:14" ht="15.5" x14ac:dyDescent="0.35">
      <c r="A104" s="39" t="s">
        <v>99</v>
      </c>
      <c r="B104" s="23" t="s">
        <v>119</v>
      </c>
      <c r="C104" s="8"/>
      <c r="D104" s="8"/>
      <c r="E104" s="8"/>
      <c r="F104" s="8"/>
      <c r="G104" s="10"/>
      <c r="H104" s="25"/>
      <c r="I104" s="2"/>
      <c r="J104" s="2"/>
      <c r="K104" s="26"/>
      <c r="L104" s="41">
        <v>2</v>
      </c>
      <c r="M104" s="10"/>
      <c r="N104" s="5"/>
    </row>
    <row r="105" spans="1:14" ht="15.5" x14ac:dyDescent="0.35">
      <c r="A105" s="39" t="s">
        <v>101</v>
      </c>
      <c r="B105" s="23" t="s">
        <v>120</v>
      </c>
      <c r="C105" s="8"/>
      <c r="D105" s="8"/>
      <c r="E105" s="8"/>
      <c r="F105" s="8"/>
      <c r="G105" s="10"/>
      <c r="H105" s="25"/>
      <c r="I105" s="2"/>
      <c r="J105" s="2"/>
      <c r="K105" s="26"/>
      <c r="L105" s="41">
        <v>4</v>
      </c>
      <c r="M105" s="10"/>
      <c r="N105" s="5"/>
    </row>
    <row r="106" spans="1:14" ht="15.5" x14ac:dyDescent="0.35">
      <c r="A106" s="39" t="s">
        <v>102</v>
      </c>
      <c r="B106" s="23"/>
      <c r="C106" s="8"/>
      <c r="D106" s="8"/>
      <c r="E106" s="8"/>
      <c r="F106" s="8"/>
      <c r="G106" s="10"/>
      <c r="H106" s="24"/>
      <c r="I106" s="18"/>
      <c r="J106" s="18"/>
      <c r="K106" s="19"/>
      <c r="L106" s="23"/>
      <c r="M106" s="10"/>
      <c r="N106" s="5"/>
    </row>
    <row r="107" spans="1:14" ht="15.5" hidden="1" x14ac:dyDescent="0.35">
      <c r="A107" s="38" t="s">
        <v>121</v>
      </c>
      <c r="B107" s="8"/>
      <c r="C107" s="8"/>
      <c r="D107" s="8"/>
      <c r="E107" s="8"/>
      <c r="F107" s="8"/>
      <c r="G107" s="10"/>
      <c r="H107" s="38" t="s">
        <v>105</v>
      </c>
      <c r="I107" s="8"/>
      <c r="J107" s="8"/>
      <c r="K107" s="10"/>
      <c r="L107" s="38" t="s">
        <v>75</v>
      </c>
      <c r="M107" s="10"/>
      <c r="N107" s="30"/>
    </row>
    <row r="108" spans="1:14" ht="15.5" hidden="1" x14ac:dyDescent="0.35">
      <c r="A108" s="39" t="s">
        <v>76</v>
      </c>
      <c r="B108" s="23"/>
      <c r="C108" s="8"/>
      <c r="D108" s="8"/>
      <c r="E108" s="8"/>
      <c r="F108" s="8"/>
      <c r="G108" s="10"/>
      <c r="H108" s="40"/>
      <c r="I108" s="14"/>
      <c r="J108" s="14"/>
      <c r="K108" s="15"/>
      <c r="L108" s="23"/>
      <c r="M108" s="10"/>
      <c r="N108" s="5"/>
    </row>
    <row r="109" spans="1:14" ht="15.5" hidden="1" x14ac:dyDescent="0.35">
      <c r="A109" s="39" t="s">
        <v>79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39" t="s">
        <v>81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83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85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87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89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91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93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95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97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99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101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102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5.5" x14ac:dyDescent="0.35">
      <c r="A122" s="23" t="s">
        <v>122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2" t="s">
        <v>124</v>
      </c>
      <c r="B125" s="43" t="s">
        <v>125</v>
      </c>
      <c r="C125" s="8"/>
      <c r="D125" s="8"/>
      <c r="E125" s="8"/>
      <c r="F125" s="8"/>
      <c r="G125" s="10"/>
      <c r="H125" s="43" t="s">
        <v>126</v>
      </c>
      <c r="I125" s="8"/>
      <c r="J125" s="8"/>
      <c r="K125" s="10"/>
      <c r="L125" s="44" t="s">
        <v>127</v>
      </c>
      <c r="M125" s="10"/>
      <c r="N125" s="5"/>
    </row>
    <row r="126" spans="1:14" ht="15.5" x14ac:dyDescent="0.35">
      <c r="A126" s="45" t="s">
        <v>128</v>
      </c>
      <c r="B126" s="46" t="s">
        <v>129</v>
      </c>
      <c r="C126" s="14"/>
      <c r="D126" s="14"/>
      <c r="E126" s="14"/>
      <c r="F126" s="14"/>
      <c r="G126" s="15"/>
      <c r="H126" s="47" t="s">
        <v>130</v>
      </c>
      <c r="I126" s="14"/>
      <c r="J126" s="14"/>
      <c r="K126" s="48" t="s">
        <v>131</v>
      </c>
      <c r="L126" s="49">
        <f>1-SUM(L129:M131)</f>
        <v>0.6</v>
      </c>
      <c r="M126" s="15"/>
      <c r="N126" s="5"/>
    </row>
    <row r="127" spans="1:14" ht="15.5" x14ac:dyDescent="0.35">
      <c r="A127" s="50"/>
      <c r="B127" s="25"/>
      <c r="C127" s="2"/>
      <c r="D127" s="2"/>
      <c r="E127" s="2"/>
      <c r="F127" s="2"/>
      <c r="G127" s="26"/>
      <c r="H127" s="24"/>
      <c r="I127" s="18"/>
      <c r="J127" s="18"/>
      <c r="K127" s="34"/>
      <c r="L127" s="25"/>
      <c r="M127" s="26"/>
      <c r="N127" s="5"/>
    </row>
    <row r="128" spans="1:14" ht="15.5" x14ac:dyDescent="0.35">
      <c r="A128" s="34"/>
      <c r="B128" s="24"/>
      <c r="C128" s="18"/>
      <c r="D128" s="18"/>
      <c r="E128" s="18"/>
      <c r="F128" s="18"/>
      <c r="G128" s="19"/>
      <c r="H128" s="51" t="s">
        <v>132</v>
      </c>
      <c r="I128" s="8"/>
      <c r="J128" s="8"/>
      <c r="K128" s="39" t="s">
        <v>131</v>
      </c>
      <c r="L128" s="24"/>
      <c r="M128" s="19"/>
      <c r="N128" s="5"/>
    </row>
    <row r="129" spans="1:14" ht="31" hidden="1" x14ac:dyDescent="0.35">
      <c r="A129" s="42" t="s">
        <v>133</v>
      </c>
      <c r="B129" s="51" t="s">
        <v>134</v>
      </c>
      <c r="C129" s="8"/>
      <c r="D129" s="8"/>
      <c r="E129" s="8"/>
      <c r="F129" s="8"/>
      <c r="G129" s="10"/>
      <c r="H129" s="51" t="s">
        <v>135</v>
      </c>
      <c r="I129" s="8"/>
      <c r="J129" s="8"/>
      <c r="K129" s="10"/>
      <c r="L129" s="52"/>
      <c r="M129" s="10"/>
      <c r="N129" s="5"/>
    </row>
    <row r="130" spans="1:14" ht="46.5" x14ac:dyDescent="0.35">
      <c r="A130" s="42" t="s">
        <v>136</v>
      </c>
      <c r="B130" s="51" t="s">
        <v>137</v>
      </c>
      <c r="C130" s="8"/>
      <c r="D130" s="8"/>
      <c r="E130" s="8"/>
      <c r="F130" s="8"/>
      <c r="G130" s="10"/>
      <c r="H130" s="51" t="s">
        <v>138</v>
      </c>
      <c r="I130" s="8"/>
      <c r="J130" s="8"/>
      <c r="K130" s="10"/>
      <c r="L130" s="52">
        <v>0.4</v>
      </c>
      <c r="M130" s="10"/>
      <c r="N130" s="5"/>
    </row>
    <row r="131" spans="1:14" ht="31" hidden="1" x14ac:dyDescent="0.35">
      <c r="A131" s="42" t="s">
        <v>139</v>
      </c>
      <c r="B131" s="53" t="s">
        <v>140</v>
      </c>
      <c r="C131" s="8"/>
      <c r="D131" s="8"/>
      <c r="E131" s="8"/>
      <c r="F131" s="8"/>
      <c r="G131" s="10"/>
      <c r="H131" s="51" t="s">
        <v>141</v>
      </c>
      <c r="I131" s="8"/>
      <c r="J131" s="8"/>
      <c r="K131" s="10"/>
      <c r="L131" s="52"/>
      <c r="M131" s="10"/>
      <c r="N131" s="5"/>
    </row>
    <row r="132" spans="1:14" ht="15.5" x14ac:dyDescent="0.35">
      <c r="A132" s="43" t="s">
        <v>142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3" t="s">
        <v>143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4" t="s">
        <v>144</v>
      </c>
      <c r="B135" s="10"/>
      <c r="C135" s="55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4" t="s">
        <v>145</v>
      </c>
      <c r="B137" s="10"/>
      <c r="C137" s="9" t="str">
        <f>E15</f>
        <v>Dr. ing. Bogdan BURLACU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6" t="s">
        <v>146</v>
      </c>
      <c r="B139" s="15"/>
      <c r="C139" s="9" t="str">
        <f t="shared" ref="C139:C141" si="0">E17</f>
        <v>Drd.ing. Adrian Paul Botezatu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5"/>
      <c r="B140" s="26"/>
      <c r="C140" s="9" t="str">
        <f t="shared" si="0"/>
        <v>Ing. Ionuț Sopon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customHeight="1" x14ac:dyDescent="0.35">
      <c r="A141" s="24"/>
      <c r="B141" s="19"/>
      <c r="C141" s="9" t="str">
        <f t="shared" si="0"/>
        <v>Ing. Denis Ioan Pleșcan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4" t="s">
        <v>147</v>
      </c>
      <c r="B143" s="10"/>
      <c r="C143" s="57">
        <f>[1]Date!C25</f>
        <v>45915</v>
      </c>
      <c r="D143" s="10"/>
      <c r="E143" s="54" t="s">
        <v>148</v>
      </c>
      <c r="F143" s="8"/>
      <c r="G143" s="10"/>
      <c r="H143" s="58" t="str">
        <f>[1]Date!C27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59"/>
      <c r="B144" s="59"/>
      <c r="C144" s="60"/>
      <c r="D144" s="60"/>
      <c r="E144" s="59"/>
      <c r="F144" s="59"/>
      <c r="G144" s="59"/>
      <c r="H144" s="60"/>
      <c r="I144" s="60"/>
      <c r="J144" s="60"/>
      <c r="K144" s="60"/>
      <c r="L144" s="60"/>
      <c r="M144" s="60"/>
      <c r="N144" s="5"/>
    </row>
    <row r="145" spans="1:14" ht="28.5" customHeight="1" x14ac:dyDescent="0.35">
      <c r="A145" s="54" t="s">
        <v>149</v>
      </c>
      <c r="B145" s="10"/>
      <c r="C145" s="57">
        <f>[1]Date!C26</f>
        <v>45918</v>
      </c>
      <c r="D145" s="10"/>
      <c r="E145" s="54" t="s">
        <v>150</v>
      </c>
      <c r="F145" s="8"/>
      <c r="G145" s="10"/>
      <c r="H145" s="58" t="str">
        <f>[1]Date!C28</f>
        <v>Prof.univ.dr.ing. Adrian BURLACU</v>
      </c>
      <c r="I145" s="8"/>
      <c r="J145" s="8"/>
      <c r="K145" s="8"/>
      <c r="L145" s="8"/>
      <c r="M145" s="10"/>
      <c r="N145" s="5"/>
    </row>
  </sheetData>
  <mergeCells count="25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7"/>
    <mergeCell ref="K126:K127"/>
    <mergeCell ref="L126:M128"/>
    <mergeCell ref="H128:J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hyperlinks>
    <hyperlink ref="A58" r:id="rId1" xr:uid="{17D04D68-DA57-4FFD-BD16-5D39C55DC66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2026-03-01T09:00:35Z</dcterms:created>
  <dcterms:modified xsi:type="dcterms:W3CDTF">2026-03-01T09:00:42Z</dcterms:modified>
</cp:coreProperties>
</file>