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AD233CC2-69F6-481D-809A-AED5B5769941}" xr6:coauthVersionLast="47" xr6:coauthVersionMax="47" xr10:uidLastSave="{00000000-0000-0000-0000-000000000000}"/>
  <bookViews>
    <workbookView xWindow="-110" yWindow="-110" windowWidth="25820" windowHeight="15500" xr2:uid="{DF45A89B-21C3-4A65-94DC-9CAFB6A9E16F}"/>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3" i="1" l="1" a="1"/>
  <c r="E13" i="1" s="1"/>
  <c r="G26" i="1" a="1"/>
  <c r="G26" i="1" s="1"/>
  <c r="G27" i="1" s="1"/>
  <c r="E14" i="1" a="1"/>
  <c r="E14" i="1" s="1"/>
  <c r="I26" i="1" a="1"/>
  <c r="I26" i="1" s="1"/>
  <c r="I27" i="1" s="1"/>
  <c r="K26" i="1" a="1"/>
  <c r="K26" i="1" s="1"/>
  <c r="K27" i="1" s="1"/>
  <c r="E23" i="1" a="1"/>
  <c r="E23" i="1" s="1"/>
  <c r="I23" i="1" a="1"/>
  <c r="I23" i="1" s="1"/>
  <c r="M14" i="1" a="1"/>
  <c r="M14"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866A376F-9816-42DE-AA4E-4CF4EFE7D152}">
      <text>
        <r>
          <rPr>
            <sz val="10"/>
            <color rgb="FF000000"/>
            <rFont val="Aptos Narrow"/>
            <scheme val="minor"/>
          </rPr>
          <t>Pondere din nota de la E / V</t>
        </r>
      </text>
    </comment>
    <comment ref="K128" authorId="0" shapeId="0" xr:uid="{015D48F5-D52F-41EA-8D24-7A2DBC3BE72C}">
      <text>
        <r>
          <rPr>
            <sz val="10"/>
            <color rgb="FF000000"/>
            <rFont val="Aptos Narrow"/>
            <scheme val="minor"/>
          </rPr>
          <t>Pondere din nota de la E / V</t>
        </r>
      </text>
    </comment>
  </commentList>
</comments>
</file>

<file path=xl/sharedStrings.xml><?xml version="1.0" encoding="utf-8"?>
<sst xmlns="http://schemas.openxmlformats.org/spreadsheetml/2006/main" count="221" uniqueCount="152">
  <si>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</si>
  <si>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</si>
  <si>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</si>
  <si>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</si>
  <si>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</si>
  <si>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</si>
  <si>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</si>
  <si>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</si>
  <si>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</si>
  <si>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</si>
  <si>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</si>
  <si>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</si>
  <si>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</si>
  <si>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Structuri de date și algoritmi</t>
  </si>
  <si>
    <t>(în limba engleză, conform Suplimentului la diplomă)</t>
  </si>
  <si>
    <t>2.1.2. Codul disciplinei</t>
  </si>
  <si>
    <t xml:space="preserve">2.1.3. Categoria formativă </t>
  </si>
  <si>
    <t>2.2 Titularul / titularii activităţilor de curs</t>
  </si>
  <si>
    <t>conf. dr. ing. Simona Caraiman</t>
  </si>
  <si>
    <t>s.l. dr. ing. Otilia Zvoristeanu</t>
  </si>
  <si>
    <t>2.3 Titularul / titularii activităţilor de aplicaţii (S, L, P, Pr)</t>
  </si>
  <si>
    <t>asist. drd. Elena Maftei</t>
  </si>
  <si>
    <t>asist. drd. Adrian Prodan</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</si>
  <si>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</si>
  <si>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</si>
  <si>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</si>
  <si>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</si>
  <si>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</si>
  <si>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</si>
  <si>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</si>
  <si>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</si>
  <si>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</si>
  <si>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</si>
  <si>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</si>
  <si>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</si>
  <si>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</si>
  <si>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</si>
  <si>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</si>
  <si>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</si>
  <si>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</si>
  <si>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</si>
  <si>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</si>
  <si>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</si>
  <si>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</si>
  <si>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</si>
  <si>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</si>
  <si>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</si>
  <si>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</si>
  <si>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</si>
  <si>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</si>
  <si>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</si>
  <si>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</si>
  <si>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</si>
  <si>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</si>
  <si>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Programare I</t>
  </si>
  <si>
    <t>5. Condiţii</t>
  </si>
  <si>
    <t>5.1 de desfăşurare a cursului</t>
  </si>
  <si>
    <t>•        amfiteatru cu videoproiector</t>
  </si>
  <si>
    <t>5.2 de desfăşurare a seminarului / laboratorului / proiectului</t>
  </si>
  <si>
    <t>•        sala dotata cu calculatoare</t>
  </si>
  <si>
    <t>6. Obiectivul general al disciplinei</t>
  </si>
  <si>
    <t>Formarea competențelor teoretice și practice necesare pentru înțelegerea, proiectarea, implementarea și analizarea structurilor de date fundamentale și a algoritmilor corespunzători, cu scopul dezvoltării de soluții eficiente și corecte în limbajul C++, utilizate în proiectarea de aplicații software specifice ingineriei sistemelor și informaticii aplicate.</t>
  </si>
  <si>
    <t>7. Rezultatele învățării</t>
  </si>
  <si>
    <t>Cunoștințe</t>
  </si>
  <si>
    <t>Studentul / Absolventul:</t>
  </si>
  <si>
    <t>- Descrie concepte fundamentale privind structurile de date și algoritmii asociați
- Analizează complexitatea algoritmilor
- Clasifică algoritmii în clase de complexitate, în funcție de eficiență
- Identifică tipuri abstracte de date și modul lor de utilizare si de implementare în structurarea datelor
- Enumeră si compara metode de sortare si căutare a datelor 
- Recunoaște rolul și aplicabilitatea structurilor de date în dezvoltarea de sisteme automate, încorporate și inteligente</t>
  </si>
  <si>
    <t>Aptitudini</t>
  </si>
  <si>
    <t>- Utilizează limbaje de programare (C/C++) și instrumente software pentru implementarea structurilor de date și a algoritmilor;
- Proiectează soluții algoritmice pentru probleme bine definite
- Construiește și testează module software ce integrează structuri de date
- Evaluează eficiența algoritmilor în implementări concrete, din punctul de vedere al complexității și resurselor utilizate
- Selectează și adaptează structuri de date și algoritmi în funcție de specificul problemelor din domeniu
- Extinde soluțiile existente prin modificarea și optimizarea structurilor de date și a algoritmilor pentru a răspunde cerințelor unor sisteme software complexe
- Concepe și implementează soluții bazate pe structuri de date și algoritmi eficienți pentru aplicații 
- Selecteză metode algoritmice adecvate pentru rezolvarea de probleme concrete
- Analizează complexitatea algoritmilor utilizați și compară performanțele acestora în diferite contexte
- Evaluează avantajele și limitele diverselor implementări algoritmice</t>
  </si>
  <si>
    <t>Responsabilitate și autonomie</t>
  </si>
  <si>
    <t>- Raportează și explică în mod clar, concis și argumentat rezultatele implementărilor realizate, atât verbal, cât și în scris
- Documentează corect procesul de dezvoltare și testare a aplicațiilor algoritmice, utilizând limbaj tehnic adecvat
- Manifestă spirit de inițiativă în identificarea și explorarea unor resurse suplimentare (bibliografie, platforme online, documentație tehnică) pentru aprofundarea structurilor de date și a algoritmilor
- Studiază în mod autonom concepte algoritmice avansate
- Propune soluții alternative și optimizări algoritmice în afara celor discutate la curs sau laborator
- Apreciază rolul învățării continue în menținerea competenței profesionale într-un domeniu în continuă evoluție
- Respectă principiile eticii academice și profesionale în elaborarea și prezentarea soluțiilor algoritmice
- Justifică alegerile tehnice și implementările proprii în mod onest
- Manifestă responsabilitate în respectarea termenelor, cerințelor și normelor de lucru la laborator
- Exprimă un comportament etic și profesionist în interacțiunile cu colegii și cadrele didactice, contribuind activ la menținerea unui climat de colaborare și respect
- Apreciază rolul integrității în consolidarea reputației profesiei de inginer</t>
  </si>
  <si>
    <t xml:space="preserve">8. Metode de predare </t>
  </si>
  <si>
    <t xml:space="preserve">Expunere, demonstratii, proiectie, dialog, prezentare exemple, studii de caz, chestionare interactive folosind instrumente digitale online, rezolvarea de probleme individual sau in echipa.												</t>
  </si>
  <si>
    <t>9. Conţinuturi</t>
  </si>
  <si>
    <t>9.1. Curs</t>
  </si>
  <si>
    <t>Metode de predare</t>
  </si>
  <si>
    <t>Timp alocat</t>
  </si>
  <si>
    <t>1</t>
  </si>
  <si>
    <r>
      <rPr>
        <b/>
        <sz val="12"/>
        <color theme="1"/>
        <rFont val="Arial"/>
      </rPr>
      <t>Introducere</t>
    </r>
    <r>
      <rPr>
        <sz val="12"/>
        <color theme="1"/>
        <rFont val="Arial"/>
      </rPr>
      <t xml:space="preserve">
</t>
    </r>
    <r>
      <rPr>
        <b/>
        <sz val="12"/>
        <color theme="1"/>
        <rFont val="Arial"/>
      </rPr>
      <t>Elemente de teoria analizei algoritmilor</t>
    </r>
    <r>
      <rPr>
        <sz val="12"/>
        <color theme="1"/>
        <rFont val="Arial"/>
      </rPr>
      <t xml:space="preserve">
-        Aspecte generale privind analiza şi complexitatea unui algoritm;
-        Evaluarea complexităţii. Exemple de analiză a unor algoritmi. Clase de complexitate.</t>
    </r>
  </si>
  <si>
    <t>expunere, demonstratii, proiectie, dialog, prezentare exemple, chestionare interactive folosind instrumente digitale online</t>
  </si>
  <si>
    <t>2 ore</t>
  </si>
  <si>
    <t>2</t>
  </si>
  <si>
    <r>
      <rPr>
        <b/>
        <sz val="12"/>
        <color theme="1"/>
        <rFont val="Arial"/>
      </rPr>
      <t>Structuri de date. Aspecte generale</t>
    </r>
    <r>
      <rPr>
        <sz val="12"/>
        <color theme="1"/>
        <rFont val="Arial"/>
      </rPr>
      <t xml:space="preserve">
-        Tipuri de structuri de date;
-        Organizarea structurilor de date.</t>
    </r>
  </si>
  <si>
    <t>1 ora</t>
  </si>
  <si>
    <t>3</t>
  </si>
  <si>
    <r>
      <rPr>
        <b/>
        <sz val="12"/>
        <color theme="1"/>
        <rFont val="Arial"/>
      </rPr>
      <t>Tipul abstract de date listă</t>
    </r>
    <r>
      <rPr>
        <sz val="12"/>
        <color theme="1"/>
        <rFont val="Arial"/>
      </rPr>
      <t xml:space="preserve">
-        Operaţii caracteristice;
-        Implementări de liste liniare simplu şi dublu înlănţuite. Creare, parcurgere,  inserare, ştergere, etc.;
-        Implementări de liste circulare simplu şi dublu înlănţuite. Creare, parcurgere, inserare, ştergere, etc.;
-        Exemple de utilizare a listelor.</t>
    </r>
  </si>
  <si>
    <t>4 ore</t>
  </si>
  <si>
    <t>4</t>
  </si>
  <si>
    <r>
      <rPr>
        <b/>
        <sz val="12"/>
        <color theme="1"/>
        <rFont val="Arial"/>
      </rPr>
      <t>Tipurile abstracte de date stivă şi coadă.</t>
    </r>
    <r>
      <rPr>
        <sz val="12"/>
        <color theme="1"/>
        <rFont val="Arial"/>
      </rPr>
      <t xml:space="preserve">
-        Stive. Operaţii caracteristice. Implementări de stive: ordonate, înlănţuite;
-        Aplicaţie. Evaluarea expresiilor aritmetice în formă postfixată;
-        Cozi. Operaţii caracteristice. Implementări de cozi: ordonate, înlănţuite;</t>
    </r>
  </si>
  <si>
    <t>5</t>
  </si>
  <si>
    <t>Recursivitate</t>
  </si>
  <si>
    <t>6</t>
  </si>
  <si>
    <t>Tabele de dispersie</t>
  </si>
  <si>
    <t>7</t>
  </si>
  <si>
    <r>
      <rPr>
        <b/>
        <sz val="12"/>
        <color theme="1"/>
        <rFont val="Arial"/>
      </rPr>
      <t>Arbori</t>
    </r>
    <r>
      <rPr>
        <sz val="12"/>
        <color theme="1"/>
        <rFont val="Arial"/>
      </rPr>
      <t xml:space="preserve">
-        Noţiuni generale; Metode de implementare a arborilor;
-        Arbori binari oarecare. Parcurgerea arborilor: preordine, inordine, postordine, lăţime. Arbori binari înşiruiţi. Evaluarea expresiilor aritmetice folosind arbori binari;
-        Arbori binari de căutare (BST). Operaţii caracteristice. Complexitatea operaţiilor pe arbori BST;
-        Arbori parţial ordonaţi (Arbori Heap). Operaţii caracteristice. Aplicaţii ale arborilor Heap. Complexitatea operaţiilor pe arbori Heap; Aplicatii: coada cu prioritati.</t>
    </r>
  </si>
  <si>
    <t>7 ore</t>
  </si>
  <si>
    <t>8</t>
  </si>
  <si>
    <r>
      <rPr>
        <b/>
        <sz val="12"/>
        <color theme="1"/>
        <rFont val="Arial"/>
      </rPr>
      <t>Grafuri</t>
    </r>
    <r>
      <rPr>
        <sz val="12"/>
        <color theme="1"/>
        <rFont val="Arial"/>
      </rPr>
      <t xml:space="preserve">
-        Noţiuni generale, Metode de implementare;
-        Parcurgerea grafurilor; 
-        Drum de cost minim: Dijkstra, A*</t>
    </r>
  </si>
  <si>
    <t>9</t>
  </si>
  <si>
    <r>
      <rPr>
        <sz val="12"/>
        <color theme="1"/>
        <rFont val="Arial"/>
      </rPr>
      <t>Algoritmi si structuri de date pentru problema</t>
    </r>
    <r>
      <rPr>
        <b/>
        <sz val="12"/>
        <color theme="1"/>
        <rFont val="Arial"/>
      </rPr>
      <t xml:space="preserve"> cautarii</t>
    </r>
    <r>
      <rPr>
        <sz val="12"/>
        <color theme="1"/>
        <rFont val="Arial"/>
      </rPr>
      <t xml:space="preserve"> si problema </t>
    </r>
    <r>
      <rPr>
        <b/>
        <sz val="12"/>
        <color theme="1"/>
        <rFont val="Arial"/>
      </rPr>
      <t>sortarii</t>
    </r>
    <r>
      <rPr>
        <sz val="12"/>
        <color theme="1"/>
        <rFont val="Arial"/>
      </rPr>
      <t>.</t>
    </r>
  </si>
  <si>
    <t>10</t>
  </si>
  <si>
    <r>
      <rPr>
        <b/>
        <sz val="12"/>
        <color theme="1"/>
        <rFont val="Arial"/>
      </rPr>
      <t>Recapitulare</t>
    </r>
    <r>
      <rPr>
        <sz val="12"/>
        <color theme="1"/>
        <rFont val="Arial"/>
      </rPr>
      <t>. Discutii asupra proiectarii de solutii eficiente pentru diverse probleme: importanta si pasii alegerii unei structuri de date. Studii de caz</t>
    </r>
  </si>
  <si>
    <t xml:space="preserve">Bibliografie curs:
1. T. Cormen, C. Leiserson, R. Rivest, C. Stein, Introduction to Algorithms, Ed. 4, MIT Press, 2022
2. A. Drozdek, Data Structures and Algorithms in C, 4th Ed, http://itlectures.ro/wp-content/uploads/2016/04/AdamDrozdek__DataStructures_and_Algorithms_in_C_4Ed.pdf 
3. Jack Straub, C Programming: Data Structures and Algorithms, https://faculty.washington.edu/jstraub/dsa/Master_2_7a.pdf 
4. S. Sahni - Data Structures and Algorithms in C++, WCB McGraw-Hill, 1998
5. Bjarne Stroustrup, The C++ Programming Language, Fourth Edition, Addisan Wesley, 2012
6. Data Structres Visualization (University of San Francisco),  https://www.cs.usfca.edu/~galles/visualization/Algorithms.html 
7. https://people.ok.ubc.ca/ylucet/DS/ , Animations for Data Structures, University of British Columbia
8. http://www.cs.berkeley.edu/~jrs/61b/
9. http://www.ics.uci.edu/~eppstein/261/ </t>
  </si>
  <si>
    <t>9.2a Seminar</t>
  </si>
  <si>
    <t>Metode de lucru</t>
  </si>
  <si>
    <t>11</t>
  </si>
  <si>
    <t>12</t>
  </si>
  <si>
    <t>13</t>
  </si>
  <si>
    <t>14</t>
  </si>
  <si>
    <t>9.2b Laborator</t>
  </si>
  <si>
    <t>Recapitulare noțiuni C/C++</t>
  </si>
  <si>
    <t>Partea teoretică și temele de laborator sunt puse la dispoziția studenților la începutul semestrului.  In timpul laboratorului se discută cerințele si soluțiile posibile pentru temele solicitate. Studenții rezolvă problemele individual sau în echipă, primesc asistență  și sunt evaluați.</t>
  </si>
  <si>
    <t>Complexitatea algoritmilor. Tablouri</t>
  </si>
  <si>
    <t>Liste liniare simplu înlănțuite</t>
  </si>
  <si>
    <t>Liste liniare dublu înlănțuite. Liste circulare</t>
  </si>
  <si>
    <t>Stive</t>
  </si>
  <si>
    <t>Cozi</t>
  </si>
  <si>
    <t>Arbori binari oarecare</t>
  </si>
  <si>
    <t>Arbori binari de căutare</t>
  </si>
  <si>
    <t>Arbori Heap. HeapSort</t>
  </si>
  <si>
    <t>Grafuri (parcurgeri)</t>
  </si>
  <si>
    <t>Grafuri (drum de cost minim)</t>
  </si>
  <si>
    <t>Test practic</t>
  </si>
  <si>
    <t>9.2c Proiect</t>
  </si>
  <si>
    <t xml:space="preserve">Bibliografie aplicaţii (seminar / laborator / proiect):
Bibliografie aplicaţii (seminar / laborator / proiect):
1. T. Cormen, C. Leiserson, R. Rivest, C. Stein, Introduction to Algorithms, Ed. 4, MIT Press, 2022
2. A. Drozdek, Data Structures and Algorithms in C, 4th Ed, http://itlectures.ro/wp-content/uploads/2016/04/AdamDrozdek__DataStructures_and_Algorithms_in_C_4Ed.pdf 
3. Jack Straub, C Programming: Data Structures and Algorithms, https://faculty.washington.edu/jstraub/dsa/Master_2_7a.pdf 
4. S. Sahni - Data Structures and Algorithms in C++, WCB McGraw-Hill, 1998
5. Bjarne Stroustrup, The C++ Programming Language, Fourth Edition, Addisan Wesley, 2012
6. Data Structres Visualization (University of San Francisco),  https://www.cs.usfca.edu/~galles/visualization/Algorithms.html 
7. https://people.ok.ubc.ca/ylucet/DS/ , Animations for Data Structures, University of British Columbia
8. http://www.cs.berkeley.edu/~jrs/61b/
9. http://www.ics.uci.edu/~eppstein/261/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</si>
  <si>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</si>
  <si>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</si>
  <si>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</si>
  <si>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</si>
  <si>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</si>
  <si>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</si>
  <si>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înțelege cerințele și de a programa aplicații.</t>
  </si>
  <si>
    <t>- teste de evaluare formative (verificări pe parcursul semestrului).</t>
  </si>
  <si>
    <t>50%</t>
  </si>
  <si>
    <t>- test de evaluare sumativ (verificare finală prin test practic).</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</si>
  <si>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</si>
  <si>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</si>
  <si>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</si>
  <si>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</si>
  <si>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</si>
  <si>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finalizarea programelor şi verificarea lor, interpretarea rezultatelor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</si>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</sst>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4">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 xfId="0" applyFont="1" applyFill="1" applyBorder="1"/>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xf numFmtId="0" fontId="2" fillId="3" borderId="1" xfId="0" applyFont="1" applyFill="1" applyBorder="1" applyAlignment="1">
      <alignment wrapText="1"/>
    </xf>
    <xf numFmtId="0" fontId="2" fillId="3" borderId="10" xfId="0" applyFont="1" applyFill="1" applyBorder="1" applyAlignment="1">
      <alignment vertical="center" wrapText="1"/>
    </xf>
    <xf numFmtId="0" fontId="2" fillId="3" borderId="0" xfId="0" applyFont="1" applyFill="1" applyAlignment="1">
      <alignment vertical="center" wrapText="1"/>
    </xf>
    <xf numFmtId="0" fontId="2" fillId="3" borderId="11"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horizontal="center" vertical="top"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C5BC-B06E-4BA1-AE2B-BCE2E9E872CE}">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Data Structures and Algorithms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AIA205</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t="s">
        <v>19</v>
      </c>
      <c r="F16" s="8"/>
      <c r="G16" s="8"/>
      <c r="H16" s="8"/>
      <c r="I16" s="8"/>
      <c r="J16" s="8"/>
      <c r="K16" s="8"/>
      <c r="L16" s="8"/>
      <c r="M16" s="10"/>
      <c r="N16" s="5"/>
    </row>
    <row r="17" spans="1:14" ht="15.5" x14ac:dyDescent="0.35">
      <c r="A17" s="13" t="s">
        <v>20</v>
      </c>
      <c r="B17" s="14"/>
      <c r="C17" s="14"/>
      <c r="D17" s="15"/>
      <c r="E17" s="23" t="s">
        <v>19</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t="s">
        <v>22</v>
      </c>
      <c r="F19" s="8"/>
      <c r="G19" s="8"/>
      <c r="H19" s="8"/>
      <c r="I19" s="8"/>
      <c r="J19" s="8"/>
      <c r="K19" s="8"/>
      <c r="L19" s="8"/>
      <c r="M19" s="10"/>
      <c r="N19" s="5"/>
    </row>
    <row r="20" spans="1:14" ht="15.5"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23</v>
      </c>
      <c r="B23" s="10"/>
      <c r="C23" s="27">
        <f>[1]Date!B4</f>
        <v>2</v>
      </c>
      <c r="D23" s="28" t="s">
        <v>24</v>
      </c>
      <c r="E23" s="27">
        <f t="array" aca="1" ref="E23" ca="1">INDEX([1]Date!A8:A21, MATCH(E12,[1]Date!C8:C21,0),0)</f>
        <v>1</v>
      </c>
      <c r="F23" s="29" t="s">
        <v>25</v>
      </c>
      <c r="G23" s="8"/>
      <c r="H23" s="10"/>
      <c r="I23" s="22" t="str">
        <f t="array" aca="1" ref="I23" ca="1">INDEX([1]Date!M8:M21, MATCH(E12,[1]Date!C8:C21,0),0)</f>
        <v>E</v>
      </c>
      <c r="J23" s="29" t="s">
        <v>26</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0"/>
    </row>
    <row r="26" spans="1:14" ht="31" x14ac:dyDescent="0.35">
      <c r="A26" s="7" t="s">
        <v>28</v>
      </c>
      <c r="B26" s="10"/>
      <c r="C26" s="31">
        <f ca="1">SUM(E26+G26+I26+K26)</f>
        <v>4</v>
      </c>
      <c r="D26" s="28" t="s">
        <v>29</v>
      </c>
      <c r="E26" s="27">
        <f t="array" aca="1" ref="E26" ca="1">INDEX([1]Date!H8:H21, MATCH(E12,[1]Date!C8:C21,0),0)</f>
        <v>2</v>
      </c>
      <c r="F26" s="28" t="s">
        <v>30</v>
      </c>
      <c r="G26" s="27">
        <f t="array" aca="1" ref="G26" ca="1">INDEX([1]Date!I8:I21, MATCH(E12,[1]Date!C8:C21,0),0)</f>
        <v>0</v>
      </c>
      <c r="H26" s="28" t="s">
        <v>31</v>
      </c>
      <c r="I26" s="31">
        <f t="array" aca="1" ref="I26" ca="1">INDEX([1]Date!J8:J21, MATCH(E12,[1]Date!C8:C21,0),0)</f>
        <v>2</v>
      </c>
      <c r="J26" s="28" t="s">
        <v>32</v>
      </c>
      <c r="K26" s="27">
        <f t="array" aca="1" ref="K26" ca="1">INDEX([1]Date!K8:K21, MATCH(E12,[1]Date!C8:C21,0),0)</f>
        <v>0</v>
      </c>
      <c r="L26" s="7" t="s">
        <v>33</v>
      </c>
      <c r="M26" s="10"/>
      <c r="N26" s="30"/>
    </row>
    <row r="27" spans="1:14" ht="31" x14ac:dyDescent="0.35">
      <c r="A27" s="7" t="s">
        <v>34</v>
      </c>
      <c r="B27" s="10"/>
      <c r="C27" s="27">
        <f ca="1">C26*14</f>
        <v>56</v>
      </c>
      <c r="D27" s="28" t="s">
        <v>35</v>
      </c>
      <c r="E27" s="27">
        <f ca="1">E26*14</f>
        <v>28</v>
      </c>
      <c r="F27" s="28" t="s">
        <v>36</v>
      </c>
      <c r="G27" s="27">
        <f ca="1">G26*14</f>
        <v>0</v>
      </c>
      <c r="H27" s="28" t="s">
        <v>37</v>
      </c>
      <c r="I27" s="27">
        <f ca="1">I26*14</f>
        <v>28</v>
      </c>
      <c r="J27" s="28" t="s">
        <v>38</v>
      </c>
      <c r="K27" s="27">
        <f ca="1">K26*14</f>
        <v>0</v>
      </c>
      <c r="L27" s="28" t="s">
        <v>39</v>
      </c>
      <c r="M27" s="27">
        <v>0</v>
      </c>
      <c r="N27" s="5"/>
    </row>
    <row r="28" spans="1:14" ht="15.5" x14ac:dyDescent="0.35">
      <c r="A28" s="7" t="s">
        <v>40</v>
      </c>
      <c r="B28" s="8"/>
      <c r="C28" s="8"/>
      <c r="D28" s="8"/>
      <c r="E28" s="8"/>
      <c r="F28" s="8"/>
      <c r="G28" s="8"/>
      <c r="H28" s="8"/>
      <c r="I28" s="8"/>
      <c r="J28" s="8"/>
      <c r="K28" s="8"/>
      <c r="L28" s="10"/>
      <c r="M28" s="27" t="s">
        <v>41</v>
      </c>
      <c r="N28" s="5"/>
    </row>
    <row r="29" spans="1:14" ht="15.5" x14ac:dyDescent="0.35">
      <c r="A29" s="7" t="s">
        <v>42</v>
      </c>
      <c r="B29" s="8"/>
      <c r="C29" s="8"/>
      <c r="D29" s="8"/>
      <c r="E29" s="8"/>
      <c r="F29" s="8"/>
      <c r="G29" s="8"/>
      <c r="H29" s="8"/>
      <c r="I29" s="8"/>
      <c r="J29" s="8"/>
      <c r="K29" s="8"/>
      <c r="L29" s="10"/>
      <c r="M29" s="32">
        <v>28</v>
      </c>
      <c r="N29" s="5"/>
    </row>
    <row r="30" spans="1:14" ht="15.5" x14ac:dyDescent="0.35">
      <c r="A30" s="7" t="s">
        <v>43</v>
      </c>
      <c r="B30" s="8"/>
      <c r="C30" s="8"/>
      <c r="D30" s="8"/>
      <c r="E30" s="8"/>
      <c r="F30" s="8"/>
      <c r="G30" s="8"/>
      <c r="H30" s="8"/>
      <c r="I30" s="8"/>
      <c r="J30" s="8"/>
      <c r="K30" s="8"/>
      <c r="L30" s="10"/>
      <c r="M30" s="32">
        <v>13</v>
      </c>
      <c r="N30" s="5"/>
    </row>
    <row r="31" spans="1:14" ht="15.5" x14ac:dyDescent="0.35">
      <c r="A31" s="7" t="s">
        <v>44</v>
      </c>
      <c r="B31" s="8"/>
      <c r="C31" s="8"/>
      <c r="D31" s="8"/>
      <c r="E31" s="8"/>
      <c r="F31" s="8"/>
      <c r="G31" s="8"/>
      <c r="H31" s="8"/>
      <c r="I31" s="8"/>
      <c r="J31" s="8"/>
      <c r="K31" s="8"/>
      <c r="L31" s="10"/>
      <c r="M31" s="32">
        <v>28</v>
      </c>
      <c r="N31" s="5"/>
    </row>
    <row r="32" spans="1:14" ht="15.5" x14ac:dyDescent="0.35">
      <c r="A32" s="7" t="s">
        <v>45</v>
      </c>
      <c r="B32" s="8"/>
      <c r="C32" s="8"/>
      <c r="D32" s="8"/>
      <c r="E32" s="8"/>
      <c r="F32" s="8"/>
      <c r="G32" s="8"/>
      <c r="H32" s="8"/>
      <c r="I32" s="8"/>
      <c r="J32" s="8"/>
      <c r="K32" s="8"/>
      <c r="L32" s="10"/>
      <c r="M32" s="27">
        <f t="array" aca="1" ref="M32" ca="1">IF(INDEX([1]Date!M8:M21, MATCH(E12,[1]Date!C8:C21,0),0)="E",3,0)</f>
        <v>3</v>
      </c>
      <c r="N32" s="5"/>
    </row>
    <row r="33" spans="1:14" ht="15.5" x14ac:dyDescent="0.35">
      <c r="A33" s="7" t="s">
        <v>46</v>
      </c>
      <c r="B33" s="8"/>
      <c r="C33" s="8"/>
      <c r="D33" s="8"/>
      <c r="E33" s="8"/>
      <c r="F33" s="8"/>
      <c r="G33" s="8"/>
      <c r="H33" s="8"/>
      <c r="I33" s="8"/>
      <c r="J33" s="8"/>
      <c r="K33" s="8"/>
      <c r="L33" s="10"/>
      <c r="M33" s="27">
        <f ca="1">C34-SUM(M29:M31)</f>
        <v>0</v>
      </c>
      <c r="N33" s="5"/>
    </row>
    <row r="34" spans="1:14" ht="15.5" x14ac:dyDescent="0.35">
      <c r="A34" s="7" t="s">
        <v>47</v>
      </c>
      <c r="B34" s="10"/>
      <c r="C34" s="27">
        <f t="array" aca="1" ref="C34" ca="1">INDEX([1]Date!L8:L21, MATCH(E12,[1]Date!C8:C21,0),0)</f>
        <v>69</v>
      </c>
      <c r="D34" s="5"/>
      <c r="E34" s="5"/>
      <c r="F34" s="5"/>
      <c r="G34" s="5"/>
      <c r="H34" s="5"/>
      <c r="I34" s="5"/>
      <c r="J34" s="5"/>
      <c r="K34" s="5"/>
      <c r="L34" s="5"/>
      <c r="M34" s="5"/>
      <c r="N34" s="5"/>
    </row>
    <row r="35" spans="1:14" ht="15.5" x14ac:dyDescent="0.35">
      <c r="A35" s="7" t="s">
        <v>48</v>
      </c>
      <c r="B35" s="10"/>
      <c r="C35" s="27">
        <f ca="1">C27+C34</f>
        <v>125</v>
      </c>
      <c r="D35" s="5"/>
      <c r="E35" s="5"/>
      <c r="F35" s="5"/>
      <c r="G35" s="5"/>
      <c r="H35" s="5"/>
      <c r="I35" s="5"/>
      <c r="J35" s="5"/>
      <c r="K35" s="5"/>
      <c r="L35" s="5"/>
      <c r="M35" s="5"/>
      <c r="N35" s="5"/>
    </row>
    <row r="36" spans="1:14" ht="15.5" x14ac:dyDescent="0.35">
      <c r="A36" s="7" t="s">
        <v>49</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0"/>
    </row>
    <row r="39" spans="1:14" ht="15.5" x14ac:dyDescent="0.35">
      <c r="A39" s="7" t="s">
        <v>51</v>
      </c>
      <c r="B39" s="10"/>
      <c r="C39" s="9" t="s">
        <v>52</v>
      </c>
      <c r="D39" s="8"/>
      <c r="E39" s="8"/>
      <c r="F39" s="8"/>
      <c r="G39" s="8"/>
      <c r="H39" s="8"/>
      <c r="I39" s="8"/>
      <c r="J39" s="8"/>
      <c r="K39" s="8"/>
      <c r="L39" s="8"/>
      <c r="M39" s="10"/>
      <c r="N39" s="30"/>
    </row>
    <row r="40" spans="1:14" ht="15.5" x14ac:dyDescent="0.35">
      <c r="A40" s="7" t="s">
        <v>53</v>
      </c>
      <c r="B40" s="10"/>
      <c r="C40" s="23" t="s">
        <v>54</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33" t="s">
        <v>57</v>
      </c>
      <c r="D43" s="8"/>
      <c r="E43" s="8"/>
      <c r="F43" s="8"/>
      <c r="G43" s="8"/>
      <c r="H43" s="8"/>
      <c r="I43" s="8"/>
      <c r="J43" s="8"/>
      <c r="K43" s="8"/>
      <c r="L43" s="8"/>
      <c r="M43" s="10"/>
      <c r="N43" s="30"/>
    </row>
    <row r="44" spans="1:14" ht="15.5" x14ac:dyDescent="0.35">
      <c r="A44" s="7" t="s">
        <v>58</v>
      </c>
      <c r="B44" s="10"/>
      <c r="C44" s="3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62.25" customHeight="1"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4" t="s">
        <v>63</v>
      </c>
      <c r="B50" s="35" t="s">
        <v>64</v>
      </c>
      <c r="C50" s="8"/>
      <c r="D50" s="8"/>
      <c r="E50" s="8"/>
      <c r="F50" s="8"/>
      <c r="G50" s="8"/>
      <c r="H50" s="8"/>
      <c r="I50" s="8"/>
      <c r="J50" s="8"/>
      <c r="K50" s="8"/>
      <c r="L50" s="8"/>
      <c r="M50" s="10"/>
      <c r="N50" s="5"/>
    </row>
    <row r="51" spans="1:14" ht="15.5" x14ac:dyDescent="0.35">
      <c r="A51" s="36"/>
      <c r="B51" s="37" t="s">
        <v>65</v>
      </c>
      <c r="C51" s="8"/>
      <c r="D51" s="8"/>
      <c r="E51" s="8"/>
      <c r="F51" s="8"/>
      <c r="G51" s="8"/>
      <c r="H51" s="8"/>
      <c r="I51" s="8"/>
      <c r="J51" s="8"/>
      <c r="K51" s="8"/>
      <c r="L51" s="8"/>
      <c r="M51" s="10"/>
      <c r="N51" s="5"/>
    </row>
    <row r="52" spans="1:14" ht="15.5" x14ac:dyDescent="0.35">
      <c r="A52" s="34" t="s">
        <v>66</v>
      </c>
      <c r="B52" s="35" t="s">
        <v>64</v>
      </c>
      <c r="C52" s="8"/>
      <c r="D52" s="8"/>
      <c r="E52" s="8"/>
      <c r="F52" s="8"/>
      <c r="G52" s="8"/>
      <c r="H52" s="8"/>
      <c r="I52" s="8"/>
      <c r="J52" s="8"/>
      <c r="K52" s="8"/>
      <c r="L52" s="8"/>
      <c r="M52" s="10"/>
      <c r="N52" s="5"/>
    </row>
    <row r="53" spans="1:14" ht="15.5" x14ac:dyDescent="0.35">
      <c r="A53" s="36"/>
      <c r="B53" s="37" t="s">
        <v>67</v>
      </c>
      <c r="C53" s="8"/>
      <c r="D53" s="8"/>
      <c r="E53" s="8"/>
      <c r="F53" s="8"/>
      <c r="G53" s="8"/>
      <c r="H53" s="8"/>
      <c r="I53" s="8"/>
      <c r="J53" s="8"/>
      <c r="K53" s="8"/>
      <c r="L53" s="8"/>
      <c r="M53" s="10"/>
      <c r="N53" s="5"/>
    </row>
    <row r="54" spans="1:14" ht="18" customHeight="1" x14ac:dyDescent="0.35">
      <c r="A54" s="34" t="s">
        <v>68</v>
      </c>
      <c r="B54" s="35" t="s">
        <v>64</v>
      </c>
      <c r="C54" s="8"/>
      <c r="D54" s="8"/>
      <c r="E54" s="8"/>
      <c r="F54" s="8"/>
      <c r="G54" s="8"/>
      <c r="H54" s="8"/>
      <c r="I54" s="8"/>
      <c r="J54" s="8"/>
      <c r="K54" s="8"/>
      <c r="L54" s="8"/>
      <c r="M54" s="10"/>
      <c r="N54" s="5"/>
    </row>
    <row r="55" spans="1:14" ht="104.25" customHeight="1" x14ac:dyDescent="0.35">
      <c r="A55" s="36"/>
      <c r="B55" s="38"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53.25" customHeight="1" x14ac:dyDescent="0.35">
      <c r="A58" s="2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9" t="s">
        <v>73</v>
      </c>
      <c r="B61" s="8"/>
      <c r="C61" s="8"/>
      <c r="D61" s="8"/>
      <c r="E61" s="8"/>
      <c r="F61" s="8"/>
      <c r="G61" s="10"/>
      <c r="H61" s="39" t="s">
        <v>74</v>
      </c>
      <c r="I61" s="8"/>
      <c r="J61" s="8"/>
      <c r="K61" s="10"/>
      <c r="L61" s="39" t="s">
        <v>75</v>
      </c>
      <c r="M61" s="10"/>
      <c r="N61" s="30"/>
    </row>
    <row r="62" spans="1:14" ht="15.5" x14ac:dyDescent="0.35">
      <c r="A62" s="40" t="s">
        <v>76</v>
      </c>
      <c r="B62" s="33" t="s">
        <v>77</v>
      </c>
      <c r="C62" s="8"/>
      <c r="D62" s="8"/>
      <c r="E62" s="8"/>
      <c r="F62" s="8"/>
      <c r="G62" s="10"/>
      <c r="H62" s="41" t="s">
        <v>78</v>
      </c>
      <c r="I62" s="14"/>
      <c r="J62" s="14"/>
      <c r="K62" s="15"/>
      <c r="L62" s="42" t="s">
        <v>79</v>
      </c>
      <c r="M62" s="10"/>
      <c r="N62" s="5"/>
    </row>
    <row r="63" spans="1:14" ht="15.5" x14ac:dyDescent="0.35">
      <c r="A63" s="40" t="s">
        <v>80</v>
      </c>
      <c r="B63" s="33" t="s">
        <v>81</v>
      </c>
      <c r="C63" s="8"/>
      <c r="D63" s="8"/>
      <c r="E63" s="8"/>
      <c r="F63" s="8"/>
      <c r="G63" s="10"/>
      <c r="H63" s="25"/>
      <c r="I63" s="2"/>
      <c r="J63" s="2"/>
      <c r="K63" s="26"/>
      <c r="L63" s="42" t="s">
        <v>82</v>
      </c>
      <c r="M63" s="10"/>
      <c r="N63" s="5"/>
    </row>
    <row r="64" spans="1:14" ht="15.5" x14ac:dyDescent="0.35">
      <c r="A64" s="40" t="s">
        <v>83</v>
      </c>
      <c r="B64" s="33" t="s">
        <v>84</v>
      </c>
      <c r="C64" s="8"/>
      <c r="D64" s="8"/>
      <c r="E64" s="8"/>
      <c r="F64" s="8"/>
      <c r="G64" s="10"/>
      <c r="H64" s="25"/>
      <c r="I64" s="2"/>
      <c r="J64" s="2"/>
      <c r="K64" s="26"/>
      <c r="L64" s="42" t="s">
        <v>85</v>
      </c>
      <c r="M64" s="10"/>
      <c r="N64" s="5"/>
    </row>
    <row r="65" spans="1:14" ht="15.5" x14ac:dyDescent="0.35">
      <c r="A65" s="40" t="s">
        <v>86</v>
      </c>
      <c r="B65" s="33" t="s">
        <v>87</v>
      </c>
      <c r="C65" s="8"/>
      <c r="D65" s="8"/>
      <c r="E65" s="8"/>
      <c r="F65" s="8"/>
      <c r="G65" s="10"/>
      <c r="H65" s="25"/>
      <c r="I65" s="2"/>
      <c r="J65" s="2"/>
      <c r="K65" s="26"/>
      <c r="L65" s="42" t="s">
        <v>85</v>
      </c>
      <c r="M65" s="10"/>
      <c r="N65" s="5"/>
    </row>
    <row r="66" spans="1:14" ht="15.5" x14ac:dyDescent="0.35">
      <c r="A66" s="40" t="s">
        <v>88</v>
      </c>
      <c r="B66" s="43" t="s">
        <v>89</v>
      </c>
      <c r="C66" s="8"/>
      <c r="D66" s="8"/>
      <c r="E66" s="8"/>
      <c r="F66" s="8"/>
      <c r="G66" s="10"/>
      <c r="H66" s="25"/>
      <c r="I66" s="2"/>
      <c r="J66" s="2"/>
      <c r="K66" s="26"/>
      <c r="L66" s="42" t="s">
        <v>82</v>
      </c>
      <c r="M66" s="10"/>
      <c r="N66" s="5"/>
    </row>
    <row r="67" spans="1:14" ht="15.5" x14ac:dyDescent="0.35">
      <c r="A67" s="40" t="s">
        <v>90</v>
      </c>
      <c r="B67" s="43" t="s">
        <v>91</v>
      </c>
      <c r="C67" s="8"/>
      <c r="D67" s="8"/>
      <c r="E67" s="8"/>
      <c r="F67" s="8"/>
      <c r="G67" s="10"/>
      <c r="H67" s="25"/>
      <c r="I67" s="2"/>
      <c r="J67" s="2"/>
      <c r="K67" s="26"/>
      <c r="L67" s="42" t="s">
        <v>79</v>
      </c>
      <c r="M67" s="10"/>
      <c r="N67" s="5"/>
    </row>
    <row r="68" spans="1:14" ht="15.5" x14ac:dyDescent="0.35">
      <c r="A68" s="40" t="s">
        <v>92</v>
      </c>
      <c r="B68" s="44" t="s">
        <v>93</v>
      </c>
      <c r="C68" s="8"/>
      <c r="D68" s="8"/>
      <c r="E68" s="8"/>
      <c r="F68" s="8"/>
      <c r="G68" s="10"/>
      <c r="H68" s="25"/>
      <c r="I68" s="2"/>
      <c r="J68" s="2"/>
      <c r="K68" s="26"/>
      <c r="L68" s="42" t="s">
        <v>94</v>
      </c>
      <c r="M68" s="10"/>
      <c r="N68" s="5"/>
    </row>
    <row r="69" spans="1:14" ht="15.5" x14ac:dyDescent="0.35">
      <c r="A69" s="40" t="s">
        <v>95</v>
      </c>
      <c r="B69" s="33" t="s">
        <v>96</v>
      </c>
      <c r="C69" s="8"/>
      <c r="D69" s="8"/>
      <c r="E69" s="8"/>
      <c r="F69" s="8"/>
      <c r="G69" s="10"/>
      <c r="H69" s="25"/>
      <c r="I69" s="2"/>
      <c r="J69" s="2"/>
      <c r="K69" s="26"/>
      <c r="L69" s="42" t="s">
        <v>85</v>
      </c>
      <c r="M69" s="10"/>
      <c r="N69" s="5"/>
    </row>
    <row r="70" spans="1:14" ht="15.5" x14ac:dyDescent="0.35">
      <c r="A70" s="40" t="s">
        <v>97</v>
      </c>
      <c r="B70" s="44" t="s">
        <v>98</v>
      </c>
      <c r="C70" s="8"/>
      <c r="D70" s="8"/>
      <c r="E70" s="8"/>
      <c r="F70" s="8"/>
      <c r="G70" s="10"/>
      <c r="H70" s="25"/>
      <c r="I70" s="2"/>
      <c r="J70" s="2"/>
      <c r="K70" s="26"/>
      <c r="L70" s="42" t="s">
        <v>79</v>
      </c>
      <c r="M70" s="10"/>
      <c r="N70" s="5"/>
    </row>
    <row r="71" spans="1:14" ht="15.5" x14ac:dyDescent="0.35">
      <c r="A71" s="40" t="s">
        <v>99</v>
      </c>
      <c r="B71" s="44" t="s">
        <v>100</v>
      </c>
      <c r="C71" s="8"/>
      <c r="D71" s="8"/>
      <c r="E71" s="8"/>
      <c r="F71" s="8"/>
      <c r="G71" s="10"/>
      <c r="H71" s="25"/>
      <c r="I71" s="2"/>
      <c r="J71" s="2"/>
      <c r="K71" s="26"/>
      <c r="L71" s="42" t="s">
        <v>82</v>
      </c>
      <c r="M71" s="10"/>
      <c r="N71" s="5"/>
    </row>
    <row r="72" spans="1:14" ht="15.5" hidden="1" x14ac:dyDescent="0.35">
      <c r="A72" s="40"/>
      <c r="B72" s="23"/>
      <c r="C72" s="8"/>
      <c r="D72" s="8"/>
      <c r="E72" s="8"/>
      <c r="F72" s="8"/>
      <c r="G72" s="10"/>
      <c r="H72" s="45"/>
      <c r="I72" s="46"/>
      <c r="J72" s="46"/>
      <c r="K72" s="47"/>
      <c r="L72" s="23"/>
      <c r="M72" s="10"/>
      <c r="N72" s="5"/>
    </row>
    <row r="73" spans="1:14" ht="15.5" hidden="1" x14ac:dyDescent="0.35">
      <c r="A73" s="40"/>
      <c r="B73" s="23"/>
      <c r="C73" s="8"/>
      <c r="D73" s="8"/>
      <c r="E73" s="8"/>
      <c r="F73" s="8"/>
      <c r="G73" s="10"/>
      <c r="H73" s="45"/>
      <c r="I73" s="46"/>
      <c r="J73" s="46"/>
      <c r="K73" s="47"/>
      <c r="L73" s="23"/>
      <c r="M73" s="10"/>
      <c r="N73" s="5"/>
    </row>
    <row r="74" spans="1:14" ht="15.5" hidden="1" x14ac:dyDescent="0.35">
      <c r="A74" s="40"/>
      <c r="B74" s="23"/>
      <c r="C74" s="8"/>
      <c r="D74" s="8"/>
      <c r="E74" s="8"/>
      <c r="F74" s="8"/>
      <c r="G74" s="10"/>
      <c r="H74" s="45"/>
      <c r="I74" s="46"/>
      <c r="J74" s="46"/>
      <c r="K74" s="47"/>
      <c r="L74" s="23"/>
      <c r="M74" s="10"/>
      <c r="N74" s="5"/>
    </row>
    <row r="75" spans="1:14" ht="15.5" hidden="1" x14ac:dyDescent="0.35">
      <c r="A75" s="40"/>
      <c r="B75" s="23"/>
      <c r="C75" s="8"/>
      <c r="D75" s="8"/>
      <c r="E75" s="8"/>
      <c r="F75" s="8"/>
      <c r="G75" s="10"/>
      <c r="H75" s="48"/>
      <c r="I75" s="49"/>
      <c r="J75" s="49"/>
      <c r="K75" s="50"/>
      <c r="L75" s="23"/>
      <c r="M75" s="10"/>
      <c r="N75" s="5"/>
    </row>
    <row r="76" spans="1:14" ht="15.5" x14ac:dyDescent="0.35">
      <c r="A76" s="38" t="s">
        <v>101</v>
      </c>
      <c r="B76" s="8"/>
      <c r="C76" s="8"/>
      <c r="D76" s="8"/>
      <c r="E76" s="8"/>
      <c r="F76" s="8"/>
      <c r="G76" s="8"/>
      <c r="H76" s="8"/>
      <c r="I76" s="8"/>
      <c r="J76" s="8"/>
      <c r="K76" s="8"/>
      <c r="L76" s="8"/>
      <c r="M76" s="10"/>
      <c r="N76" s="5"/>
    </row>
    <row r="77" spans="1:14" ht="24.75" hidden="1" customHeight="1" x14ac:dyDescent="0.35">
      <c r="A77" s="39" t="s">
        <v>102</v>
      </c>
      <c r="B77" s="8"/>
      <c r="C77" s="8"/>
      <c r="D77" s="8"/>
      <c r="E77" s="8"/>
      <c r="F77" s="8"/>
      <c r="G77" s="10"/>
      <c r="H77" s="39" t="s">
        <v>103</v>
      </c>
      <c r="I77" s="8"/>
      <c r="J77" s="8"/>
      <c r="K77" s="10"/>
      <c r="L77" s="39" t="s">
        <v>75</v>
      </c>
      <c r="M77" s="10"/>
      <c r="N77" s="30"/>
    </row>
    <row r="78" spans="1:14" ht="15.5" hidden="1" x14ac:dyDescent="0.35">
      <c r="A78" s="40" t="s">
        <v>76</v>
      </c>
      <c r="B78" s="23"/>
      <c r="C78" s="8"/>
      <c r="D78" s="8"/>
      <c r="E78" s="8"/>
      <c r="F78" s="8"/>
      <c r="G78" s="10"/>
      <c r="H78" s="51"/>
      <c r="I78" s="14"/>
      <c r="J78" s="14"/>
      <c r="K78" s="15"/>
      <c r="L78" s="23"/>
      <c r="M78" s="10"/>
      <c r="N78" s="5"/>
    </row>
    <row r="79" spans="1:14" ht="15.5" hidden="1" x14ac:dyDescent="0.35">
      <c r="A79" s="40" t="s">
        <v>80</v>
      </c>
      <c r="B79" s="23"/>
      <c r="C79" s="8"/>
      <c r="D79" s="8"/>
      <c r="E79" s="8"/>
      <c r="F79" s="8"/>
      <c r="G79" s="10"/>
      <c r="H79" s="25"/>
      <c r="I79" s="2"/>
      <c r="J79" s="2"/>
      <c r="K79" s="26"/>
      <c r="L79" s="23"/>
      <c r="M79" s="10"/>
      <c r="N79" s="5"/>
    </row>
    <row r="80" spans="1:14" ht="15.5" hidden="1" x14ac:dyDescent="0.35">
      <c r="A80" s="40" t="s">
        <v>83</v>
      </c>
      <c r="B80" s="23"/>
      <c r="C80" s="8"/>
      <c r="D80" s="8"/>
      <c r="E80" s="8"/>
      <c r="F80" s="8"/>
      <c r="G80" s="10"/>
      <c r="H80" s="25"/>
      <c r="I80" s="2"/>
      <c r="J80" s="2"/>
      <c r="K80" s="26"/>
      <c r="L80" s="23"/>
      <c r="M80" s="10"/>
      <c r="N80" s="5"/>
    </row>
    <row r="81" spans="1:14" ht="15.5" hidden="1" x14ac:dyDescent="0.35">
      <c r="A81" s="40" t="s">
        <v>86</v>
      </c>
      <c r="B81" s="23"/>
      <c r="C81" s="8"/>
      <c r="D81" s="8"/>
      <c r="E81" s="8"/>
      <c r="F81" s="8"/>
      <c r="G81" s="10"/>
      <c r="H81" s="25"/>
      <c r="I81" s="2"/>
      <c r="J81" s="2"/>
      <c r="K81" s="26"/>
      <c r="L81" s="23"/>
      <c r="M81" s="10"/>
      <c r="N81" s="5"/>
    </row>
    <row r="82" spans="1:14" ht="15.5" hidden="1" x14ac:dyDescent="0.35">
      <c r="A82" s="40" t="s">
        <v>88</v>
      </c>
      <c r="B82" s="23"/>
      <c r="C82" s="8"/>
      <c r="D82" s="8"/>
      <c r="E82" s="8"/>
      <c r="F82" s="8"/>
      <c r="G82" s="10"/>
      <c r="H82" s="25"/>
      <c r="I82" s="2"/>
      <c r="J82" s="2"/>
      <c r="K82" s="26"/>
      <c r="L82" s="23"/>
      <c r="M82" s="10"/>
      <c r="N82" s="5"/>
    </row>
    <row r="83" spans="1:14" ht="15.5" hidden="1" x14ac:dyDescent="0.35">
      <c r="A83" s="40" t="s">
        <v>90</v>
      </c>
      <c r="B83" s="23"/>
      <c r="C83" s="8"/>
      <c r="D83" s="8"/>
      <c r="E83" s="8"/>
      <c r="F83" s="8"/>
      <c r="G83" s="10"/>
      <c r="H83" s="25"/>
      <c r="I83" s="2"/>
      <c r="J83" s="2"/>
      <c r="K83" s="26"/>
      <c r="L83" s="23"/>
      <c r="M83" s="10"/>
      <c r="N83" s="5"/>
    </row>
    <row r="84" spans="1:14" ht="15.5" hidden="1" x14ac:dyDescent="0.35">
      <c r="A84" s="40" t="s">
        <v>92</v>
      </c>
      <c r="B84" s="23"/>
      <c r="C84" s="8"/>
      <c r="D84" s="8"/>
      <c r="E84" s="8"/>
      <c r="F84" s="8"/>
      <c r="G84" s="10"/>
      <c r="H84" s="25"/>
      <c r="I84" s="2"/>
      <c r="J84" s="2"/>
      <c r="K84" s="26"/>
      <c r="L84" s="23"/>
      <c r="M84" s="10"/>
      <c r="N84" s="5"/>
    </row>
    <row r="85" spans="1:14" ht="15.5" hidden="1" x14ac:dyDescent="0.35">
      <c r="A85" s="40" t="s">
        <v>95</v>
      </c>
      <c r="B85" s="23"/>
      <c r="C85" s="8"/>
      <c r="D85" s="8"/>
      <c r="E85" s="8"/>
      <c r="F85" s="8"/>
      <c r="G85" s="10"/>
      <c r="H85" s="25"/>
      <c r="I85" s="2"/>
      <c r="J85" s="2"/>
      <c r="K85" s="26"/>
      <c r="L85" s="23"/>
      <c r="M85" s="10"/>
      <c r="N85" s="5"/>
    </row>
    <row r="86" spans="1:14" ht="15.5" hidden="1" x14ac:dyDescent="0.35">
      <c r="A86" s="40" t="s">
        <v>97</v>
      </c>
      <c r="B86" s="23"/>
      <c r="C86" s="8"/>
      <c r="D86" s="8"/>
      <c r="E86" s="8"/>
      <c r="F86" s="8"/>
      <c r="G86" s="10"/>
      <c r="H86" s="25"/>
      <c r="I86" s="2"/>
      <c r="J86" s="2"/>
      <c r="K86" s="26"/>
      <c r="L86" s="23"/>
      <c r="M86" s="10"/>
      <c r="N86" s="5"/>
    </row>
    <row r="87" spans="1:14" ht="15.5" hidden="1" x14ac:dyDescent="0.35">
      <c r="A87" s="40" t="s">
        <v>99</v>
      </c>
      <c r="B87" s="23"/>
      <c r="C87" s="8"/>
      <c r="D87" s="8"/>
      <c r="E87" s="8"/>
      <c r="F87" s="8"/>
      <c r="G87" s="10"/>
      <c r="H87" s="25"/>
      <c r="I87" s="2"/>
      <c r="J87" s="2"/>
      <c r="K87" s="26"/>
      <c r="L87" s="23"/>
      <c r="M87" s="10"/>
      <c r="N87" s="5"/>
    </row>
    <row r="88" spans="1:14" ht="15.5" hidden="1" x14ac:dyDescent="0.35">
      <c r="A88" s="40" t="s">
        <v>104</v>
      </c>
      <c r="B88" s="23"/>
      <c r="C88" s="8"/>
      <c r="D88" s="8"/>
      <c r="E88" s="8"/>
      <c r="F88" s="8"/>
      <c r="G88" s="10"/>
      <c r="H88" s="25"/>
      <c r="I88" s="2"/>
      <c r="J88" s="2"/>
      <c r="K88" s="26"/>
      <c r="L88" s="23"/>
      <c r="M88" s="10"/>
      <c r="N88" s="5"/>
    </row>
    <row r="89" spans="1:14" ht="15.5" hidden="1" x14ac:dyDescent="0.35">
      <c r="A89" s="40" t="s">
        <v>105</v>
      </c>
      <c r="B89" s="23"/>
      <c r="C89" s="8"/>
      <c r="D89" s="8"/>
      <c r="E89" s="8"/>
      <c r="F89" s="8"/>
      <c r="G89" s="10"/>
      <c r="H89" s="25"/>
      <c r="I89" s="2"/>
      <c r="J89" s="2"/>
      <c r="K89" s="26"/>
      <c r="L89" s="23"/>
      <c r="M89" s="10"/>
      <c r="N89" s="5"/>
    </row>
    <row r="90" spans="1:14" ht="15.5" hidden="1" x14ac:dyDescent="0.35">
      <c r="A90" s="40" t="s">
        <v>106</v>
      </c>
      <c r="B90" s="23"/>
      <c r="C90" s="8"/>
      <c r="D90" s="8"/>
      <c r="E90" s="8"/>
      <c r="F90" s="8"/>
      <c r="G90" s="10"/>
      <c r="H90" s="25"/>
      <c r="I90" s="2"/>
      <c r="J90" s="2"/>
      <c r="K90" s="26"/>
      <c r="L90" s="23"/>
      <c r="M90" s="10"/>
      <c r="N90" s="5"/>
    </row>
    <row r="91" spans="1:14" ht="15.5" hidden="1" x14ac:dyDescent="0.35">
      <c r="A91" s="40" t="s">
        <v>107</v>
      </c>
      <c r="B91" s="23"/>
      <c r="C91" s="8"/>
      <c r="D91" s="8"/>
      <c r="E91" s="8"/>
      <c r="F91" s="8"/>
      <c r="G91" s="10"/>
      <c r="H91" s="24"/>
      <c r="I91" s="18"/>
      <c r="J91" s="18"/>
      <c r="K91" s="19"/>
      <c r="L91" s="23"/>
      <c r="M91" s="10"/>
      <c r="N91" s="5"/>
    </row>
    <row r="92" spans="1:14" ht="24" customHeight="1" x14ac:dyDescent="0.35">
      <c r="A92" s="39" t="s">
        <v>108</v>
      </c>
      <c r="B92" s="8"/>
      <c r="C92" s="8"/>
      <c r="D92" s="8"/>
      <c r="E92" s="8"/>
      <c r="F92" s="8"/>
      <c r="G92" s="10"/>
      <c r="H92" s="39" t="s">
        <v>103</v>
      </c>
      <c r="I92" s="8"/>
      <c r="J92" s="8"/>
      <c r="K92" s="10"/>
      <c r="L92" s="39" t="s">
        <v>75</v>
      </c>
      <c r="M92" s="10"/>
      <c r="N92" s="30"/>
    </row>
    <row r="93" spans="1:14" ht="15.5" x14ac:dyDescent="0.35">
      <c r="A93" s="40" t="s">
        <v>76</v>
      </c>
      <c r="B93" s="23" t="s">
        <v>109</v>
      </c>
      <c r="C93" s="8"/>
      <c r="D93" s="8"/>
      <c r="E93" s="8"/>
      <c r="F93" s="8"/>
      <c r="G93" s="10"/>
      <c r="H93" s="51" t="s">
        <v>110</v>
      </c>
      <c r="I93" s="14"/>
      <c r="J93" s="14"/>
      <c r="K93" s="15"/>
      <c r="L93" s="52" t="s">
        <v>79</v>
      </c>
      <c r="M93" s="10"/>
      <c r="N93" s="5"/>
    </row>
    <row r="94" spans="1:14" ht="15.5" x14ac:dyDescent="0.35">
      <c r="A94" s="40" t="s">
        <v>80</v>
      </c>
      <c r="B94" s="23" t="s">
        <v>111</v>
      </c>
      <c r="C94" s="8"/>
      <c r="D94" s="8"/>
      <c r="E94" s="8"/>
      <c r="F94" s="8"/>
      <c r="G94" s="10"/>
      <c r="H94" s="25"/>
      <c r="I94" s="2"/>
      <c r="J94" s="2"/>
      <c r="K94" s="26"/>
      <c r="L94" s="52" t="s">
        <v>79</v>
      </c>
      <c r="M94" s="10"/>
      <c r="N94" s="5"/>
    </row>
    <row r="95" spans="1:14" ht="15.5" x14ac:dyDescent="0.35">
      <c r="A95" s="40" t="s">
        <v>83</v>
      </c>
      <c r="B95" s="23" t="s">
        <v>112</v>
      </c>
      <c r="C95" s="8"/>
      <c r="D95" s="8"/>
      <c r="E95" s="8"/>
      <c r="F95" s="8"/>
      <c r="G95" s="10"/>
      <c r="H95" s="25"/>
      <c r="I95" s="2"/>
      <c r="J95" s="2"/>
      <c r="K95" s="26"/>
      <c r="L95" s="52" t="s">
        <v>79</v>
      </c>
      <c r="M95" s="10"/>
      <c r="N95" s="5"/>
    </row>
    <row r="96" spans="1:14" ht="15.5" x14ac:dyDescent="0.35">
      <c r="A96" s="40" t="s">
        <v>86</v>
      </c>
      <c r="B96" s="23" t="s">
        <v>113</v>
      </c>
      <c r="C96" s="8"/>
      <c r="D96" s="8"/>
      <c r="E96" s="8"/>
      <c r="F96" s="8"/>
      <c r="G96" s="10"/>
      <c r="H96" s="25"/>
      <c r="I96" s="2"/>
      <c r="J96" s="2"/>
      <c r="K96" s="26"/>
      <c r="L96" s="52" t="s">
        <v>79</v>
      </c>
      <c r="M96" s="10"/>
      <c r="N96" s="5"/>
    </row>
    <row r="97" spans="1:14" ht="15.5" x14ac:dyDescent="0.35">
      <c r="A97" s="40" t="s">
        <v>88</v>
      </c>
      <c r="B97" s="23" t="s">
        <v>114</v>
      </c>
      <c r="C97" s="8"/>
      <c r="D97" s="8"/>
      <c r="E97" s="8"/>
      <c r="F97" s="8"/>
      <c r="G97" s="10"/>
      <c r="H97" s="25"/>
      <c r="I97" s="2"/>
      <c r="J97" s="2"/>
      <c r="K97" s="26"/>
      <c r="L97" s="52" t="s">
        <v>79</v>
      </c>
      <c r="M97" s="10"/>
      <c r="N97" s="5"/>
    </row>
    <row r="98" spans="1:14" ht="15.5" x14ac:dyDescent="0.35">
      <c r="A98" s="40" t="s">
        <v>90</v>
      </c>
      <c r="B98" s="23" t="s">
        <v>115</v>
      </c>
      <c r="C98" s="8"/>
      <c r="D98" s="8"/>
      <c r="E98" s="8"/>
      <c r="F98" s="8"/>
      <c r="G98" s="10"/>
      <c r="H98" s="25"/>
      <c r="I98" s="2"/>
      <c r="J98" s="2"/>
      <c r="K98" s="26"/>
      <c r="L98" s="52" t="s">
        <v>79</v>
      </c>
      <c r="M98" s="10"/>
      <c r="N98" s="5"/>
    </row>
    <row r="99" spans="1:14" ht="15.5" x14ac:dyDescent="0.35">
      <c r="A99" s="40" t="s">
        <v>92</v>
      </c>
      <c r="B99" s="23" t="s">
        <v>89</v>
      </c>
      <c r="C99" s="8"/>
      <c r="D99" s="8"/>
      <c r="E99" s="8"/>
      <c r="F99" s="8"/>
      <c r="G99" s="10"/>
      <c r="H99" s="25"/>
      <c r="I99" s="2"/>
      <c r="J99" s="2"/>
      <c r="K99" s="26"/>
      <c r="L99" s="52" t="s">
        <v>79</v>
      </c>
      <c r="M99" s="10"/>
      <c r="N99" s="5"/>
    </row>
    <row r="100" spans="1:14" ht="15.5" x14ac:dyDescent="0.35">
      <c r="A100" s="40" t="s">
        <v>95</v>
      </c>
      <c r="B100" s="23" t="s">
        <v>91</v>
      </c>
      <c r="C100" s="8"/>
      <c r="D100" s="8"/>
      <c r="E100" s="8"/>
      <c r="F100" s="8"/>
      <c r="G100" s="10"/>
      <c r="H100" s="25"/>
      <c r="I100" s="2"/>
      <c r="J100" s="2"/>
      <c r="K100" s="26"/>
      <c r="L100" s="52" t="s">
        <v>79</v>
      </c>
      <c r="M100" s="10"/>
      <c r="N100" s="5"/>
    </row>
    <row r="101" spans="1:14" ht="15.5" x14ac:dyDescent="0.35">
      <c r="A101" s="40" t="s">
        <v>97</v>
      </c>
      <c r="B101" s="23" t="s">
        <v>116</v>
      </c>
      <c r="C101" s="8"/>
      <c r="D101" s="8"/>
      <c r="E101" s="8"/>
      <c r="F101" s="8"/>
      <c r="G101" s="10"/>
      <c r="H101" s="25"/>
      <c r="I101" s="2"/>
      <c r="J101" s="2"/>
      <c r="K101" s="26"/>
      <c r="L101" s="52" t="s">
        <v>79</v>
      </c>
      <c r="M101" s="10"/>
      <c r="N101" s="5"/>
    </row>
    <row r="102" spans="1:14" ht="15.5" x14ac:dyDescent="0.35">
      <c r="A102" s="40" t="s">
        <v>99</v>
      </c>
      <c r="B102" s="23" t="s">
        <v>117</v>
      </c>
      <c r="C102" s="8"/>
      <c r="D102" s="8"/>
      <c r="E102" s="8"/>
      <c r="F102" s="8"/>
      <c r="G102" s="10"/>
      <c r="H102" s="25"/>
      <c r="I102" s="2"/>
      <c r="J102" s="2"/>
      <c r="K102" s="26"/>
      <c r="L102" s="52" t="s">
        <v>79</v>
      </c>
      <c r="M102" s="10"/>
      <c r="N102" s="5"/>
    </row>
    <row r="103" spans="1:14" ht="15.5" x14ac:dyDescent="0.35">
      <c r="A103" s="40" t="s">
        <v>104</v>
      </c>
      <c r="B103" s="23" t="s">
        <v>118</v>
      </c>
      <c r="C103" s="8"/>
      <c r="D103" s="8"/>
      <c r="E103" s="8"/>
      <c r="F103" s="8"/>
      <c r="G103" s="10"/>
      <c r="H103" s="25"/>
      <c r="I103" s="2"/>
      <c r="J103" s="2"/>
      <c r="K103" s="26"/>
      <c r="L103" s="52" t="s">
        <v>79</v>
      </c>
      <c r="M103" s="10"/>
      <c r="N103" s="5"/>
    </row>
    <row r="104" spans="1:14" ht="15.5" x14ac:dyDescent="0.35">
      <c r="A104" s="40" t="s">
        <v>105</v>
      </c>
      <c r="B104" s="23" t="s">
        <v>119</v>
      </c>
      <c r="C104" s="8"/>
      <c r="D104" s="8"/>
      <c r="E104" s="8"/>
      <c r="F104" s="8"/>
      <c r="G104" s="10"/>
      <c r="H104" s="25"/>
      <c r="I104" s="2"/>
      <c r="J104" s="2"/>
      <c r="K104" s="26"/>
      <c r="L104" s="52" t="s">
        <v>79</v>
      </c>
      <c r="M104" s="10"/>
      <c r="N104" s="5"/>
    </row>
    <row r="105" spans="1:14" ht="15.5" x14ac:dyDescent="0.35">
      <c r="A105" s="40" t="s">
        <v>106</v>
      </c>
      <c r="B105" s="23" t="s">
        <v>120</v>
      </c>
      <c r="C105" s="8"/>
      <c r="D105" s="8"/>
      <c r="E105" s="8"/>
      <c r="F105" s="8"/>
      <c r="G105" s="10"/>
      <c r="H105" s="25"/>
      <c r="I105" s="2"/>
      <c r="J105" s="2"/>
      <c r="K105" s="26"/>
      <c r="L105" s="52" t="s">
        <v>79</v>
      </c>
      <c r="M105" s="10"/>
      <c r="N105" s="5"/>
    </row>
    <row r="106" spans="1:14" ht="15.5" x14ac:dyDescent="0.35">
      <c r="A106" s="40" t="s">
        <v>107</v>
      </c>
      <c r="B106" s="23" t="s">
        <v>121</v>
      </c>
      <c r="C106" s="8"/>
      <c r="D106" s="8"/>
      <c r="E106" s="8"/>
      <c r="F106" s="8"/>
      <c r="G106" s="10"/>
      <c r="H106" s="24"/>
      <c r="I106" s="18"/>
      <c r="J106" s="18"/>
      <c r="K106" s="19"/>
      <c r="L106" s="52" t="s">
        <v>79</v>
      </c>
      <c r="M106" s="10"/>
      <c r="N106" s="5"/>
    </row>
    <row r="107" spans="1:14" ht="24" hidden="1" customHeight="1" x14ac:dyDescent="0.35">
      <c r="A107" s="39" t="s">
        <v>122</v>
      </c>
      <c r="B107" s="8"/>
      <c r="C107" s="8"/>
      <c r="D107" s="8"/>
      <c r="E107" s="8"/>
      <c r="F107" s="8"/>
      <c r="G107" s="10"/>
      <c r="H107" s="39" t="s">
        <v>103</v>
      </c>
      <c r="I107" s="8"/>
      <c r="J107" s="8"/>
      <c r="K107" s="10"/>
      <c r="L107" s="39" t="s">
        <v>75</v>
      </c>
      <c r="M107" s="10"/>
      <c r="N107" s="30"/>
    </row>
    <row r="108" spans="1:14" ht="15.5" hidden="1" x14ac:dyDescent="0.35">
      <c r="A108" s="40" t="s">
        <v>76</v>
      </c>
      <c r="B108" s="23"/>
      <c r="C108" s="8"/>
      <c r="D108" s="8"/>
      <c r="E108" s="8"/>
      <c r="F108" s="8"/>
      <c r="G108" s="10"/>
      <c r="H108" s="51"/>
      <c r="I108" s="14"/>
      <c r="J108" s="14"/>
      <c r="K108" s="15"/>
      <c r="L108" s="23"/>
      <c r="M108" s="10"/>
      <c r="N108" s="5"/>
    </row>
    <row r="109" spans="1:14" ht="15.5" hidden="1" x14ac:dyDescent="0.35">
      <c r="A109" s="40" t="s">
        <v>80</v>
      </c>
      <c r="B109" s="23"/>
      <c r="C109" s="8"/>
      <c r="D109" s="8"/>
      <c r="E109" s="8"/>
      <c r="F109" s="8"/>
      <c r="G109" s="10"/>
      <c r="H109" s="25"/>
      <c r="I109" s="2"/>
      <c r="J109" s="2"/>
      <c r="K109" s="26"/>
      <c r="L109" s="23"/>
      <c r="M109" s="10"/>
      <c r="N109" s="5"/>
    </row>
    <row r="110" spans="1:14" ht="15.5" hidden="1" x14ac:dyDescent="0.35">
      <c r="A110" s="40" t="s">
        <v>83</v>
      </c>
      <c r="B110" s="23"/>
      <c r="C110" s="8"/>
      <c r="D110" s="8"/>
      <c r="E110" s="8"/>
      <c r="F110" s="8"/>
      <c r="G110" s="10"/>
      <c r="H110" s="25"/>
      <c r="I110" s="2"/>
      <c r="J110" s="2"/>
      <c r="K110" s="26"/>
      <c r="L110" s="23"/>
      <c r="M110" s="10"/>
      <c r="N110" s="5"/>
    </row>
    <row r="111" spans="1:14" ht="15.5" hidden="1" x14ac:dyDescent="0.35">
      <c r="A111" s="40" t="s">
        <v>86</v>
      </c>
      <c r="B111" s="23"/>
      <c r="C111" s="8"/>
      <c r="D111" s="8"/>
      <c r="E111" s="8"/>
      <c r="F111" s="8"/>
      <c r="G111" s="10"/>
      <c r="H111" s="25"/>
      <c r="I111" s="2"/>
      <c r="J111" s="2"/>
      <c r="K111" s="26"/>
      <c r="L111" s="23"/>
      <c r="M111" s="10"/>
      <c r="N111" s="5"/>
    </row>
    <row r="112" spans="1:14" ht="15.5" hidden="1" x14ac:dyDescent="0.35">
      <c r="A112" s="40" t="s">
        <v>88</v>
      </c>
      <c r="B112" s="23"/>
      <c r="C112" s="8"/>
      <c r="D112" s="8"/>
      <c r="E112" s="8"/>
      <c r="F112" s="8"/>
      <c r="G112" s="10"/>
      <c r="H112" s="25"/>
      <c r="I112" s="2"/>
      <c r="J112" s="2"/>
      <c r="K112" s="26"/>
      <c r="L112" s="23"/>
      <c r="M112" s="10"/>
      <c r="N112" s="5"/>
    </row>
    <row r="113" spans="1:14" ht="15.5" hidden="1" x14ac:dyDescent="0.35">
      <c r="A113" s="40" t="s">
        <v>90</v>
      </c>
      <c r="B113" s="23"/>
      <c r="C113" s="8"/>
      <c r="D113" s="8"/>
      <c r="E113" s="8"/>
      <c r="F113" s="8"/>
      <c r="G113" s="10"/>
      <c r="H113" s="25"/>
      <c r="I113" s="2"/>
      <c r="J113" s="2"/>
      <c r="K113" s="26"/>
      <c r="L113" s="23"/>
      <c r="M113" s="10"/>
      <c r="N113" s="5"/>
    </row>
    <row r="114" spans="1:14" ht="15.5" hidden="1" x14ac:dyDescent="0.35">
      <c r="A114" s="40" t="s">
        <v>92</v>
      </c>
      <c r="B114" s="23"/>
      <c r="C114" s="8"/>
      <c r="D114" s="8"/>
      <c r="E114" s="8"/>
      <c r="F114" s="8"/>
      <c r="G114" s="10"/>
      <c r="H114" s="25"/>
      <c r="I114" s="2"/>
      <c r="J114" s="2"/>
      <c r="K114" s="26"/>
      <c r="L114" s="23"/>
      <c r="M114" s="10"/>
      <c r="N114" s="5"/>
    </row>
    <row r="115" spans="1:14" ht="15.5" hidden="1" x14ac:dyDescent="0.35">
      <c r="A115" s="40" t="s">
        <v>95</v>
      </c>
      <c r="B115" s="23"/>
      <c r="C115" s="8"/>
      <c r="D115" s="8"/>
      <c r="E115" s="8"/>
      <c r="F115" s="8"/>
      <c r="G115" s="10"/>
      <c r="H115" s="25"/>
      <c r="I115" s="2"/>
      <c r="J115" s="2"/>
      <c r="K115" s="26"/>
      <c r="L115" s="23"/>
      <c r="M115" s="10"/>
      <c r="N115" s="5"/>
    </row>
    <row r="116" spans="1:14" ht="15.5" hidden="1" x14ac:dyDescent="0.35">
      <c r="A116" s="40" t="s">
        <v>97</v>
      </c>
      <c r="B116" s="23"/>
      <c r="C116" s="8"/>
      <c r="D116" s="8"/>
      <c r="E116" s="8"/>
      <c r="F116" s="8"/>
      <c r="G116" s="10"/>
      <c r="H116" s="25"/>
      <c r="I116" s="2"/>
      <c r="J116" s="2"/>
      <c r="K116" s="26"/>
      <c r="L116" s="23"/>
      <c r="M116" s="10"/>
      <c r="N116" s="5"/>
    </row>
    <row r="117" spans="1:14" ht="15.5" hidden="1" x14ac:dyDescent="0.35">
      <c r="A117" s="40" t="s">
        <v>99</v>
      </c>
      <c r="B117" s="23"/>
      <c r="C117" s="8"/>
      <c r="D117" s="8"/>
      <c r="E117" s="8"/>
      <c r="F117" s="8"/>
      <c r="G117" s="10"/>
      <c r="H117" s="25"/>
      <c r="I117" s="2"/>
      <c r="J117" s="2"/>
      <c r="K117" s="26"/>
      <c r="L117" s="23"/>
      <c r="M117" s="10"/>
      <c r="N117" s="5"/>
    </row>
    <row r="118" spans="1:14" ht="15.5" hidden="1" x14ac:dyDescent="0.35">
      <c r="A118" s="40" t="s">
        <v>104</v>
      </c>
      <c r="B118" s="23"/>
      <c r="C118" s="8"/>
      <c r="D118" s="8"/>
      <c r="E118" s="8"/>
      <c r="F118" s="8"/>
      <c r="G118" s="10"/>
      <c r="H118" s="25"/>
      <c r="I118" s="2"/>
      <c r="J118" s="2"/>
      <c r="K118" s="26"/>
      <c r="L118" s="23"/>
      <c r="M118" s="10"/>
      <c r="N118" s="5"/>
    </row>
    <row r="119" spans="1:14" ht="15.5" hidden="1" x14ac:dyDescent="0.35">
      <c r="A119" s="40" t="s">
        <v>105</v>
      </c>
      <c r="B119" s="23"/>
      <c r="C119" s="8"/>
      <c r="D119" s="8"/>
      <c r="E119" s="8"/>
      <c r="F119" s="8"/>
      <c r="G119" s="10"/>
      <c r="H119" s="25"/>
      <c r="I119" s="2"/>
      <c r="J119" s="2"/>
      <c r="K119" s="26"/>
      <c r="L119" s="23"/>
      <c r="M119" s="10"/>
      <c r="N119" s="5"/>
    </row>
    <row r="120" spans="1:14" ht="15.5" hidden="1" x14ac:dyDescent="0.35">
      <c r="A120" s="40" t="s">
        <v>106</v>
      </c>
      <c r="B120" s="23"/>
      <c r="C120" s="8"/>
      <c r="D120" s="8"/>
      <c r="E120" s="8"/>
      <c r="F120" s="8"/>
      <c r="G120" s="10"/>
      <c r="H120" s="25"/>
      <c r="I120" s="2"/>
      <c r="J120" s="2"/>
      <c r="K120" s="26"/>
      <c r="L120" s="23"/>
      <c r="M120" s="10"/>
      <c r="N120" s="5"/>
    </row>
    <row r="121" spans="1:14" ht="15.5" hidden="1" x14ac:dyDescent="0.35">
      <c r="A121" s="40" t="s">
        <v>107</v>
      </c>
      <c r="B121" s="23"/>
      <c r="C121" s="8"/>
      <c r="D121" s="8"/>
      <c r="E121" s="8"/>
      <c r="F121" s="8"/>
      <c r="G121" s="10"/>
      <c r="H121" s="24"/>
      <c r="I121" s="18"/>
      <c r="J121" s="18"/>
      <c r="K121" s="19"/>
      <c r="L121" s="23"/>
      <c r="M121" s="10"/>
      <c r="N121" s="5"/>
    </row>
    <row r="122" spans="1:14" ht="15.5" x14ac:dyDescent="0.35">
      <c r="A122" s="23" t="s">
        <v>123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124</v>
      </c>
      <c r="B124" s="2"/>
      <c r="C124" s="2"/>
      <c r="D124" s="2"/>
      <c r="E124" s="2"/>
      <c r="F124" s="2"/>
      <c r="G124" s="2"/>
      <c r="H124" s="2"/>
      <c r="I124" s="2"/>
      <c r="J124" s="2"/>
      <c r="K124" s="2"/>
      <c r="L124" s="2"/>
      <c r="M124" s="2"/>
      <c r="N124" s="30"/>
    </row>
    <row r="125" spans="1:14" ht="46.5" x14ac:dyDescent="0.35">
      <c r="A125" s="53" t="s">
        <v>125</v>
      </c>
      <c r="B125" s="54" t="s">
        <v>126</v>
      </c>
      <c r="C125" s="8"/>
      <c r="D125" s="8"/>
      <c r="E125" s="8"/>
      <c r="F125" s="8"/>
      <c r="G125" s="10"/>
      <c r="H125" s="54" t="s">
        <v>127</v>
      </c>
      <c r="I125" s="8"/>
      <c r="J125" s="8"/>
      <c r="K125" s="10"/>
      <c r="L125" s="55" t="s">
        <v>128</v>
      </c>
      <c r="M125" s="10"/>
      <c r="N125" s="5"/>
    </row>
    <row r="126" spans="1:14" ht="42" customHeight="1" x14ac:dyDescent="0.35">
      <c r="A126" s="56" t="s">
        <v>129</v>
      </c>
      <c r="B126" s="57" t="s">
        <v>130</v>
      </c>
      <c r="C126" s="14"/>
      <c r="D126" s="14"/>
      <c r="E126" s="14"/>
      <c r="F126" s="14"/>
      <c r="G126" s="15"/>
      <c r="H126" s="58" t="s">
        <v>131</v>
      </c>
      <c r="I126" s="14"/>
      <c r="J126" s="14"/>
      <c r="K126" s="59" t="s">
        <v>132</v>
      </c>
      <c r="L126" s="60">
        <f>1-SUM(L129:M131)</f>
        <v>0.8</v>
      </c>
      <c r="M126" s="15"/>
      <c r="N126" s="5"/>
    </row>
    <row r="127" spans="1:14" ht="32.25" customHeight="1" x14ac:dyDescent="0.35">
      <c r="A127" s="61"/>
      <c r="B127" s="25"/>
      <c r="C127" s="2"/>
      <c r="D127" s="2"/>
      <c r="E127" s="2"/>
      <c r="F127" s="2"/>
      <c r="G127" s="26"/>
      <c r="H127" s="24"/>
      <c r="I127" s="18"/>
      <c r="J127" s="18"/>
      <c r="K127" s="36"/>
      <c r="L127" s="25"/>
      <c r="M127" s="26"/>
      <c r="N127" s="5"/>
    </row>
    <row r="128" spans="1:14" ht="15.5" x14ac:dyDescent="0.35">
      <c r="A128" s="36"/>
      <c r="B128" s="24"/>
      <c r="C128" s="18"/>
      <c r="D128" s="18"/>
      <c r="E128" s="18"/>
      <c r="F128" s="18"/>
      <c r="G128" s="19"/>
      <c r="H128" s="62" t="s">
        <v>133</v>
      </c>
      <c r="I128" s="8"/>
      <c r="J128" s="8"/>
      <c r="K128" s="63" t="s">
        <v>132</v>
      </c>
      <c r="L128" s="24"/>
      <c r="M128" s="19"/>
      <c r="N128" s="5"/>
    </row>
    <row r="129" spans="1:14" ht="68.25" hidden="1" customHeight="1" x14ac:dyDescent="0.35">
      <c r="A129" s="53" t="s">
        <v>134</v>
      </c>
      <c r="B129" s="62" t="s">
        <v>135</v>
      </c>
      <c r="C129" s="8"/>
      <c r="D129" s="8"/>
      <c r="E129" s="8"/>
      <c r="F129" s="8"/>
      <c r="G129" s="10"/>
      <c r="H129" s="62" t="s">
        <v>136</v>
      </c>
      <c r="I129" s="8"/>
      <c r="J129" s="8"/>
      <c r="K129" s="10"/>
      <c r="L129" s="64"/>
      <c r="M129" s="10"/>
      <c r="N129" s="5"/>
    </row>
    <row r="130" spans="1:14" ht="46.5" x14ac:dyDescent="0.35">
      <c r="A130" s="53" t="s">
        <v>137</v>
      </c>
      <c r="B130" s="62" t="s">
        <v>138</v>
      </c>
      <c r="C130" s="8"/>
      <c r="D130" s="8"/>
      <c r="E130" s="8"/>
      <c r="F130" s="8"/>
      <c r="G130" s="10"/>
      <c r="H130" s="62" t="s">
        <v>139</v>
      </c>
      <c r="I130" s="8"/>
      <c r="J130" s="8"/>
      <c r="K130" s="10"/>
      <c r="L130" s="64">
        <v>0.2</v>
      </c>
      <c r="M130" s="10"/>
      <c r="N130" s="5"/>
    </row>
    <row r="131" spans="1:14" ht="31" hidden="1" x14ac:dyDescent="0.35">
      <c r="A131" s="53" t="s">
        <v>140</v>
      </c>
      <c r="B131" s="65" t="s">
        <v>141</v>
      </c>
      <c r="C131" s="8"/>
      <c r="D131" s="8"/>
      <c r="E131" s="8"/>
      <c r="F131" s="8"/>
      <c r="G131" s="10"/>
      <c r="H131" s="62" t="s">
        <v>142</v>
      </c>
      <c r="I131" s="8"/>
      <c r="J131" s="8"/>
      <c r="K131" s="10"/>
      <c r="L131" s="64"/>
      <c r="M131" s="10"/>
      <c r="N131" s="5"/>
    </row>
    <row r="132" spans="1:14" ht="15.5" x14ac:dyDescent="0.35">
      <c r="A132" s="54" t="s">
        <v>143</v>
      </c>
      <c r="B132" s="8"/>
      <c r="C132" s="8"/>
      <c r="D132" s="8"/>
      <c r="E132" s="8"/>
      <c r="F132" s="8"/>
      <c r="G132" s="8"/>
      <c r="H132" s="8"/>
      <c r="I132" s="8"/>
      <c r="J132" s="8"/>
      <c r="K132" s="8"/>
      <c r="L132" s="8"/>
      <c r="M132" s="10"/>
      <c r="N132" s="5"/>
    </row>
    <row r="133" spans="1:14" ht="15.5" x14ac:dyDescent="0.35">
      <c r="A133" s="66" t="s">
        <v>144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67" t="s">
        <v>145</v>
      </c>
      <c r="B135" s="10"/>
      <c r="C135" s="68">
        <v>45909</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67" t="s">
        <v>146</v>
      </c>
      <c r="B137" s="10"/>
      <c r="C137" s="9" t="str">
        <f>E15</f>
        <v>conf. dr. ing. Simona Caraiman</v>
      </c>
      <c r="D137" s="8"/>
      <c r="E137" s="8"/>
      <c r="F137" s="8"/>
      <c r="G137" s="10"/>
      <c r="H137" s="9" t="str">
        <f>E16</f>
        <v>s.l. dr. ing. Otilia Zvoristeanu</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9" t="s">
        <v>147</v>
      </c>
      <c r="B139" s="15"/>
      <c r="C139" s="9" t="str">
        <f t="shared" ref="C139:C141" si="0">E17</f>
        <v>s.l. dr. ing. Otilia Zvoristeanu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 drd. Elena Maftei</v>
      </c>
      <c r="D140" s="8"/>
      <c r="E140" s="8"/>
      <c r="F140" s="8"/>
      <c r="G140" s="10"/>
      <c r="H140" s="9">
        <f t="shared" si="1"/>
        <v>0</v>
      </c>
      <c r="I140" s="8"/>
      <c r="J140" s="8"/>
      <c r="K140" s="8"/>
      <c r="L140" s="8"/>
      <c r="M140" s="10"/>
      <c r="N140" s="5"/>
    </row>
    <row r="141" spans="1:14" ht="32.25" customHeight="1" x14ac:dyDescent="0.35">
      <c r="A141" s="24"/>
      <c r="B141" s="19"/>
      <c r="C141" s="9" t="str">
        <f t="shared" si="0"/>
        <v>asist. drd. Adrian Prodan</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67" t="s">
        <v>148</v>
      </c>
      <c r="B143" s="10"/>
      <c r="C143" s="70">
        <f>[1]Date!C29</f>
        <v>45915</v>
      </c>
      <c r="D143" s="10"/>
      <c r="E143" s="67" t="s">
        <v>149</v>
      </c>
      <c r="F143" s="8"/>
      <c r="G143" s="10"/>
      <c r="H143" s="71" t="str">
        <f>[1]Date!C31</f>
        <v>Conf.dr.ing. Mihai POSTOLACHE</v>
      </c>
      <c r="I143" s="8"/>
      <c r="J143" s="8"/>
      <c r="K143" s="8"/>
      <c r="L143" s="8"/>
      <c r="M143" s="10"/>
      <c r="N143" s="5"/>
    </row>
    <row r="144" spans="1:14" ht="21.75" customHeight="1" x14ac:dyDescent="0.35">
      <c r="A144" s="72"/>
      <c r="B144" s="72"/>
      <c r="C144" s="73"/>
      <c r="D144" s="73"/>
      <c r="E144" s="72"/>
      <c r="F144" s="72"/>
      <c r="G144" s="72"/>
      <c r="H144" s="73"/>
      <c r="I144" s="73"/>
      <c r="J144" s="73"/>
      <c r="K144" s="73"/>
      <c r="L144" s="73"/>
      <c r="M144" s="73"/>
      <c r="N144" s="5"/>
    </row>
    <row r="145" spans="1:14" ht="28.5" customHeight="1" x14ac:dyDescent="0.35">
      <c r="A145" s="67" t="s">
        <v>150</v>
      </c>
      <c r="B145" s="10"/>
      <c r="C145" s="70">
        <f>[1]Date!C30</f>
        <v>45918</v>
      </c>
      <c r="D145" s="10"/>
      <c r="E145" s="67" t="s">
        <v>151</v>
      </c>
      <c r="F145" s="8"/>
      <c r="G145" s="10"/>
      <c r="H145" s="71" t="str">
        <f>[1]Date!C32</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1"/>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2026-03-01T09:09:09Z</dcterms:created>
  <dcterms:modified xsi:type="dcterms:W3CDTF">2026-03-01T09:09:11Z</dcterms:modified>
</cp:coreProperties>
</file>