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2432EC2D-960B-4845-A346-81EC088354ED}" xr6:coauthVersionLast="47" xr6:coauthVersionMax="47" xr10:uidLastSave="{00000000-0000-0000-0000-000000000000}"/>
  <bookViews>
    <workbookView xWindow="-110" yWindow="-110" windowWidth="25820" windowHeight="15500" xr2:uid="{57CF1F0D-65ED-45C1-B6FB-919E70B0BAA4}"/>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G26" i="1" a="1"/>
  <c r="G26" i="1" s="1"/>
  <c r="G27" i="1" s="1"/>
  <c r="C23" i="1"/>
  <c r="E13" i="1" a="1"/>
  <c r="E13" i="1" s="1"/>
  <c r="C9" i="1"/>
  <c r="C8" i="1"/>
  <c r="C7" i="1"/>
  <c r="A2" i="1"/>
  <c r="C36" i="1" a="1"/>
  <c r="C36" i="1" s="1"/>
  <c r="M14" i="1" a="1"/>
  <c r="M14" i="1" s="1"/>
  <c r="K26" i="1" a="1"/>
  <c r="K26" i="1" s="1"/>
  <c r="K27" i="1" s="1"/>
  <c r="C34" i="1" a="1"/>
  <c r="C34" i="1" s="1"/>
  <c r="M33" i="1" s="1"/>
  <c r="E14" i="1" l="1" a="1"/>
  <c r="E14" i="1" s="1"/>
  <c r="I26" i="1" a="1"/>
  <c r="I26" i="1" s="1"/>
  <c r="I27" i="1" s="1"/>
  <c r="E23" i="1" a="1"/>
  <c r="E23" i="1" s="1"/>
  <c r="I23" i="1" a="1"/>
  <c r="I23" i="1" s="1"/>
  <c r="M23" i="1" a="1"/>
  <c r="M23" i="1" s="1"/>
  <c r="M32" i="1" a="1"/>
  <c r="M32"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5AC06615-760A-4357-A491-EE6A3BD41BA3}">
      <text>
        <r>
          <rPr>
            <sz val="10"/>
            <color rgb="FF000000"/>
            <rFont val="Aptos Narrow"/>
            <scheme val="minor"/>
          </rPr>
          <t>Pondere din nota de la E / V</t>
        </r>
      </text>
    </comment>
    <comment ref="K127" authorId="0" shapeId="0" xr:uid="{8358641D-2A30-4C2D-B90B-43B7623E821A}">
      <text>
        <r>
          <rPr>
            <sz val="10"/>
            <color rgb="FF000000"/>
            <rFont val="Aptos Narrow"/>
            <scheme val="minor"/>
          </rPr>
          <t>Pondere din nota de la E / V</t>
        </r>
      </text>
    </comment>
    <comment ref="K128" authorId="0" shapeId="0" xr:uid="{496E4A07-91DE-4DF3-851A-4737B35C0507}">
      <text>
        <r>
          <rPr>
            <sz val="10"/>
            <color rgb="FF000000"/>
            <rFont val="Aptos Narrow"/>
            <scheme val="minor"/>
          </rPr>
          <t>Pondere din nota de la E / V</t>
        </r>
      </text>
    </comment>
  </commentList>
</comments>
</file>

<file path=xl/sharedStrings.xml><?xml version="1.0" encoding="utf-8"?>
<sst xmlns="http://schemas.openxmlformats.org/spreadsheetml/2006/main" count="204" uniqueCount="154">
  <si>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</si>
  <si>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</si>
  <si>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</si>
  <si>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</si>
  <si>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</si>
  <si>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</si>
  <si>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</si>
  <si>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</si>
  <si>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</si>
  <si>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</si>
  <si>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</si>
  <si>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</si>
  <si>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</si>
  <si>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Sisteme de achizitie și interfețe de proces</t>
  </si>
  <si>
    <t>(în limba engleză, conform Suplimentului la diplomă)</t>
  </si>
  <si>
    <t>2.1.2. Codul disciplinei</t>
  </si>
  <si>
    <t xml:space="preserve">2.1.3. Categoria formativă </t>
  </si>
  <si>
    <t>2.2 Titularul / titularii activităţilor de curs</t>
  </si>
  <si>
    <t>conf.dr.ing. Mastacan Lucian</t>
  </si>
  <si>
    <t>2.3 Titularul / titularii activităţilor de aplicaţii (S, L, P, Pr)</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</si>
  <si>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</si>
  <si>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</si>
  <si>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</si>
  <si>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</si>
  <si>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</si>
  <si>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</si>
  <si>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</si>
  <si>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</si>
  <si>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</si>
  <si>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</si>
  <si>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</si>
  <si>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</si>
  <si>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</si>
  <si>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</si>
  <si>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</si>
  <si>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</si>
  <si>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</si>
  <si>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</si>
  <si>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</si>
  <si>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</si>
  <si>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</si>
  <si>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</si>
  <si>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</si>
  <si>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</si>
  <si>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</si>
  <si>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</si>
  <si>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</si>
  <si>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</si>
  <si>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</si>
  <si>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</si>
  <si>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</si>
  <si>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CEA, ETH, ED, IA, MT, SMP, SAE, MAE</t>
  </si>
  <si>
    <t>5. Condiţii</t>
  </si>
  <si>
    <t>5.1 de desfăşurare a cursului</t>
  </si>
  <si>
    <t>Sală dotată cu tablă și videoproiector</t>
  </si>
  <si>
    <t>5.2 de desfăşurare a seminarului / laboratorului / proiectului</t>
  </si>
  <si>
    <t>Laborator dotat cu tablă și videoproiector, PC-uri echipate cu software LabVIEW, plăci de achiziție de date National Instruments: USB 6009 și PCI 6024E, laptop cu placa de achiziție de date  PCMCIA 6024E. Sunt necesare: surse de tensiune de curent continuu, sursă de semnale unificate de curent continuu, multimetre de măsură, model de laborator de proces industrial echipat cu traductor și element de execuție pentru comanda mărimii de intrare.</t>
  </si>
  <si>
    <t>6. Obiectivul general al disciplinei</t>
  </si>
  <si>
    <t>Dobândirea cunoştiinţelor teoretice şi practice necesare pentru implementarea şi exploatarea echipamentelor analogice și numerice utilizate în sistemele de monitorizare a datelor și de conducere cu calculatorul a proceselor industriale. Sunt abordate concepte de bază utilizate în proiectarea și realizarea sistemelor de achiziții de date și a interfețelor de proces.</t>
  </si>
  <si>
    <t>7. Rezultatele învățării</t>
  </si>
  <si>
    <t>Cunoștințe</t>
  </si>
  <si>
    <t>Studentul / Absolventul:</t>
  </si>
  <si>
    <r>
      <rPr>
        <sz val="12"/>
        <color theme="1"/>
        <rFont val="Arial"/>
      </rPr>
      <t xml:space="preserve">- </t>
    </r>
    <r>
      <rPr>
        <b/>
        <sz val="12"/>
        <color theme="1"/>
        <rFont val="Arial"/>
      </rPr>
      <t xml:space="preserve">descrie </t>
    </r>
    <r>
      <rPr>
        <sz val="12"/>
        <color theme="1"/>
        <rFont val="Arial"/>
      </rPr>
      <t xml:space="preserve">structura unui sistem de reglare automată și detaliază configurarea acestuia în funcție de tipul echipamentelor de automatizare prin care este implementat
- </t>
    </r>
    <r>
      <rPr>
        <b/>
        <sz val="12"/>
        <color theme="1"/>
        <rFont val="Arial"/>
      </rPr>
      <t>explică</t>
    </r>
    <r>
      <rPr>
        <sz val="12"/>
        <color theme="1"/>
        <rFont val="Arial"/>
      </rPr>
      <t xml:space="preserve"> modul de reprezentare a unui sistem de reglare automată printr-o schemă bloc și printr-o schemă tehnologică cu echipamentele componente
- </t>
    </r>
    <r>
      <rPr>
        <b/>
        <sz val="12"/>
        <color theme="1"/>
        <rFont val="Arial"/>
      </rPr>
      <t>identifică</t>
    </r>
    <r>
      <rPr>
        <sz val="12"/>
        <color theme="1"/>
        <rFont val="Arial"/>
      </rPr>
      <t xml:space="preserve"> sursele de erori în prelucrarea semnalelor analogice de intrare într-un sistem de achiziție de date și metodele de eliminare a erorilor pentru creșterea performanțelor sistemului de achiziție de date
- </t>
    </r>
    <r>
      <rPr>
        <b/>
        <sz val="12"/>
        <color theme="1"/>
        <rFont val="Arial"/>
      </rPr>
      <t>explică</t>
    </r>
    <r>
      <rPr>
        <sz val="12"/>
        <color theme="1"/>
        <rFont val="Arial"/>
      </rPr>
      <t xml:space="preserve"> modul de funcționare al ansamblului circuit de eșantionare memorare - convertor analog numeric prin diagrame de timp și scheme de implementare
- </t>
    </r>
    <r>
      <rPr>
        <b/>
        <sz val="12"/>
        <color theme="1"/>
        <rFont val="Arial"/>
      </rPr>
      <t>explică</t>
    </r>
    <r>
      <rPr>
        <sz val="12"/>
        <color theme="1"/>
        <rFont val="Arial"/>
      </rPr>
      <t xml:space="preserve"> modul de funcționare al convertoarelor numeric analogice pe baza schemelor de implementare
- </t>
    </r>
    <r>
      <rPr>
        <b/>
        <sz val="12"/>
        <color theme="1"/>
        <rFont val="Arial"/>
      </rPr>
      <t>identifică</t>
    </r>
    <r>
      <rPr>
        <sz val="12"/>
        <color theme="1"/>
        <rFont val="Arial"/>
      </rPr>
      <t xml:space="preserve"> echipamentele necesare pentru interfețele de ieșire pentru comanda elementelor de execuție ale sistemelor de conducere cu calculatorul
- </t>
    </r>
    <r>
      <rPr>
        <b/>
        <sz val="12"/>
        <color theme="1"/>
        <rFont val="Arial"/>
      </rPr>
      <t xml:space="preserve">analizează </t>
    </r>
    <r>
      <rPr>
        <sz val="12"/>
        <color theme="1"/>
        <rFont val="Arial"/>
      </rPr>
      <t>un sistem de monitorizare și de conducere cu calculatorul pe baza schemelor tehnologice de funcționare și distinge echipamentele utilizate pentru sistemul de achiziție de date și pentru interfața de proces</t>
    </r>
  </si>
  <si>
    <t>Aptitudini</t>
  </si>
  <si>
    <r>
      <rPr>
        <sz val="12"/>
        <color theme="1"/>
        <rFont val="Arial"/>
      </rPr>
      <t xml:space="preserve">- </t>
    </r>
    <r>
      <rPr>
        <b/>
        <sz val="12"/>
        <color theme="1"/>
        <rFont val="Arial"/>
      </rPr>
      <t>analizează</t>
    </r>
    <r>
      <rPr>
        <sz val="12"/>
        <color theme="1"/>
        <rFont val="Arial"/>
      </rPr>
      <t xml:space="preserve"> funcționarea sistemelor de reglare automată și a sistemelor de conducere cu calculatorul pe baza schemelor bloc și a schemelor tehnologice de funcționare
- </t>
    </r>
    <r>
      <rPr>
        <b/>
        <sz val="12"/>
        <color theme="1"/>
        <rFont val="Arial"/>
      </rPr>
      <t>programează</t>
    </r>
    <r>
      <rPr>
        <sz val="12"/>
        <color theme="1"/>
        <rFont val="Arial"/>
      </rPr>
      <t xml:space="preserve"> aplicații în mediul de programare  LabVIEW pentru instrumentația virtuală utilizată în achiziția datelor și în comanda interfețelor de proces 
- </t>
    </r>
    <r>
      <rPr>
        <b/>
        <sz val="12"/>
        <color theme="1"/>
        <rFont val="Arial"/>
      </rPr>
      <t>rezolvă</t>
    </r>
    <r>
      <rPr>
        <sz val="12"/>
        <color theme="1"/>
        <rFont val="Arial"/>
      </rPr>
      <t xml:space="preserve"> aplicații privind utilizarea instrumentației virtuale în mediul de programare LabVIEW pentru achiziția și comanda semnalelor analogice cu plăci de achiziție de date National Instruments
- </t>
    </r>
    <r>
      <rPr>
        <b/>
        <sz val="12"/>
        <color theme="1"/>
        <rFont val="Arial"/>
      </rPr>
      <t>testează</t>
    </r>
    <r>
      <rPr>
        <sz val="12"/>
        <color theme="1"/>
        <rFont val="Arial"/>
      </rPr>
      <t xml:space="preserve"> plăci de achiziție de date National Instruments cu software-le MAX (Measurement &amp; Automation Explorer) și NI-DAQmx
- </t>
    </r>
    <r>
      <rPr>
        <b/>
        <sz val="12"/>
        <color theme="1"/>
        <rFont val="Arial"/>
      </rPr>
      <t xml:space="preserve">experimentează </t>
    </r>
    <r>
      <rPr>
        <sz val="12"/>
        <color theme="1"/>
        <rFont val="Arial"/>
      </rPr>
      <t xml:space="preserve">sistemul de condiționare a semnalelor National Instruments SC-2345
- </t>
    </r>
    <r>
      <rPr>
        <b/>
        <sz val="12"/>
        <color theme="1"/>
        <rFont val="Arial"/>
      </rPr>
      <t>experimentează</t>
    </r>
    <r>
      <rPr>
        <sz val="12"/>
        <color theme="1"/>
        <rFont val="Arial"/>
      </rPr>
      <t xml:space="preserve"> un sistem de monitorizare a temperaturii unui cuptor electric
- </t>
    </r>
    <r>
      <rPr>
        <b/>
        <sz val="12"/>
        <color theme="1"/>
        <rFont val="Arial"/>
      </rPr>
      <t>configurează</t>
    </r>
    <r>
      <rPr>
        <sz val="12"/>
        <color theme="1"/>
        <rFont val="Arial"/>
      </rPr>
      <t xml:space="preserve"> și pune în funcțiune</t>
    </r>
    <r>
      <rPr>
        <b/>
        <sz val="12"/>
        <color theme="1"/>
        <rFont val="Arial"/>
      </rPr>
      <t xml:space="preserve"> </t>
    </r>
    <r>
      <rPr>
        <sz val="12"/>
        <color theme="1"/>
        <rFont val="Arial"/>
      </rPr>
      <t xml:space="preserve">interfețe de proces pentru comanda elementelor de execuție
- </t>
    </r>
    <r>
      <rPr>
        <b/>
        <sz val="12"/>
        <color theme="1"/>
        <rFont val="Arial"/>
      </rPr>
      <t xml:space="preserve"> asamblează </t>
    </r>
    <r>
      <rPr>
        <sz val="12"/>
        <color theme="1"/>
        <rFont val="Arial"/>
      </rPr>
      <t xml:space="preserve">echipamentele componente ale unui sistem de reglare  numerică a temperaturii unui cuptor electric și </t>
    </r>
    <r>
      <rPr>
        <b/>
        <sz val="12"/>
        <color theme="1"/>
        <rFont val="Arial"/>
      </rPr>
      <t xml:space="preserve">efectuează </t>
    </r>
    <r>
      <rPr>
        <sz val="12"/>
        <color theme="1"/>
        <rFont val="Arial"/>
      </rPr>
      <t>punerea în funcțiune sistemului implementat</t>
    </r>
  </si>
  <si>
    <t>Responsabilitate și autonomie</t>
  </si>
  <si>
    <r>
      <rPr>
        <sz val="12"/>
        <color theme="1"/>
        <rFont val="Arial"/>
      </rPr>
      <t>-</t>
    </r>
    <r>
      <rPr>
        <b/>
        <sz val="12"/>
        <color theme="1"/>
        <rFont val="Arial"/>
      </rPr>
      <t xml:space="preserve"> se alătură </t>
    </r>
    <r>
      <rPr>
        <sz val="12"/>
        <color theme="1"/>
        <rFont val="Arial"/>
      </rPr>
      <t xml:space="preserve">unei echipe pentru a propune și selecta idei privind rezolvarea aplicațiilor
- </t>
    </r>
    <r>
      <rPr>
        <b/>
        <sz val="12"/>
        <color theme="1"/>
        <rFont val="Arial"/>
      </rPr>
      <t>raportează</t>
    </r>
    <r>
      <rPr>
        <sz val="12"/>
        <color theme="1"/>
        <rFont val="Arial"/>
      </rPr>
      <t xml:space="preserve"> rezultatele experimentelor realizate prin referate scrise
-</t>
    </r>
    <r>
      <rPr>
        <b/>
        <sz val="12"/>
        <color theme="1"/>
        <rFont val="Arial"/>
      </rPr>
      <t xml:space="preserve"> manifestă interes </t>
    </r>
    <r>
      <rPr>
        <sz val="12"/>
        <color theme="1"/>
        <rFont val="Arial"/>
      </rPr>
      <t xml:space="preserve">pentru cunoașterea modului de implementare prin tehnologii hardware și software a sistemelor de monitorizare a datelor și de conducere cu calculatorul a proceselor industriale
</t>
    </r>
  </si>
  <si>
    <t xml:space="preserve">8. Metode de predare </t>
  </si>
  <si>
    <t>Prelegeri orale cu slide-uri prezentate pe videoproiector și detalii din curs scrise pe tablă. Discuții cu studenții</t>
  </si>
  <si>
    <t>9. Conţinuturi</t>
  </si>
  <si>
    <t>9.1. Curs</t>
  </si>
  <si>
    <t>Metode de predare</t>
  </si>
  <si>
    <t>Timp alocat</t>
  </si>
  <si>
    <t>1</t>
  </si>
  <si>
    <t>Sisteme de reglare automată și de conducere cu calculatorul (SRA specializate; SRA unificate; SRA numerice; Sisteme de conducere cu calculatorul). Scheme bloc; Scheme tehnologice; Echipamente de automatizare.</t>
  </si>
  <si>
    <t xml:space="preserve">Cursul este predat prin prelegeri orale. 
Ca echipament didactic auxiliar se foloseşte tabla și videoproiectorul. 
Prin discuții cu studenții prezenți la curs sunt realizate conexiuni cu cunoștințele însușite la disciplinele anterioare necesare pentru aprofundarea tematicii cursului. </t>
  </si>
  <si>
    <t>2</t>
  </si>
  <si>
    <t>Echipamente pentru partea fixată a unui sistem de reglare automată (Elemente de Execuție, Procese tehnologice (generalități, clasificări), Traductoare). Tipuri de semnale fizice (analogice, numerice). Structura unui Sistem de Conducere cu Calculatorul (Sistemul de Achiziție de Date și Interfața de Proces).</t>
  </si>
  <si>
    <t>3</t>
  </si>
  <si>
    <t>Traductoare pentru mărimi tehnologice (semnale de măsură tipizate utilizate pentru sistemele de achiziție de date).  Amplificatoare operaționale pentru condiționarea semnalelor de ieșire de la traductoarele parametrilor tehnologici.</t>
  </si>
  <si>
    <t>4</t>
  </si>
  <si>
    <t>Convertorul analog - numeric CAN (domeniul de valori analogice, CAN unipolar, CAN bipolar, formula de conversie A-N, zgomotul de cuantizare, eroarea de cuantizare). Surse de erori în prelucrarea semnalelor analogice de intrare într-un Sistem de Achiziție de Date (distorsiuni de neliniaritate ale AO, tensiuni de perturbație, modelarea zgomotului de pe linia de transmisie a semnalului analogic, metode de micșorare a efectelor zgomotului). Amplificatorul de instrumentație.</t>
  </si>
  <si>
    <t>5</t>
  </si>
  <si>
    <t>Multiplexoare analogice AMUX (schema de principiu, implementarea cu comutatoare cu tranzistoare FET, caracteristici parazite statice și dinamice ale tranzistoarelor FET, diafonia între canalele unui AMUX). Circuite de Eșantionare și Memorare (modelul unui CEM, diagrama de funcționare a CEM, condiția de funcționare corectă a CEM).</t>
  </si>
  <si>
    <t>6</t>
  </si>
  <si>
    <t>Caracteristicile CEM (eroarea staționară, eroarea de decalaj, timpul de apertură, timpul de stabilizare, timpul de achiziție). Comanda ansamblului CEM - CAN (diagrame de timp). Principii constructive ale CEM (în buclă deschisă și în buclă închisă). Comutator electronic cu tranzistor FET.</t>
  </si>
  <si>
    <t>7</t>
  </si>
  <si>
    <t>Convertoare analog - numerice CAN. 7.1 Clasificări 7.2 Schema bloc a CAN (intrare unipolară, intrare bipolară, formula pentru valoarea codului numeric de ieșire, tensiunea de referință, funcția de transfer, rezoluția, timpul de achiziție, timpul de conversie, punctele de schimbare a codului). 7.3 Caracteristici statice și erori ale CAN (eroarea de offset, eroarea de cîștig, neliniaritatea diferențială, neliniaritatea integrală, eroarea de cuantizare, monotonia, codurile de ieșire omise). 7.4 Caracteristici dinamice ale CAN: raportul semnal - zgomot SNR, raportul SINAD (SNR + distorsiunile), numărul efectiv de biți ENOB. 7.5 Coduri numerice binare unipolare (codul binar natural, codul binar fracționar, codul zecimal codificat binar) 7.6 Coduri numerice binare bipolare (codul complement față de doi, codul complement față de unu, codul semn- amplitudine, codul binar offsetat)</t>
  </si>
  <si>
    <t>8</t>
  </si>
  <si>
    <t>8.1 CAN cu dublă rampă. 8.2 CAN cu rampă numerică 8.3 CAN cu aproximații succesive</t>
  </si>
  <si>
    <t>9</t>
  </si>
  <si>
    <t>Convertoare numeric- analogice CNA 9.1 Schema bloc a CNA, funcția de transfer a CNA unipolar în codificare fracționară și în cod binar natural 9.2  Caracteristici statice și dinamice ale CNA (rezoluția, caracteristica de transfer, excursia maximă FS, rangul dinamic DR, raportul semnal-zgomot SNR, numărul efectiv de biți, acuratețea pentru bitul i  9.3 Erori statice ale CNA (eroarea de gamă, eroarea de offset, liniaritatea integrală, neliniaritatea integrală, neliniaritatea diferențială, monotonia, nivele omise) 9.4 Erori dinamice ale CNA (eroarea de stabilizare, eroarea de slew-rate, apariția glitch-urilor) 9.5 Clasificarea CNA 9.6 CNA cu rezistențe de valori ponderate binar</t>
  </si>
  <si>
    <t>10</t>
  </si>
  <si>
    <t>10.1 CNA cu rețea de rezistențe de tipul R-2R 10.2 CNA cu rețea de rezistențe de tipul R-2R și comandă în curent 10.3 CNA cu comutarea curenţilor ponderaţi binar 10.4 CNA cu surse de curent folosind tranzistoare MOS 10.5 Comutator analogic cu tranzistoare FET</t>
  </si>
  <si>
    <t>11</t>
  </si>
  <si>
    <t xml:space="preserve">11.1 Interfețe de proces (funcții indeplinite, factori de care depinde structura unei interfeţe, schema de principiu a unei interfețe de proces). 11.2 Interfeţe de ieşire pentru semnale digitale (prin releu, prin optocuplor, prin tiristor, comanda motorului pas cu pas, comanda motorului de c.c.) 11.3 Interfeţe de intrare pentru semnale digitale (prin releu, prin optocuplor) 11.4  Interfeţe de ieşire pentru comanda elementelor de execuție bipoziționale și tripoziționale </t>
  </si>
  <si>
    <t>12</t>
  </si>
  <si>
    <t>Interfețe de ieșire pentru comanda elementelor de execuție cu organe de acționare de tip servomotor electric de curent continuu: 12.1 prin amplificatoare liniare (clasă A); 12.2 prin amplificatoare cu impulsuri (clasă B): comanda PWM (prin lăţimea impulsurilor), comnda PFM (prin frecvenţa impulsurilor)</t>
  </si>
  <si>
    <t>13</t>
  </si>
  <si>
    <t>13.1 Interfețe de ieșire pentru comanda elementelor de execuție cu organe de acționare de tip servomotor electric de curent continuu fără perii (comanda sinusoidală şi comanda trapezoidală). 13.2 Interfețe de ieșire pentru comanda alimentării proceselor electrice prin variatoare de curent alternativ (mono sau trifazat) cu tiristoare.</t>
  </si>
  <si>
    <t>14</t>
  </si>
  <si>
    <t>Studiu de caz: Sistem de monitorizare și de conducere cu calculatorul a punctelor termice din rețeaua de termoficare a municipiului Iași</t>
  </si>
  <si>
    <t xml:space="preserve">Bibliografie curs:
1. Diaconescu E., Achiziții de date și instrumentație. Fundamente hardware, Matrix Rom , București, 2006
2. Park J. and Mackay S., Practical Data Acquisition for Instrumentation and Control Systems, Elsevier, 2003
3. James K., PC Interfacing and Data Acquisition: Techniques for Measurement, Instrumentation and Control, Newness, 2000
4. Austerlitz H., Data Acquisition. Techniques Using PCs, Academic Press, 2003
5.  ***, Instruments Fundamentals. Complete Guide, National Instruments, NI.com
6. Mastacan L., Note de curs: Sisteme de achiziție și interfețe de proces, Platforma Moodle
</t>
  </si>
  <si>
    <t>9.2a Seminar</t>
  </si>
  <si>
    <t>Metode de lucru</t>
  </si>
  <si>
    <t>9.2b Laborator</t>
  </si>
  <si>
    <t>Echipamente de automatizare (specializate, unificate, numerice)</t>
  </si>
  <si>
    <t xml:space="preserve">Prezentarea tematicii laboratoarelor pe baza referatelor în format pdf.
Discuții cu studenții referitor la partea teoretică și partea experimentală a laboratoarelor.
Partea experimentală a laboratoarelor se execută în grupe formate din 3-4 studenți.
Lucrările de laborator se finalizează prin întocmirea de referate individuale, punându-se accentul pe modul de prelucrare a rezultatelor experimentale şi pe modul de interpretare a acestora .
</t>
  </si>
  <si>
    <t>Mediul de programare LabVIEW - P1</t>
  </si>
  <si>
    <t>Mediul de programare LabVIEW - P2</t>
  </si>
  <si>
    <t>Mediul de programare LabVIEW - P3</t>
  </si>
  <si>
    <t>Placa de achiziție de date USB 6009. Configurare în software-urile MAX (Measurement &amp; Automation Explorer) și NI-DAQmx pentru achiziția și comanda semnalelor analogice de tensiune sau digitale și pentru verificarea numărătorului încorporat.</t>
  </si>
  <si>
    <t>Placile de achiziție de date PCI 6024E; PCMCIA 6024E. Configurare în software-urile MAX (Measurement &amp; Automation Explorer) și NI-DAQmx pentru achiziția și comanda semnalelor analogice de tensiune sau digitale și pentru verificarea numărătoarelor încorporate.</t>
  </si>
  <si>
    <t>Instrumentație virtuală în mediul de programare LabVIEW pentru achiziția și comanda semnalelor analogice de tensiune sau digitale utilizând placa de achiziție de date USB 6009.</t>
  </si>
  <si>
    <t>Instrumentație virtuală în mediul de programare LabVIEW pentru achiziția și comanda semnalelor analogice de tensiune sau digitale utilizând plăcile de achiziție de date PCI 6024E și PCMCIA 6024E.</t>
  </si>
  <si>
    <t>Monitorizarea parametrilor tehnologici (temperatură, presiune, debit, nivel, viteză, poziție, etc.) cu instrumentație virtuală în mediul de programare LabVIEW</t>
  </si>
  <si>
    <t>Sistemul de condiționare a semnalelor National Instruments SC-2345.</t>
  </si>
  <si>
    <t>Sistem de monitorizare a temperaturii unui cuptor electric cu becuri cu radiații infraroșii</t>
  </si>
  <si>
    <t>Instrumentație virtuală și echipamente pentru comanda elementelor de execuție.</t>
  </si>
  <si>
    <t>Sistem de reglare numerică a temperaturii unui cuptor electric cu rezistențe.</t>
  </si>
  <si>
    <t>Recuperări laboratoare absente (sinteza cunoștințelor dobândite la laboratoarele frecventate)</t>
  </si>
  <si>
    <t>9.2c Proiect</t>
  </si>
  <si>
    <t xml:space="preserve">Bibliografie aplicaţii (seminar / laborator / proiect):
1. National Instruments, Data Acquisition and Signal Conditioning Course Manual, 2010
2. Larsen R.W., LabVIEW for Engineers, Prentice Hall, 2011
3. Ehsani B., Data Acquisition Using LabVIEW, Packt Publishing, Birmingham, UK, 2016
4. Mastacan L., Lucrări de laborator: Sisteme de achiziție și interfețe de proces, Platforma Moodle
</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</si>
  <si>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</si>
  <si>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</si>
  <si>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</si>
  <si>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</si>
  <si>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</si>
  <si>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</si>
  <si>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</si>
  <si>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observarea sistematică a studenţilor (teme individuale/ de echipă - temele trebuie efectuate în săptămâna dintre cursuri, pregătirea unui referat - studiu de caz).</t>
  </si>
  <si>
    <t>10%</t>
  </si>
  <si>
    <t>- test de evaluare formativ (verificări pe parcursul semestrului).</t>
  </si>
  <si>
    <t>20%
S7</t>
  </si>
  <si>
    <t>- test de evaluare sumativ (verificare finală).</t>
  </si>
  <si>
    <t>70%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</si>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</sst>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1">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0" borderId="4" xfId="0" applyNumberFormat="1" applyFont="1" applyBorder="1" applyAlignment="1">
      <alignment vertical="top" wrapText="1"/>
    </xf>
    <xf numFmtId="49" fontId="2" fillId="3" borderId="1"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3" borderId="12" xfId="0" applyNumberFormat="1" applyFont="1" applyFill="1" applyBorder="1" applyAlignment="1">
      <alignment horizontal="center" vertical="top"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3.xlsx" TargetMode="External"/><Relationship Id="rId1" Type="http://schemas.openxmlformats.org/officeDocument/2006/relationships/externalLinkPath" Target="/Users/Madalin/Downloads/FD%20AIA%2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TS"/>
      <sheetName val="SMP"/>
      <sheetName val="SAE"/>
      <sheetName val="BD"/>
      <sheetName val="ROB"/>
      <sheetName val="SED"/>
      <sheetName val="IS"/>
      <sheetName val="AC"/>
      <sheetName val="LE III"/>
      <sheetName val="PD"/>
      <sheetName val="PS"/>
      <sheetName val="MAE"/>
      <sheetName val="EHP"/>
      <sheetName val="ISP"/>
      <sheetName val="PIP"/>
      <sheetName val="SVA"/>
      <sheetName val="SAIP"/>
      <sheetName val="PNS"/>
      <sheetName val="MAP"/>
      <sheetName val="SAE-Pr"/>
      <sheetName val="SAIP-Pr"/>
      <sheetName val="PIP-Pr"/>
      <sheetName val="EA"/>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C1" t="str">
            <v>Anul universitar: 2025-2026</v>
          </cell>
        </row>
        <row r="2">
          <cell r="B2" t="str">
            <v>Ingineria sistemelor</v>
          </cell>
        </row>
        <row r="3">
          <cell r="B3" t="str">
            <v>Licență</v>
          </cell>
        </row>
        <row r="4">
          <cell r="B4">
            <v>3</v>
          </cell>
        </row>
        <row r="5">
          <cell r="C5" t="str">
            <v>Automatică și Informatică Aplicată</v>
          </cell>
        </row>
        <row r="8">
          <cell r="A8">
            <v>1</v>
          </cell>
          <cell r="C8" t="str">
            <v>Teoria sistemelor</v>
          </cell>
          <cell r="D8" t="str">
            <v>Systems Theory</v>
          </cell>
          <cell r="E8" t="str">
            <v>AIA301</v>
          </cell>
          <cell r="F8" t="str">
            <v>DI</v>
          </cell>
          <cell r="G8" t="str">
            <v>DD</v>
          </cell>
          <cell r="H8">
            <v>2</v>
          </cell>
          <cell r="I8">
            <v>0</v>
          </cell>
          <cell r="J8">
            <v>2</v>
          </cell>
          <cell r="K8">
            <v>0</v>
          </cell>
          <cell r="L8">
            <v>44</v>
          </cell>
          <cell r="M8" t="str">
            <v>E</v>
          </cell>
          <cell r="N8">
            <v>4</v>
          </cell>
        </row>
        <row r="9">
          <cell r="A9">
            <v>1</v>
          </cell>
          <cell r="C9" t="str">
            <v>Sisteme cu microprocesoare</v>
          </cell>
          <cell r="D9" t="str">
            <v>Microprocessor Based Systems</v>
          </cell>
          <cell r="E9" t="str">
            <v>AIA302</v>
          </cell>
          <cell r="F9" t="str">
            <v>DI</v>
          </cell>
          <cell r="G9" t="str">
            <v>DD</v>
          </cell>
          <cell r="H9">
            <v>2</v>
          </cell>
          <cell r="I9">
            <v>0</v>
          </cell>
          <cell r="J9">
            <v>2</v>
          </cell>
          <cell r="K9">
            <v>0</v>
          </cell>
          <cell r="L9">
            <v>69</v>
          </cell>
          <cell r="M9" t="str">
            <v>C</v>
          </cell>
          <cell r="N9">
            <v>5</v>
          </cell>
        </row>
        <row r="10">
          <cell r="A10">
            <v>1</v>
          </cell>
          <cell r="C10" t="str">
            <v>Sisteme automate cu eșantionare</v>
          </cell>
          <cell r="D10" t="str">
            <v>Sampled Data Control Systems</v>
          </cell>
          <cell r="E10" t="str">
            <v>AIA303</v>
          </cell>
          <cell r="F10" t="str">
            <v>DI</v>
          </cell>
          <cell r="G10" t="str">
            <v>DD</v>
          </cell>
          <cell r="H10">
            <v>2</v>
          </cell>
          <cell r="I10">
            <v>0</v>
          </cell>
          <cell r="J10">
            <v>2</v>
          </cell>
          <cell r="K10">
            <v>0</v>
          </cell>
          <cell r="L10">
            <v>44</v>
          </cell>
          <cell r="M10" t="str">
            <v>C</v>
          </cell>
          <cell r="N10">
            <v>4</v>
          </cell>
        </row>
        <row r="11">
          <cell r="A11">
            <v>1</v>
          </cell>
          <cell r="C11" t="str">
            <v>Baze de date</v>
          </cell>
          <cell r="D11" t="str">
            <v>Database Systems</v>
          </cell>
          <cell r="E11" t="str">
            <v>AIA304</v>
          </cell>
          <cell r="F11" t="str">
            <v>DI</v>
          </cell>
          <cell r="G11" t="str">
            <v>DD</v>
          </cell>
          <cell r="H11">
            <v>2</v>
          </cell>
          <cell r="I11">
            <v>0</v>
          </cell>
          <cell r="J11">
            <v>2</v>
          </cell>
          <cell r="K11">
            <v>0</v>
          </cell>
          <cell r="L11">
            <v>69</v>
          </cell>
          <cell r="M11" t="str">
            <v>E</v>
          </cell>
          <cell r="N11">
            <v>5</v>
          </cell>
        </row>
        <row r="12">
          <cell r="A12">
            <v>2</v>
          </cell>
          <cell r="C12" t="str">
            <v>Robotică</v>
          </cell>
          <cell r="D12" t="str">
            <v>Robotics</v>
          </cell>
          <cell r="E12" t="str">
            <v>AIA305</v>
          </cell>
          <cell r="F12" t="str">
            <v>DI</v>
          </cell>
          <cell r="G12" t="str">
            <v>DD</v>
          </cell>
          <cell r="H12">
            <v>2</v>
          </cell>
          <cell r="I12">
            <v>0</v>
          </cell>
          <cell r="J12">
            <v>2</v>
          </cell>
          <cell r="K12">
            <v>0</v>
          </cell>
          <cell r="L12">
            <v>44</v>
          </cell>
          <cell r="M12" t="str">
            <v>E</v>
          </cell>
          <cell r="N12">
            <v>4</v>
          </cell>
        </row>
        <row r="13">
          <cell r="A13">
            <v>2</v>
          </cell>
          <cell r="C13" t="str">
            <v>Sisteme cu evenimente discrete</v>
          </cell>
          <cell r="D13" t="str">
            <v>Discrete Event Systems</v>
          </cell>
          <cell r="E13" t="str">
            <v>AIA306</v>
          </cell>
          <cell r="F13" t="str">
            <v>DI</v>
          </cell>
          <cell r="G13" t="str">
            <v>DD</v>
          </cell>
          <cell r="H13">
            <v>2</v>
          </cell>
          <cell r="I13">
            <v>0</v>
          </cell>
          <cell r="J13">
            <v>2</v>
          </cell>
          <cell r="K13">
            <v>0</v>
          </cell>
          <cell r="L13">
            <v>19</v>
          </cell>
          <cell r="M13" t="str">
            <v>C</v>
          </cell>
          <cell r="N13">
            <v>3</v>
          </cell>
        </row>
        <row r="14">
          <cell r="A14">
            <v>2</v>
          </cell>
          <cell r="C14" t="str">
            <v>Identificarea sistemelor</v>
          </cell>
          <cell r="D14" t="str">
            <v>Systems Identification</v>
          </cell>
          <cell r="E14" t="str">
            <v>AIA307</v>
          </cell>
          <cell r="F14" t="str">
            <v>DI</v>
          </cell>
          <cell r="G14" t="str">
            <v>DD</v>
          </cell>
          <cell r="H14">
            <v>2</v>
          </cell>
          <cell r="I14">
            <v>0</v>
          </cell>
          <cell r="J14">
            <v>2</v>
          </cell>
          <cell r="K14">
            <v>0</v>
          </cell>
          <cell r="L14">
            <v>44</v>
          </cell>
          <cell r="M14" t="str">
            <v>E</v>
          </cell>
          <cell r="N14">
            <v>4</v>
          </cell>
        </row>
        <row r="15">
          <cell r="A15">
            <v>2</v>
          </cell>
          <cell r="C15" t="str">
            <v>Arhitecturi de calculatoare</v>
          </cell>
          <cell r="D15" t="str">
            <v>Computer Architectures</v>
          </cell>
          <cell r="E15" t="str">
            <v>AIA308</v>
          </cell>
          <cell r="F15" t="str">
            <v>DI</v>
          </cell>
          <cell r="G15" t="str">
            <v>DD</v>
          </cell>
          <cell r="H15">
            <v>2</v>
          </cell>
          <cell r="I15">
            <v>0</v>
          </cell>
          <cell r="J15">
            <v>2</v>
          </cell>
          <cell r="K15">
            <v>0</v>
          </cell>
          <cell r="L15">
            <v>19</v>
          </cell>
          <cell r="M15" t="str">
            <v>C</v>
          </cell>
          <cell r="N15">
            <v>3</v>
          </cell>
        </row>
        <row r="16">
          <cell r="A16">
            <v>1</v>
          </cell>
          <cell r="C16" t="str">
            <v>Limba engleză III</v>
          </cell>
          <cell r="D16" t="str">
            <v>The English Language III</v>
          </cell>
          <cell r="E16" t="str">
            <v>AIA309</v>
          </cell>
          <cell r="F16" t="str">
            <v>DI</v>
          </cell>
          <cell r="G16" t="str">
            <v>DC</v>
          </cell>
          <cell r="H16">
            <v>1</v>
          </cell>
          <cell r="I16">
            <v>1</v>
          </cell>
          <cell r="J16">
            <v>0</v>
          </cell>
          <cell r="K16">
            <v>0</v>
          </cell>
          <cell r="L16">
            <v>22</v>
          </cell>
          <cell r="M16" t="str">
            <v>C</v>
          </cell>
          <cell r="N16">
            <v>2</v>
          </cell>
        </row>
        <row r="17">
          <cell r="A17">
            <v>2</v>
          </cell>
          <cell r="C17" t="str">
            <v>Practică de domeniu</v>
          </cell>
          <cell r="D17" t="str">
            <v>Practical Training in Systems Engineering</v>
          </cell>
          <cell r="E17" t="str">
            <v>AIA310</v>
          </cell>
          <cell r="F17" t="str">
            <v>DI</v>
          </cell>
          <cell r="G17" t="str">
            <v>DD</v>
          </cell>
          <cell r="H17">
            <v>0</v>
          </cell>
          <cell r="I17">
            <v>0</v>
          </cell>
          <cell r="J17">
            <v>0</v>
          </cell>
          <cell r="K17">
            <v>0</v>
          </cell>
          <cell r="L17">
            <v>10</v>
          </cell>
          <cell r="M17" t="str">
            <v>C</v>
          </cell>
          <cell r="N17">
            <v>4</v>
          </cell>
        </row>
        <row r="18">
          <cell r="A18">
            <v>2</v>
          </cell>
          <cell r="C18" t="str">
            <v>Practică de specialitate</v>
          </cell>
          <cell r="D18" t="str">
            <v>Practical Training in Automatic Control and Applied Informatics</v>
          </cell>
          <cell r="E18" t="str">
            <v>AIA311</v>
          </cell>
          <cell r="F18" t="str">
            <v>DI</v>
          </cell>
          <cell r="G18" t="str">
            <v>DS</v>
          </cell>
          <cell r="H18">
            <v>0</v>
          </cell>
          <cell r="I18">
            <v>0</v>
          </cell>
          <cell r="J18">
            <v>0</v>
          </cell>
          <cell r="K18">
            <v>0</v>
          </cell>
          <cell r="L18">
            <v>10</v>
          </cell>
          <cell r="M18" t="str">
            <v>C</v>
          </cell>
          <cell r="N18">
            <v>4</v>
          </cell>
        </row>
        <row r="19">
          <cell r="A19">
            <v>1</v>
          </cell>
          <cell r="C19" t="str">
            <v>Mașini și acționări electrice</v>
          </cell>
          <cell r="D19" t="str">
            <v>Electrical Machines and Drive Systems</v>
          </cell>
          <cell r="E19" t="str">
            <v>A312</v>
          </cell>
          <cell r="F19" t="str">
            <v>DO</v>
          </cell>
          <cell r="G19" t="str">
            <v>DD</v>
          </cell>
          <cell r="H19">
            <v>2</v>
          </cell>
          <cell r="I19">
            <v>0</v>
          </cell>
          <cell r="J19">
            <v>2</v>
          </cell>
          <cell r="K19">
            <v>0</v>
          </cell>
          <cell r="L19">
            <v>69</v>
          </cell>
          <cell r="M19" t="str">
            <v>E</v>
          </cell>
          <cell r="N19">
            <v>5</v>
          </cell>
        </row>
        <row r="20">
          <cell r="A20">
            <v>1</v>
          </cell>
          <cell r="C20" t="str">
            <v>Echipamente hidropneumatice</v>
          </cell>
          <cell r="D20" t="str">
            <v>Hydraulic and Pneumatic Control Systems</v>
          </cell>
          <cell r="E20" t="str">
            <v>A313</v>
          </cell>
          <cell r="F20" t="str">
            <v>DO</v>
          </cell>
          <cell r="G20" t="str">
            <v>DS</v>
          </cell>
          <cell r="H20">
            <v>2</v>
          </cell>
          <cell r="I20">
            <v>0</v>
          </cell>
          <cell r="J20">
            <v>2</v>
          </cell>
          <cell r="K20">
            <v>0</v>
          </cell>
          <cell r="L20">
            <v>69</v>
          </cell>
          <cell r="M20" t="str">
            <v>E</v>
          </cell>
          <cell r="N20">
            <v>5</v>
          </cell>
        </row>
        <row r="21">
          <cell r="A21">
            <v>1</v>
          </cell>
          <cell r="C21" t="str">
            <v>Ingineria sistemelor de programe</v>
          </cell>
          <cell r="D21" t="str">
            <v>Software Engineering</v>
          </cell>
          <cell r="E21" t="str">
            <v>IA314</v>
          </cell>
          <cell r="F21" t="str">
            <v>DO</v>
          </cell>
          <cell r="G21" t="str">
            <v>DD</v>
          </cell>
          <cell r="H21">
            <v>2</v>
          </cell>
          <cell r="I21">
            <v>0</v>
          </cell>
          <cell r="J21">
            <v>2</v>
          </cell>
          <cell r="K21">
            <v>0</v>
          </cell>
          <cell r="L21">
            <v>69</v>
          </cell>
          <cell r="M21" t="str">
            <v>E</v>
          </cell>
          <cell r="N21">
            <v>5</v>
          </cell>
        </row>
        <row r="22">
          <cell r="A22">
            <v>1</v>
          </cell>
          <cell r="C22" t="str">
            <v>Programare independentă de platformă</v>
          </cell>
          <cell r="D22" t="str">
            <v>Platform Independent Programming</v>
          </cell>
          <cell r="E22" t="str">
            <v>IA315</v>
          </cell>
          <cell r="F22" t="str">
            <v>DO</v>
          </cell>
          <cell r="G22" t="str">
            <v>DS</v>
          </cell>
          <cell r="H22">
            <v>2</v>
          </cell>
          <cell r="I22">
            <v>0</v>
          </cell>
          <cell r="J22">
            <v>2</v>
          </cell>
          <cell r="K22">
            <v>0</v>
          </cell>
          <cell r="L22">
            <v>69</v>
          </cell>
          <cell r="M22" t="str">
            <v>E</v>
          </cell>
          <cell r="N22">
            <v>5</v>
          </cell>
        </row>
        <row r="23">
          <cell r="A23">
            <v>2</v>
          </cell>
          <cell r="C23" t="str">
            <v>Sisteme de vedere artificială</v>
          </cell>
          <cell r="D23" t="str">
            <v>Computer Vision</v>
          </cell>
          <cell r="E23" t="str">
            <v>A316</v>
          </cell>
          <cell r="F23" t="str">
            <v>DO</v>
          </cell>
          <cell r="G23" t="str">
            <v>DS</v>
          </cell>
          <cell r="H23">
            <v>2</v>
          </cell>
          <cell r="I23">
            <v>0</v>
          </cell>
          <cell r="J23">
            <v>2</v>
          </cell>
          <cell r="K23">
            <v>0</v>
          </cell>
          <cell r="L23">
            <v>19</v>
          </cell>
          <cell r="M23" t="str">
            <v>E</v>
          </cell>
          <cell r="N23">
            <v>3</v>
          </cell>
        </row>
        <row r="24">
          <cell r="A24">
            <v>2</v>
          </cell>
          <cell r="C24" t="str">
            <v>Sisteme de achizitie și interfețe de proces</v>
          </cell>
          <cell r="D24" t="str">
            <v>Aquisition Systems and Process Interfaces</v>
          </cell>
          <cell r="E24" t="str">
            <v>A317</v>
          </cell>
          <cell r="F24" t="str">
            <v>DO</v>
          </cell>
          <cell r="G24" t="str">
            <v>DS</v>
          </cell>
          <cell r="H24">
            <v>2</v>
          </cell>
          <cell r="I24">
            <v>0</v>
          </cell>
          <cell r="J24">
            <v>2</v>
          </cell>
          <cell r="K24">
            <v>0</v>
          </cell>
          <cell r="L24">
            <v>19</v>
          </cell>
          <cell r="M24" t="str">
            <v>E</v>
          </cell>
          <cell r="N24">
            <v>3</v>
          </cell>
        </row>
        <row r="33">
          <cell r="C33">
            <v>45915</v>
          </cell>
        </row>
        <row r="34">
          <cell r="C34">
            <v>45918</v>
          </cell>
        </row>
        <row r="35">
          <cell r="C35" t="str">
            <v>Conf.dr.ing. Mihai POSTOLACHE</v>
          </cell>
        </row>
        <row r="36">
          <cell r="C36"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23CFE-EA1C-4543-B65D-E9F0D30982D2}">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INDEX([1]Date!D8:D24, MATCH(E12,[1]Date!C8:C24,0),0)</f>
        <v>Aquisition Systems and Process Interfaces</v>
      </c>
      <c r="F13" s="18"/>
      <c r="G13" s="18"/>
      <c r="H13" s="18"/>
      <c r="I13" s="18"/>
      <c r="J13" s="18"/>
      <c r="K13" s="18"/>
      <c r="L13" s="18"/>
      <c r="M13" s="19"/>
      <c r="N13" s="5"/>
    </row>
    <row r="14" spans="1:14" ht="15.5" x14ac:dyDescent="0.35">
      <c r="A14" s="7" t="s">
        <v>15</v>
      </c>
      <c r="B14" s="8"/>
      <c r="C14" s="8"/>
      <c r="D14" s="10"/>
      <c r="E14" s="21" t="str">
        <f t="array" aca="1" ref="E14" ca="1">INDEX([1]Date!E8:E24, MATCH(E12,[1]Date!C8:C24,0),0)</f>
        <v>A317</v>
      </c>
      <c r="F14" s="18"/>
      <c r="G14" s="18"/>
      <c r="H14" s="18"/>
      <c r="I14" s="7" t="s">
        <v>16</v>
      </c>
      <c r="J14" s="8"/>
      <c r="K14" s="8"/>
      <c r="L14" s="10"/>
      <c r="M14" s="22" t="str">
        <f t="array" aca="1" ref="M14" ca="1">INDEX([1]Date!G8:G24, MATCH(E12,[1]Date!C8:C24,0),0)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3</v>
      </c>
      <c r="D23" s="28" t="s">
        <v>21</v>
      </c>
      <c r="E23" s="27">
        <f t="array" aca="1" ref="E23" ca="1">INDEX([1]Date!A8:A24, MATCH(E12,[1]Date!C8:C24,0),0)</f>
        <v>2</v>
      </c>
      <c r="F23" s="29" t="s">
        <v>22</v>
      </c>
      <c r="G23" s="8"/>
      <c r="H23" s="10"/>
      <c r="I23" s="22" t="str">
        <f t="array" aca="1" ref="I23" ca="1">INDEX([1]Date!M8:M24, MATCH(E12,[1]Date!C8:C24,0),0)</f>
        <v>E</v>
      </c>
      <c r="J23" s="29" t="s">
        <v>23</v>
      </c>
      <c r="K23" s="8"/>
      <c r="L23" s="10"/>
      <c r="M23" s="27" t="str">
        <f t="array" aca="1" ref="M23" ca="1">INDEX([1]Date!F8:F24, MATCH(E12,[1]Date!C8:C24,0),0)</f>
        <v>DO</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4</v>
      </c>
      <c r="D26" s="28" t="s">
        <v>26</v>
      </c>
      <c r="E26" s="27">
        <f t="array" aca="1" ref="E26" ca="1">INDEX([1]Date!H8:H24, MATCH(E12,[1]Date!C8:C24,0),0)</f>
        <v>2</v>
      </c>
      <c r="F26" s="28" t="s">
        <v>27</v>
      </c>
      <c r="G26" s="27">
        <f t="array" aca="1" ref="G26" ca="1">INDEX([1]Date!I8:I24, MATCH(E12,[1]Date!C8:C24,0),0)</f>
        <v>0</v>
      </c>
      <c r="H26" s="28" t="s">
        <v>28</v>
      </c>
      <c r="I26" s="31">
        <f t="array" aca="1" ref="I26" ca="1">INDEX([1]Date!J8:J24, MATCH(E12,[1]Date!C8:C24,0),0)</f>
        <v>2</v>
      </c>
      <c r="J26" s="28" t="s">
        <v>29</v>
      </c>
      <c r="K26" s="27">
        <f t="array" aca="1" ref="K26" ca="1">INDEX([1]Date!K8:K24, MATCH(E12,[1]Date!C8:C24,0),0)</f>
        <v>0</v>
      </c>
      <c r="L26" s="7" t="s">
        <v>30</v>
      </c>
      <c r="M26" s="10"/>
      <c r="N26" s="30"/>
    </row>
    <row r="27" spans="1:14" ht="31" x14ac:dyDescent="0.35">
      <c r="A27" s="7" t="s">
        <v>31</v>
      </c>
      <c r="B27" s="10"/>
      <c r="C27" s="27">
        <f ca="1">C26*14</f>
        <v>56</v>
      </c>
      <c r="D27" s="28" t="s">
        <v>32</v>
      </c>
      <c r="E27" s="27">
        <f ca="1">E26*14</f>
        <v>28</v>
      </c>
      <c r="F27" s="28" t="s">
        <v>33</v>
      </c>
      <c r="G27" s="27">
        <f ca="1">G26*14</f>
        <v>0</v>
      </c>
      <c r="H27" s="28" t="s">
        <v>34</v>
      </c>
      <c r="I27" s="27">
        <f ca="1">I26*14</f>
        <v>28</v>
      </c>
      <c r="J27" s="28" t="s">
        <v>35</v>
      </c>
      <c r="K27" s="27">
        <f ca="1">K26*14</f>
        <v>0</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v>8</v>
      </c>
      <c r="N29" s="5"/>
    </row>
    <row r="30" spans="1:14" ht="15.5" x14ac:dyDescent="0.35">
      <c r="A30" s="7" t="s">
        <v>40</v>
      </c>
      <c r="B30" s="8"/>
      <c r="C30" s="8"/>
      <c r="D30" s="8"/>
      <c r="E30" s="8"/>
      <c r="F30" s="8"/>
      <c r="G30" s="8"/>
      <c r="H30" s="8"/>
      <c r="I30" s="8"/>
      <c r="J30" s="8"/>
      <c r="K30" s="8"/>
      <c r="L30" s="10"/>
      <c r="M30" s="32">
        <v>5</v>
      </c>
      <c r="N30" s="5"/>
    </row>
    <row r="31" spans="1:14" ht="15.5" x14ac:dyDescent="0.35">
      <c r="A31" s="7" t="s">
        <v>41</v>
      </c>
      <c r="B31" s="8"/>
      <c r="C31" s="8"/>
      <c r="D31" s="8"/>
      <c r="E31" s="8"/>
      <c r="F31" s="8"/>
      <c r="G31" s="8"/>
      <c r="H31" s="8"/>
      <c r="I31" s="8"/>
      <c r="J31" s="8"/>
      <c r="K31" s="8"/>
      <c r="L31" s="10"/>
      <c r="M31" s="32">
        <v>6</v>
      </c>
      <c r="N31" s="5"/>
    </row>
    <row r="32" spans="1:14" ht="15.5" x14ac:dyDescent="0.35">
      <c r="A32" s="7" t="s">
        <v>42</v>
      </c>
      <c r="B32" s="8"/>
      <c r="C32" s="8"/>
      <c r="D32" s="8"/>
      <c r="E32" s="8"/>
      <c r="F32" s="8"/>
      <c r="G32" s="8"/>
      <c r="H32" s="8"/>
      <c r="I32" s="8"/>
      <c r="J32" s="8"/>
      <c r="K32" s="8"/>
      <c r="L32" s="10"/>
      <c r="M32" s="27">
        <f t="array" aca="1" ref="M32" ca="1">IF(INDEX([1]Date!M8:M24, MATCH(E12,[1]Date!C8:C24,0),0)="E",3,0)</f>
        <v>3</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INDEX([1]Date!L8:L24, MATCH(E12,[1]Date!C8:C24,0),0)</f>
        <v>19</v>
      </c>
      <c r="D34" s="5"/>
      <c r="E34" s="5"/>
      <c r="F34" s="5"/>
      <c r="G34" s="5"/>
      <c r="H34" s="5"/>
      <c r="I34" s="5"/>
      <c r="J34" s="5"/>
      <c r="K34" s="5"/>
      <c r="L34" s="5"/>
      <c r="M34" s="5"/>
      <c r="N34" s="5"/>
    </row>
    <row r="35" spans="1:14" ht="15.5" x14ac:dyDescent="0.35">
      <c r="A35" s="7" t="s">
        <v>45</v>
      </c>
      <c r="B35" s="10"/>
      <c r="C35" s="27">
        <f ca="1">C27+C34</f>
        <v>75</v>
      </c>
      <c r="D35" s="5"/>
      <c r="E35" s="5"/>
      <c r="F35" s="5"/>
      <c r="G35" s="5"/>
      <c r="H35" s="5"/>
      <c r="I35" s="5"/>
      <c r="J35" s="5"/>
      <c r="K35" s="5"/>
      <c r="L35" s="5"/>
      <c r="M35" s="5"/>
      <c r="N35" s="5"/>
    </row>
    <row r="36" spans="1:14" ht="15.5" x14ac:dyDescent="0.35">
      <c r="A36" s="7" t="s">
        <v>46</v>
      </c>
      <c r="B36" s="10"/>
      <c r="C36" s="27">
        <f t="array" aca="1" ref="C36" ca="1">INDEX([1]Date!N8:N24, MATCH(E12,[1]Date!C8:C24,0),0)</f>
        <v>3</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t="s">
        <v>51</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t="s">
        <v>54</v>
      </c>
      <c r="D43" s="8"/>
      <c r="E43" s="8"/>
      <c r="F43" s="8"/>
      <c r="G43" s="8"/>
      <c r="H43" s="8"/>
      <c r="I43" s="8"/>
      <c r="J43" s="8"/>
      <c r="K43" s="8"/>
      <c r="L43" s="8"/>
      <c r="M43" s="10"/>
      <c r="N43" s="30"/>
    </row>
    <row r="44" spans="1:14" ht="15.5" x14ac:dyDescent="0.35">
      <c r="A44" s="7" t="s">
        <v>55</v>
      </c>
      <c r="B44" s="10"/>
      <c r="C44" s="23" t="s">
        <v>56</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57</v>
      </c>
      <c r="B46" s="2"/>
      <c r="C46" s="2"/>
      <c r="D46" s="2"/>
      <c r="E46" s="2"/>
      <c r="F46" s="2"/>
      <c r="G46" s="2"/>
      <c r="H46" s="2"/>
      <c r="I46" s="2"/>
      <c r="J46" s="2"/>
      <c r="K46" s="2"/>
      <c r="L46" s="2"/>
      <c r="M46" s="2"/>
      <c r="N46" s="30"/>
    </row>
    <row r="47" spans="1:14" ht="62.25" customHeight="1" x14ac:dyDescent="0.35">
      <c r="A47" s="23" t="s">
        <v>58</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59</v>
      </c>
      <c r="B49" s="2"/>
      <c r="C49" s="2"/>
      <c r="D49" s="2"/>
      <c r="E49" s="2"/>
      <c r="F49" s="2"/>
      <c r="G49" s="2"/>
      <c r="H49" s="2"/>
      <c r="I49" s="2"/>
      <c r="J49" s="2"/>
      <c r="K49" s="2"/>
      <c r="L49" s="2"/>
      <c r="M49" s="2"/>
      <c r="N49" s="30"/>
    </row>
    <row r="50" spans="1:14" ht="15.5" x14ac:dyDescent="0.35">
      <c r="A50" s="33" t="s">
        <v>60</v>
      </c>
      <c r="B50" s="34" t="s">
        <v>61</v>
      </c>
      <c r="C50" s="8"/>
      <c r="D50" s="8"/>
      <c r="E50" s="8"/>
      <c r="F50" s="8"/>
      <c r="G50" s="8"/>
      <c r="H50" s="8"/>
      <c r="I50" s="8"/>
      <c r="J50" s="8"/>
      <c r="K50" s="8"/>
      <c r="L50" s="8"/>
      <c r="M50" s="10"/>
      <c r="N50" s="5"/>
    </row>
    <row r="51" spans="1:14" ht="15.5" x14ac:dyDescent="0.35">
      <c r="A51" s="35"/>
      <c r="B51" s="36" t="s">
        <v>62</v>
      </c>
      <c r="C51" s="8"/>
      <c r="D51" s="8"/>
      <c r="E51" s="8"/>
      <c r="F51" s="8"/>
      <c r="G51" s="8"/>
      <c r="H51" s="8"/>
      <c r="I51" s="8"/>
      <c r="J51" s="8"/>
      <c r="K51" s="8"/>
      <c r="L51" s="8"/>
      <c r="M51" s="10"/>
      <c r="N51" s="5"/>
    </row>
    <row r="52" spans="1:14" ht="15.5" x14ac:dyDescent="0.35">
      <c r="A52" s="33" t="s">
        <v>63</v>
      </c>
      <c r="B52" s="34" t="s">
        <v>61</v>
      </c>
      <c r="C52" s="8"/>
      <c r="D52" s="8"/>
      <c r="E52" s="8"/>
      <c r="F52" s="8"/>
      <c r="G52" s="8"/>
      <c r="H52" s="8"/>
      <c r="I52" s="8"/>
      <c r="J52" s="8"/>
      <c r="K52" s="8"/>
      <c r="L52" s="8"/>
      <c r="M52" s="10"/>
      <c r="N52" s="5"/>
    </row>
    <row r="53" spans="1:14" ht="198" customHeight="1" x14ac:dyDescent="0.35">
      <c r="A53" s="35"/>
      <c r="B53" s="36" t="s">
        <v>64</v>
      </c>
      <c r="C53" s="8"/>
      <c r="D53" s="8"/>
      <c r="E53" s="8"/>
      <c r="F53" s="8"/>
      <c r="G53" s="8"/>
      <c r="H53" s="8"/>
      <c r="I53" s="8"/>
      <c r="J53" s="8"/>
      <c r="K53" s="8"/>
      <c r="L53" s="8"/>
      <c r="M53" s="10"/>
      <c r="N53" s="5"/>
    </row>
    <row r="54" spans="1:14" ht="18" customHeight="1" x14ac:dyDescent="0.35">
      <c r="A54" s="33" t="s">
        <v>65</v>
      </c>
      <c r="B54" s="34" t="s">
        <v>61</v>
      </c>
      <c r="C54" s="8"/>
      <c r="D54" s="8"/>
      <c r="E54" s="8"/>
      <c r="F54" s="8"/>
      <c r="G54" s="8"/>
      <c r="H54" s="8"/>
      <c r="I54" s="8"/>
      <c r="J54" s="8"/>
      <c r="K54" s="8"/>
      <c r="L54" s="8"/>
      <c r="M54" s="10"/>
      <c r="N54" s="5"/>
    </row>
    <row r="55" spans="1:14" ht="104.25" customHeight="1" x14ac:dyDescent="0.35">
      <c r="A55" s="35"/>
      <c r="B55" s="37" t="s">
        <v>66</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67</v>
      </c>
      <c r="B57" s="2"/>
      <c r="C57" s="2"/>
      <c r="D57" s="2"/>
      <c r="E57" s="2"/>
      <c r="F57" s="2"/>
      <c r="G57" s="2"/>
      <c r="H57" s="2"/>
      <c r="I57" s="2"/>
      <c r="J57" s="2"/>
      <c r="K57" s="2"/>
      <c r="L57" s="2"/>
      <c r="M57" s="2"/>
      <c r="N57" s="30"/>
    </row>
    <row r="58" spans="1:14" ht="53.25" customHeight="1" x14ac:dyDescent="0.35">
      <c r="A58" s="23" t="s">
        <v>68</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69</v>
      </c>
      <c r="B60" s="2"/>
      <c r="C60" s="2"/>
      <c r="D60" s="2"/>
      <c r="E60" s="2"/>
      <c r="F60" s="2"/>
      <c r="G60" s="2"/>
      <c r="H60" s="2"/>
      <c r="I60" s="2"/>
      <c r="J60" s="2"/>
      <c r="K60" s="2"/>
      <c r="L60" s="2"/>
      <c r="M60" s="2"/>
      <c r="N60" s="30"/>
    </row>
    <row r="61" spans="1:14" ht="24.75" customHeight="1" x14ac:dyDescent="0.35">
      <c r="A61" s="38" t="s">
        <v>70</v>
      </c>
      <c r="B61" s="8"/>
      <c r="C61" s="8"/>
      <c r="D61" s="8"/>
      <c r="E61" s="8"/>
      <c r="F61" s="8"/>
      <c r="G61" s="10"/>
      <c r="H61" s="38" t="s">
        <v>71</v>
      </c>
      <c r="I61" s="8"/>
      <c r="J61" s="8"/>
      <c r="K61" s="10"/>
      <c r="L61" s="38" t="s">
        <v>72</v>
      </c>
      <c r="M61" s="10"/>
      <c r="N61" s="30"/>
    </row>
    <row r="62" spans="1:14" ht="15.5" x14ac:dyDescent="0.35">
      <c r="A62" s="39" t="s">
        <v>73</v>
      </c>
      <c r="B62" s="23" t="s">
        <v>74</v>
      </c>
      <c r="C62" s="8"/>
      <c r="D62" s="8"/>
      <c r="E62" s="8"/>
      <c r="F62" s="8"/>
      <c r="G62" s="10"/>
      <c r="H62" s="40" t="s">
        <v>75</v>
      </c>
      <c r="I62" s="14"/>
      <c r="J62" s="14"/>
      <c r="K62" s="15"/>
      <c r="L62" s="41">
        <v>2</v>
      </c>
      <c r="M62" s="10"/>
      <c r="N62" s="5"/>
    </row>
    <row r="63" spans="1:14" ht="15.5" x14ac:dyDescent="0.35">
      <c r="A63" s="39" t="s">
        <v>76</v>
      </c>
      <c r="B63" s="23" t="s">
        <v>77</v>
      </c>
      <c r="C63" s="8"/>
      <c r="D63" s="8"/>
      <c r="E63" s="8"/>
      <c r="F63" s="8"/>
      <c r="G63" s="10"/>
      <c r="H63" s="25"/>
      <c r="I63" s="2"/>
      <c r="J63" s="2"/>
      <c r="K63" s="26"/>
      <c r="L63" s="41">
        <v>2</v>
      </c>
      <c r="M63" s="10"/>
      <c r="N63" s="5"/>
    </row>
    <row r="64" spans="1:14" ht="15.5" x14ac:dyDescent="0.35">
      <c r="A64" s="39" t="s">
        <v>78</v>
      </c>
      <c r="B64" s="23" t="s">
        <v>79</v>
      </c>
      <c r="C64" s="8"/>
      <c r="D64" s="8"/>
      <c r="E64" s="8"/>
      <c r="F64" s="8"/>
      <c r="G64" s="10"/>
      <c r="H64" s="25"/>
      <c r="I64" s="2"/>
      <c r="J64" s="2"/>
      <c r="K64" s="26"/>
      <c r="L64" s="41">
        <v>2</v>
      </c>
      <c r="M64" s="10"/>
      <c r="N64" s="5"/>
    </row>
    <row r="65" spans="1:14" ht="15.5" x14ac:dyDescent="0.35">
      <c r="A65" s="39" t="s">
        <v>80</v>
      </c>
      <c r="B65" s="23" t="s">
        <v>81</v>
      </c>
      <c r="C65" s="8"/>
      <c r="D65" s="8"/>
      <c r="E65" s="8"/>
      <c r="F65" s="8"/>
      <c r="G65" s="10"/>
      <c r="H65" s="25"/>
      <c r="I65" s="2"/>
      <c r="J65" s="2"/>
      <c r="K65" s="26"/>
      <c r="L65" s="41">
        <v>2</v>
      </c>
      <c r="M65" s="10"/>
      <c r="N65" s="5"/>
    </row>
    <row r="66" spans="1:14" ht="15.5" x14ac:dyDescent="0.35">
      <c r="A66" s="39" t="s">
        <v>82</v>
      </c>
      <c r="B66" s="23" t="s">
        <v>83</v>
      </c>
      <c r="C66" s="8"/>
      <c r="D66" s="8"/>
      <c r="E66" s="8"/>
      <c r="F66" s="8"/>
      <c r="G66" s="10"/>
      <c r="H66" s="25"/>
      <c r="I66" s="2"/>
      <c r="J66" s="2"/>
      <c r="K66" s="26"/>
      <c r="L66" s="41">
        <v>2</v>
      </c>
      <c r="M66" s="10"/>
      <c r="N66" s="5"/>
    </row>
    <row r="67" spans="1:14" ht="15.5" x14ac:dyDescent="0.35">
      <c r="A67" s="39" t="s">
        <v>84</v>
      </c>
      <c r="B67" s="23" t="s">
        <v>85</v>
      </c>
      <c r="C67" s="8"/>
      <c r="D67" s="8"/>
      <c r="E67" s="8"/>
      <c r="F67" s="8"/>
      <c r="G67" s="10"/>
      <c r="H67" s="25"/>
      <c r="I67" s="2"/>
      <c r="J67" s="2"/>
      <c r="K67" s="26"/>
      <c r="L67" s="41">
        <v>2</v>
      </c>
      <c r="M67" s="10"/>
      <c r="N67" s="5"/>
    </row>
    <row r="68" spans="1:14" ht="15.5" x14ac:dyDescent="0.35">
      <c r="A68" s="39" t="s">
        <v>86</v>
      </c>
      <c r="B68" s="23" t="s">
        <v>87</v>
      </c>
      <c r="C68" s="8"/>
      <c r="D68" s="8"/>
      <c r="E68" s="8"/>
      <c r="F68" s="8"/>
      <c r="G68" s="10"/>
      <c r="H68" s="25"/>
      <c r="I68" s="2"/>
      <c r="J68" s="2"/>
      <c r="K68" s="26"/>
      <c r="L68" s="41">
        <v>2</v>
      </c>
      <c r="M68" s="10"/>
      <c r="N68" s="5"/>
    </row>
    <row r="69" spans="1:14" ht="15.5" x14ac:dyDescent="0.35">
      <c r="A69" s="39" t="s">
        <v>88</v>
      </c>
      <c r="B69" s="23" t="s">
        <v>89</v>
      </c>
      <c r="C69" s="8"/>
      <c r="D69" s="8"/>
      <c r="E69" s="8"/>
      <c r="F69" s="8"/>
      <c r="G69" s="10"/>
      <c r="H69" s="25"/>
      <c r="I69" s="2"/>
      <c r="J69" s="2"/>
      <c r="K69" s="26"/>
      <c r="L69" s="41">
        <v>2</v>
      </c>
      <c r="M69" s="10"/>
      <c r="N69" s="5"/>
    </row>
    <row r="70" spans="1:14" ht="15.5" x14ac:dyDescent="0.35">
      <c r="A70" s="39" t="s">
        <v>90</v>
      </c>
      <c r="B70" s="23" t="s">
        <v>91</v>
      </c>
      <c r="C70" s="8"/>
      <c r="D70" s="8"/>
      <c r="E70" s="8"/>
      <c r="F70" s="8"/>
      <c r="G70" s="10"/>
      <c r="H70" s="25"/>
      <c r="I70" s="2"/>
      <c r="J70" s="2"/>
      <c r="K70" s="26"/>
      <c r="L70" s="41">
        <v>2</v>
      </c>
      <c r="M70" s="10"/>
      <c r="N70" s="5"/>
    </row>
    <row r="71" spans="1:14" ht="15.5" x14ac:dyDescent="0.35">
      <c r="A71" s="39" t="s">
        <v>92</v>
      </c>
      <c r="B71" s="23" t="s">
        <v>93</v>
      </c>
      <c r="C71" s="8"/>
      <c r="D71" s="8"/>
      <c r="E71" s="8"/>
      <c r="F71" s="8"/>
      <c r="G71" s="10"/>
      <c r="H71" s="25"/>
      <c r="I71" s="2"/>
      <c r="J71" s="2"/>
      <c r="K71" s="26"/>
      <c r="L71" s="41">
        <v>2</v>
      </c>
      <c r="M71" s="10"/>
      <c r="N71" s="5"/>
    </row>
    <row r="72" spans="1:14" ht="15.5" x14ac:dyDescent="0.35">
      <c r="A72" s="39" t="s">
        <v>94</v>
      </c>
      <c r="B72" s="23" t="s">
        <v>95</v>
      </c>
      <c r="C72" s="8"/>
      <c r="D72" s="8"/>
      <c r="E72" s="8"/>
      <c r="F72" s="8"/>
      <c r="G72" s="10"/>
      <c r="H72" s="25"/>
      <c r="I72" s="2"/>
      <c r="J72" s="2"/>
      <c r="K72" s="26"/>
      <c r="L72" s="41">
        <v>2</v>
      </c>
      <c r="M72" s="10"/>
      <c r="N72" s="5"/>
    </row>
    <row r="73" spans="1:14" ht="15.5" x14ac:dyDescent="0.35">
      <c r="A73" s="39" t="s">
        <v>96</v>
      </c>
      <c r="B73" s="23" t="s">
        <v>97</v>
      </c>
      <c r="C73" s="8"/>
      <c r="D73" s="8"/>
      <c r="E73" s="8"/>
      <c r="F73" s="8"/>
      <c r="G73" s="10"/>
      <c r="H73" s="25"/>
      <c r="I73" s="2"/>
      <c r="J73" s="2"/>
      <c r="K73" s="26"/>
      <c r="L73" s="41">
        <v>2</v>
      </c>
      <c r="M73" s="10"/>
      <c r="N73" s="5"/>
    </row>
    <row r="74" spans="1:14" ht="15.5" x14ac:dyDescent="0.35">
      <c r="A74" s="39" t="s">
        <v>98</v>
      </c>
      <c r="B74" s="23" t="s">
        <v>99</v>
      </c>
      <c r="C74" s="8"/>
      <c r="D74" s="8"/>
      <c r="E74" s="8"/>
      <c r="F74" s="8"/>
      <c r="G74" s="10"/>
      <c r="H74" s="25"/>
      <c r="I74" s="2"/>
      <c r="J74" s="2"/>
      <c r="K74" s="26"/>
      <c r="L74" s="41">
        <v>2</v>
      </c>
      <c r="M74" s="10"/>
      <c r="N74" s="5"/>
    </row>
    <row r="75" spans="1:14" ht="15.5" x14ac:dyDescent="0.35">
      <c r="A75" s="39" t="s">
        <v>100</v>
      </c>
      <c r="B75" s="23" t="s">
        <v>101</v>
      </c>
      <c r="C75" s="8"/>
      <c r="D75" s="8"/>
      <c r="E75" s="8"/>
      <c r="F75" s="8"/>
      <c r="G75" s="10"/>
      <c r="H75" s="24"/>
      <c r="I75" s="18"/>
      <c r="J75" s="18"/>
      <c r="K75" s="19"/>
      <c r="L75" s="41">
        <v>2</v>
      </c>
      <c r="M75" s="10"/>
      <c r="N75" s="5"/>
    </row>
    <row r="76" spans="1:14" ht="15.5" x14ac:dyDescent="0.35">
      <c r="A76" s="37" t="s">
        <v>102</v>
      </c>
      <c r="B76" s="8"/>
      <c r="C76" s="8"/>
      <c r="D76" s="8"/>
      <c r="E76" s="8"/>
      <c r="F76" s="8"/>
      <c r="G76" s="8"/>
      <c r="H76" s="8"/>
      <c r="I76" s="8"/>
      <c r="J76" s="8"/>
      <c r="K76" s="8"/>
      <c r="L76" s="8"/>
      <c r="M76" s="10"/>
      <c r="N76" s="5"/>
    </row>
    <row r="77" spans="1:14" ht="24.75" hidden="1" customHeight="1" x14ac:dyDescent="0.35">
      <c r="A77" s="38" t="s">
        <v>103</v>
      </c>
      <c r="B77" s="8"/>
      <c r="C77" s="8"/>
      <c r="D77" s="8"/>
      <c r="E77" s="8"/>
      <c r="F77" s="8"/>
      <c r="G77" s="10"/>
      <c r="H77" s="38" t="s">
        <v>104</v>
      </c>
      <c r="I77" s="8"/>
      <c r="J77" s="8"/>
      <c r="K77" s="10"/>
      <c r="L77" s="38" t="s">
        <v>72</v>
      </c>
      <c r="M77" s="10"/>
      <c r="N77" s="30"/>
    </row>
    <row r="78" spans="1:14" ht="15.5" hidden="1" x14ac:dyDescent="0.35">
      <c r="A78" s="39" t="s">
        <v>73</v>
      </c>
      <c r="B78" s="23"/>
      <c r="C78" s="8"/>
      <c r="D78" s="8"/>
      <c r="E78" s="8"/>
      <c r="F78" s="8"/>
      <c r="G78" s="10"/>
      <c r="H78" s="40"/>
      <c r="I78" s="14"/>
      <c r="J78" s="14"/>
      <c r="K78" s="15"/>
      <c r="L78" s="23"/>
      <c r="M78" s="10"/>
      <c r="N78" s="5"/>
    </row>
    <row r="79" spans="1:14" ht="15.5" hidden="1" x14ac:dyDescent="0.35">
      <c r="A79" s="39" t="s">
        <v>76</v>
      </c>
      <c r="B79" s="23"/>
      <c r="C79" s="8"/>
      <c r="D79" s="8"/>
      <c r="E79" s="8"/>
      <c r="F79" s="8"/>
      <c r="G79" s="10"/>
      <c r="H79" s="25"/>
      <c r="I79" s="2"/>
      <c r="J79" s="2"/>
      <c r="K79" s="26"/>
      <c r="L79" s="23"/>
      <c r="M79" s="10"/>
      <c r="N79" s="5"/>
    </row>
    <row r="80" spans="1:14" ht="15.5" hidden="1" x14ac:dyDescent="0.35">
      <c r="A80" s="39" t="s">
        <v>78</v>
      </c>
      <c r="B80" s="23"/>
      <c r="C80" s="8"/>
      <c r="D80" s="8"/>
      <c r="E80" s="8"/>
      <c r="F80" s="8"/>
      <c r="G80" s="10"/>
      <c r="H80" s="25"/>
      <c r="I80" s="2"/>
      <c r="J80" s="2"/>
      <c r="K80" s="26"/>
      <c r="L80" s="23"/>
      <c r="M80" s="10"/>
      <c r="N80" s="5"/>
    </row>
    <row r="81" spans="1:14" ht="15.5" hidden="1" x14ac:dyDescent="0.35">
      <c r="A81" s="39" t="s">
        <v>80</v>
      </c>
      <c r="B81" s="23"/>
      <c r="C81" s="8"/>
      <c r="D81" s="8"/>
      <c r="E81" s="8"/>
      <c r="F81" s="8"/>
      <c r="G81" s="10"/>
      <c r="H81" s="25"/>
      <c r="I81" s="2"/>
      <c r="J81" s="2"/>
      <c r="K81" s="26"/>
      <c r="L81" s="23"/>
      <c r="M81" s="10"/>
      <c r="N81" s="5"/>
    </row>
    <row r="82" spans="1:14" ht="15.5" hidden="1" x14ac:dyDescent="0.35">
      <c r="A82" s="39" t="s">
        <v>82</v>
      </c>
      <c r="B82" s="23"/>
      <c r="C82" s="8"/>
      <c r="D82" s="8"/>
      <c r="E82" s="8"/>
      <c r="F82" s="8"/>
      <c r="G82" s="10"/>
      <c r="H82" s="25"/>
      <c r="I82" s="2"/>
      <c r="J82" s="2"/>
      <c r="K82" s="26"/>
      <c r="L82" s="23"/>
      <c r="M82" s="10"/>
      <c r="N82" s="5"/>
    </row>
    <row r="83" spans="1:14" ht="15.5" hidden="1" x14ac:dyDescent="0.35">
      <c r="A83" s="39" t="s">
        <v>84</v>
      </c>
      <c r="B83" s="23"/>
      <c r="C83" s="8"/>
      <c r="D83" s="8"/>
      <c r="E83" s="8"/>
      <c r="F83" s="8"/>
      <c r="G83" s="10"/>
      <c r="H83" s="25"/>
      <c r="I83" s="2"/>
      <c r="J83" s="2"/>
      <c r="K83" s="26"/>
      <c r="L83" s="23"/>
      <c r="M83" s="10"/>
      <c r="N83" s="5"/>
    </row>
    <row r="84" spans="1:14" ht="15.5" hidden="1" x14ac:dyDescent="0.35">
      <c r="A84" s="39" t="s">
        <v>86</v>
      </c>
      <c r="B84" s="23"/>
      <c r="C84" s="8"/>
      <c r="D84" s="8"/>
      <c r="E84" s="8"/>
      <c r="F84" s="8"/>
      <c r="G84" s="10"/>
      <c r="H84" s="25"/>
      <c r="I84" s="2"/>
      <c r="J84" s="2"/>
      <c r="K84" s="26"/>
      <c r="L84" s="23"/>
      <c r="M84" s="10"/>
      <c r="N84" s="5"/>
    </row>
    <row r="85" spans="1:14" ht="15.5" hidden="1" x14ac:dyDescent="0.35">
      <c r="A85" s="39" t="s">
        <v>88</v>
      </c>
      <c r="B85" s="23"/>
      <c r="C85" s="8"/>
      <c r="D85" s="8"/>
      <c r="E85" s="8"/>
      <c r="F85" s="8"/>
      <c r="G85" s="10"/>
      <c r="H85" s="25"/>
      <c r="I85" s="2"/>
      <c r="J85" s="2"/>
      <c r="K85" s="26"/>
      <c r="L85" s="23"/>
      <c r="M85" s="10"/>
      <c r="N85" s="5"/>
    </row>
    <row r="86" spans="1:14" ht="15.5" hidden="1" x14ac:dyDescent="0.35">
      <c r="A86" s="39" t="s">
        <v>90</v>
      </c>
      <c r="B86" s="23"/>
      <c r="C86" s="8"/>
      <c r="D86" s="8"/>
      <c r="E86" s="8"/>
      <c r="F86" s="8"/>
      <c r="G86" s="10"/>
      <c r="H86" s="25"/>
      <c r="I86" s="2"/>
      <c r="J86" s="2"/>
      <c r="K86" s="26"/>
      <c r="L86" s="23"/>
      <c r="M86" s="10"/>
      <c r="N86" s="5"/>
    </row>
    <row r="87" spans="1:14" ht="15.5" hidden="1" x14ac:dyDescent="0.35">
      <c r="A87" s="39" t="s">
        <v>92</v>
      </c>
      <c r="B87" s="23"/>
      <c r="C87" s="8"/>
      <c r="D87" s="8"/>
      <c r="E87" s="8"/>
      <c r="F87" s="8"/>
      <c r="G87" s="10"/>
      <c r="H87" s="25"/>
      <c r="I87" s="2"/>
      <c r="J87" s="2"/>
      <c r="K87" s="26"/>
      <c r="L87" s="23"/>
      <c r="M87" s="10"/>
      <c r="N87" s="5"/>
    </row>
    <row r="88" spans="1:14" ht="15.5" hidden="1" x14ac:dyDescent="0.35">
      <c r="A88" s="39" t="s">
        <v>94</v>
      </c>
      <c r="B88" s="23"/>
      <c r="C88" s="8"/>
      <c r="D88" s="8"/>
      <c r="E88" s="8"/>
      <c r="F88" s="8"/>
      <c r="G88" s="10"/>
      <c r="H88" s="25"/>
      <c r="I88" s="2"/>
      <c r="J88" s="2"/>
      <c r="K88" s="26"/>
      <c r="L88" s="23"/>
      <c r="M88" s="10"/>
      <c r="N88" s="5"/>
    </row>
    <row r="89" spans="1:14" ht="15.5" hidden="1" x14ac:dyDescent="0.35">
      <c r="A89" s="39" t="s">
        <v>96</v>
      </c>
      <c r="B89" s="23"/>
      <c r="C89" s="8"/>
      <c r="D89" s="8"/>
      <c r="E89" s="8"/>
      <c r="F89" s="8"/>
      <c r="G89" s="10"/>
      <c r="H89" s="25"/>
      <c r="I89" s="2"/>
      <c r="J89" s="2"/>
      <c r="K89" s="26"/>
      <c r="L89" s="23"/>
      <c r="M89" s="10"/>
      <c r="N89" s="5"/>
    </row>
    <row r="90" spans="1:14" ht="15.5" hidden="1" x14ac:dyDescent="0.35">
      <c r="A90" s="39" t="s">
        <v>98</v>
      </c>
      <c r="B90" s="23"/>
      <c r="C90" s="8"/>
      <c r="D90" s="8"/>
      <c r="E90" s="8"/>
      <c r="F90" s="8"/>
      <c r="G90" s="10"/>
      <c r="H90" s="25"/>
      <c r="I90" s="2"/>
      <c r="J90" s="2"/>
      <c r="K90" s="26"/>
      <c r="L90" s="23"/>
      <c r="M90" s="10"/>
      <c r="N90" s="5"/>
    </row>
    <row r="91" spans="1:14" ht="15.5" hidden="1" x14ac:dyDescent="0.35">
      <c r="A91" s="39" t="s">
        <v>100</v>
      </c>
      <c r="B91" s="23"/>
      <c r="C91" s="8"/>
      <c r="D91" s="8"/>
      <c r="E91" s="8"/>
      <c r="F91" s="8"/>
      <c r="G91" s="10"/>
      <c r="H91" s="24"/>
      <c r="I91" s="18"/>
      <c r="J91" s="18"/>
      <c r="K91" s="19"/>
      <c r="L91" s="23"/>
      <c r="M91" s="10"/>
      <c r="N91" s="5"/>
    </row>
    <row r="92" spans="1:14" ht="24" customHeight="1" x14ac:dyDescent="0.35">
      <c r="A92" s="38" t="s">
        <v>105</v>
      </c>
      <c r="B92" s="8"/>
      <c r="C92" s="8"/>
      <c r="D92" s="8"/>
      <c r="E92" s="8"/>
      <c r="F92" s="8"/>
      <c r="G92" s="10"/>
      <c r="H92" s="38" t="s">
        <v>104</v>
      </c>
      <c r="I92" s="8"/>
      <c r="J92" s="8"/>
      <c r="K92" s="10"/>
      <c r="L92" s="38" t="s">
        <v>72</v>
      </c>
      <c r="M92" s="10"/>
      <c r="N92" s="30"/>
    </row>
    <row r="93" spans="1:14" ht="15.5" x14ac:dyDescent="0.35">
      <c r="A93" s="39" t="s">
        <v>73</v>
      </c>
      <c r="B93" s="23" t="s">
        <v>106</v>
      </c>
      <c r="C93" s="8"/>
      <c r="D93" s="8"/>
      <c r="E93" s="8"/>
      <c r="F93" s="8"/>
      <c r="G93" s="10"/>
      <c r="H93" s="40" t="s">
        <v>107</v>
      </c>
      <c r="I93" s="14"/>
      <c r="J93" s="14"/>
      <c r="K93" s="15"/>
      <c r="L93" s="41">
        <v>2</v>
      </c>
      <c r="M93" s="10"/>
      <c r="N93" s="5"/>
    </row>
    <row r="94" spans="1:14" ht="15.5" x14ac:dyDescent="0.35">
      <c r="A94" s="39" t="s">
        <v>76</v>
      </c>
      <c r="B94" s="23" t="s">
        <v>108</v>
      </c>
      <c r="C94" s="8"/>
      <c r="D94" s="8"/>
      <c r="E94" s="8"/>
      <c r="F94" s="8"/>
      <c r="G94" s="10"/>
      <c r="H94" s="25"/>
      <c r="I94" s="2"/>
      <c r="J94" s="2"/>
      <c r="K94" s="26"/>
      <c r="L94" s="41">
        <v>2</v>
      </c>
      <c r="M94" s="10"/>
      <c r="N94" s="5"/>
    </row>
    <row r="95" spans="1:14" ht="15.5" x14ac:dyDescent="0.35">
      <c r="A95" s="39" t="s">
        <v>78</v>
      </c>
      <c r="B95" s="23" t="s">
        <v>109</v>
      </c>
      <c r="C95" s="8"/>
      <c r="D95" s="8"/>
      <c r="E95" s="8"/>
      <c r="F95" s="8"/>
      <c r="G95" s="10"/>
      <c r="H95" s="25"/>
      <c r="I95" s="2"/>
      <c r="J95" s="2"/>
      <c r="K95" s="26"/>
      <c r="L95" s="41">
        <v>2</v>
      </c>
      <c r="M95" s="10"/>
      <c r="N95" s="5"/>
    </row>
    <row r="96" spans="1:14" ht="15.5" x14ac:dyDescent="0.35">
      <c r="A96" s="39" t="s">
        <v>80</v>
      </c>
      <c r="B96" s="23" t="s">
        <v>110</v>
      </c>
      <c r="C96" s="8"/>
      <c r="D96" s="8"/>
      <c r="E96" s="8"/>
      <c r="F96" s="8"/>
      <c r="G96" s="10"/>
      <c r="H96" s="25"/>
      <c r="I96" s="2"/>
      <c r="J96" s="2"/>
      <c r="K96" s="26"/>
      <c r="L96" s="41">
        <v>2</v>
      </c>
      <c r="M96" s="10"/>
      <c r="N96" s="5"/>
    </row>
    <row r="97" spans="1:14" ht="15.5" x14ac:dyDescent="0.35">
      <c r="A97" s="39" t="s">
        <v>82</v>
      </c>
      <c r="B97" s="23" t="s">
        <v>111</v>
      </c>
      <c r="C97" s="8"/>
      <c r="D97" s="8"/>
      <c r="E97" s="8"/>
      <c r="F97" s="8"/>
      <c r="G97" s="10"/>
      <c r="H97" s="25"/>
      <c r="I97" s="2"/>
      <c r="J97" s="2"/>
      <c r="K97" s="26"/>
      <c r="L97" s="41">
        <v>2</v>
      </c>
      <c r="M97" s="10"/>
      <c r="N97" s="5"/>
    </row>
    <row r="98" spans="1:14" ht="15.5" x14ac:dyDescent="0.35">
      <c r="A98" s="39" t="s">
        <v>84</v>
      </c>
      <c r="B98" s="23" t="s">
        <v>112</v>
      </c>
      <c r="C98" s="8"/>
      <c r="D98" s="8"/>
      <c r="E98" s="8"/>
      <c r="F98" s="8"/>
      <c r="G98" s="10"/>
      <c r="H98" s="25"/>
      <c r="I98" s="2"/>
      <c r="J98" s="2"/>
      <c r="K98" s="26"/>
      <c r="L98" s="41">
        <v>2</v>
      </c>
      <c r="M98" s="10"/>
      <c r="N98" s="5"/>
    </row>
    <row r="99" spans="1:14" ht="15.5" x14ac:dyDescent="0.35">
      <c r="A99" s="39" t="s">
        <v>86</v>
      </c>
      <c r="B99" s="23" t="s">
        <v>113</v>
      </c>
      <c r="C99" s="8"/>
      <c r="D99" s="8"/>
      <c r="E99" s="8"/>
      <c r="F99" s="8"/>
      <c r="G99" s="10"/>
      <c r="H99" s="25"/>
      <c r="I99" s="2"/>
      <c r="J99" s="2"/>
      <c r="K99" s="26"/>
      <c r="L99" s="41">
        <v>2</v>
      </c>
      <c r="M99" s="10"/>
      <c r="N99" s="5"/>
    </row>
    <row r="100" spans="1:14" ht="15.5" x14ac:dyDescent="0.35">
      <c r="A100" s="39" t="s">
        <v>88</v>
      </c>
      <c r="B100" s="23" t="s">
        <v>114</v>
      </c>
      <c r="C100" s="8"/>
      <c r="D100" s="8"/>
      <c r="E100" s="8"/>
      <c r="F100" s="8"/>
      <c r="G100" s="10"/>
      <c r="H100" s="25"/>
      <c r="I100" s="2"/>
      <c r="J100" s="2"/>
      <c r="K100" s="26"/>
      <c r="L100" s="41">
        <v>2</v>
      </c>
      <c r="M100" s="10"/>
      <c r="N100" s="5"/>
    </row>
    <row r="101" spans="1:14" ht="15.5" x14ac:dyDescent="0.35">
      <c r="A101" s="39" t="s">
        <v>90</v>
      </c>
      <c r="B101" s="23" t="s">
        <v>115</v>
      </c>
      <c r="C101" s="8"/>
      <c r="D101" s="8"/>
      <c r="E101" s="8"/>
      <c r="F101" s="8"/>
      <c r="G101" s="10"/>
      <c r="H101" s="25"/>
      <c r="I101" s="2"/>
      <c r="J101" s="2"/>
      <c r="K101" s="26"/>
      <c r="L101" s="41">
        <v>2</v>
      </c>
      <c r="M101" s="10"/>
      <c r="N101" s="5"/>
    </row>
    <row r="102" spans="1:14" ht="15.5" x14ac:dyDescent="0.35">
      <c r="A102" s="39" t="s">
        <v>92</v>
      </c>
      <c r="B102" s="23" t="s">
        <v>116</v>
      </c>
      <c r="C102" s="8"/>
      <c r="D102" s="8"/>
      <c r="E102" s="8"/>
      <c r="F102" s="8"/>
      <c r="G102" s="10"/>
      <c r="H102" s="25"/>
      <c r="I102" s="2"/>
      <c r="J102" s="2"/>
      <c r="K102" s="26"/>
      <c r="L102" s="41">
        <v>2</v>
      </c>
      <c r="M102" s="10"/>
      <c r="N102" s="5"/>
    </row>
    <row r="103" spans="1:14" ht="15.5" x14ac:dyDescent="0.35">
      <c r="A103" s="39" t="s">
        <v>94</v>
      </c>
      <c r="B103" s="23" t="s">
        <v>117</v>
      </c>
      <c r="C103" s="8"/>
      <c r="D103" s="8"/>
      <c r="E103" s="8"/>
      <c r="F103" s="8"/>
      <c r="G103" s="10"/>
      <c r="H103" s="25"/>
      <c r="I103" s="2"/>
      <c r="J103" s="2"/>
      <c r="K103" s="26"/>
      <c r="L103" s="41">
        <v>2</v>
      </c>
      <c r="M103" s="10"/>
      <c r="N103" s="5"/>
    </row>
    <row r="104" spans="1:14" ht="15.5" x14ac:dyDescent="0.35">
      <c r="A104" s="39" t="s">
        <v>96</v>
      </c>
      <c r="B104" s="23" t="s">
        <v>118</v>
      </c>
      <c r="C104" s="8"/>
      <c r="D104" s="8"/>
      <c r="E104" s="8"/>
      <c r="F104" s="8"/>
      <c r="G104" s="10"/>
      <c r="H104" s="25"/>
      <c r="I104" s="2"/>
      <c r="J104" s="2"/>
      <c r="K104" s="26"/>
      <c r="L104" s="41">
        <v>2</v>
      </c>
      <c r="M104" s="10"/>
      <c r="N104" s="5"/>
    </row>
    <row r="105" spans="1:14" ht="15.5" x14ac:dyDescent="0.35">
      <c r="A105" s="39" t="s">
        <v>98</v>
      </c>
      <c r="B105" s="23" t="s">
        <v>119</v>
      </c>
      <c r="C105" s="8"/>
      <c r="D105" s="8"/>
      <c r="E105" s="8"/>
      <c r="F105" s="8"/>
      <c r="G105" s="10"/>
      <c r="H105" s="25"/>
      <c r="I105" s="2"/>
      <c r="J105" s="2"/>
      <c r="K105" s="26"/>
      <c r="L105" s="41">
        <v>2</v>
      </c>
      <c r="M105" s="10"/>
      <c r="N105" s="5"/>
    </row>
    <row r="106" spans="1:14" ht="15.5" x14ac:dyDescent="0.35">
      <c r="A106" s="39" t="s">
        <v>100</v>
      </c>
      <c r="B106" s="23" t="s">
        <v>120</v>
      </c>
      <c r="C106" s="8"/>
      <c r="D106" s="8"/>
      <c r="E106" s="8"/>
      <c r="F106" s="8"/>
      <c r="G106" s="10"/>
      <c r="H106" s="24"/>
      <c r="I106" s="18"/>
      <c r="J106" s="18"/>
      <c r="K106" s="19"/>
      <c r="L106" s="41">
        <v>2</v>
      </c>
      <c r="M106" s="10"/>
      <c r="N106" s="5"/>
    </row>
    <row r="107" spans="1:14" ht="24" hidden="1" customHeight="1" x14ac:dyDescent="0.35">
      <c r="A107" s="38" t="s">
        <v>121</v>
      </c>
      <c r="B107" s="8"/>
      <c r="C107" s="8"/>
      <c r="D107" s="8"/>
      <c r="E107" s="8"/>
      <c r="F107" s="8"/>
      <c r="G107" s="10"/>
      <c r="H107" s="38" t="s">
        <v>104</v>
      </c>
      <c r="I107" s="8"/>
      <c r="J107" s="8"/>
      <c r="K107" s="10"/>
      <c r="L107" s="38" t="s">
        <v>72</v>
      </c>
      <c r="M107" s="10"/>
      <c r="N107" s="30"/>
    </row>
    <row r="108" spans="1:14" ht="15.5" hidden="1" x14ac:dyDescent="0.35">
      <c r="A108" s="39" t="s">
        <v>73</v>
      </c>
      <c r="B108" s="23"/>
      <c r="C108" s="8"/>
      <c r="D108" s="8"/>
      <c r="E108" s="8"/>
      <c r="F108" s="8"/>
      <c r="G108" s="10"/>
      <c r="H108" s="40"/>
      <c r="I108" s="14"/>
      <c r="J108" s="14"/>
      <c r="K108" s="15"/>
      <c r="L108" s="23"/>
      <c r="M108" s="10"/>
      <c r="N108" s="5"/>
    </row>
    <row r="109" spans="1:14" ht="15.5" hidden="1" x14ac:dyDescent="0.35">
      <c r="A109" s="39" t="s">
        <v>76</v>
      </c>
      <c r="B109" s="23"/>
      <c r="C109" s="8"/>
      <c r="D109" s="8"/>
      <c r="E109" s="8"/>
      <c r="F109" s="8"/>
      <c r="G109" s="10"/>
      <c r="H109" s="25"/>
      <c r="I109" s="2"/>
      <c r="J109" s="2"/>
      <c r="K109" s="26"/>
      <c r="L109" s="23"/>
      <c r="M109" s="10"/>
      <c r="N109" s="5"/>
    </row>
    <row r="110" spans="1:14" ht="15.5" hidden="1" x14ac:dyDescent="0.35">
      <c r="A110" s="39" t="s">
        <v>78</v>
      </c>
      <c r="B110" s="23"/>
      <c r="C110" s="8"/>
      <c r="D110" s="8"/>
      <c r="E110" s="8"/>
      <c r="F110" s="8"/>
      <c r="G110" s="10"/>
      <c r="H110" s="25"/>
      <c r="I110" s="2"/>
      <c r="J110" s="2"/>
      <c r="K110" s="26"/>
      <c r="L110" s="23"/>
      <c r="M110" s="10"/>
      <c r="N110" s="5"/>
    </row>
    <row r="111" spans="1:14" ht="15.5" hidden="1" x14ac:dyDescent="0.35">
      <c r="A111" s="39" t="s">
        <v>80</v>
      </c>
      <c r="B111" s="23"/>
      <c r="C111" s="8"/>
      <c r="D111" s="8"/>
      <c r="E111" s="8"/>
      <c r="F111" s="8"/>
      <c r="G111" s="10"/>
      <c r="H111" s="25"/>
      <c r="I111" s="2"/>
      <c r="J111" s="2"/>
      <c r="K111" s="26"/>
      <c r="L111" s="23"/>
      <c r="M111" s="10"/>
      <c r="N111" s="5"/>
    </row>
    <row r="112" spans="1:14" ht="15.5" hidden="1" x14ac:dyDescent="0.35">
      <c r="A112" s="39" t="s">
        <v>82</v>
      </c>
      <c r="B112" s="23"/>
      <c r="C112" s="8"/>
      <c r="D112" s="8"/>
      <c r="E112" s="8"/>
      <c r="F112" s="8"/>
      <c r="G112" s="10"/>
      <c r="H112" s="25"/>
      <c r="I112" s="2"/>
      <c r="J112" s="2"/>
      <c r="K112" s="26"/>
      <c r="L112" s="23"/>
      <c r="M112" s="10"/>
      <c r="N112" s="5"/>
    </row>
    <row r="113" spans="1:14" ht="15.5" hidden="1" x14ac:dyDescent="0.35">
      <c r="A113" s="39" t="s">
        <v>84</v>
      </c>
      <c r="B113" s="23"/>
      <c r="C113" s="8"/>
      <c r="D113" s="8"/>
      <c r="E113" s="8"/>
      <c r="F113" s="8"/>
      <c r="G113" s="10"/>
      <c r="H113" s="25"/>
      <c r="I113" s="2"/>
      <c r="J113" s="2"/>
      <c r="K113" s="26"/>
      <c r="L113" s="23"/>
      <c r="M113" s="10"/>
      <c r="N113" s="5"/>
    </row>
    <row r="114" spans="1:14" ht="15.5" hidden="1" x14ac:dyDescent="0.35">
      <c r="A114" s="39" t="s">
        <v>86</v>
      </c>
      <c r="B114" s="23"/>
      <c r="C114" s="8"/>
      <c r="D114" s="8"/>
      <c r="E114" s="8"/>
      <c r="F114" s="8"/>
      <c r="G114" s="10"/>
      <c r="H114" s="25"/>
      <c r="I114" s="2"/>
      <c r="J114" s="2"/>
      <c r="K114" s="26"/>
      <c r="L114" s="23"/>
      <c r="M114" s="10"/>
      <c r="N114" s="5"/>
    </row>
    <row r="115" spans="1:14" ht="15.5" hidden="1" x14ac:dyDescent="0.35">
      <c r="A115" s="39" t="s">
        <v>88</v>
      </c>
      <c r="B115" s="23"/>
      <c r="C115" s="8"/>
      <c r="D115" s="8"/>
      <c r="E115" s="8"/>
      <c r="F115" s="8"/>
      <c r="G115" s="10"/>
      <c r="H115" s="25"/>
      <c r="I115" s="2"/>
      <c r="J115" s="2"/>
      <c r="K115" s="26"/>
      <c r="L115" s="23"/>
      <c r="M115" s="10"/>
      <c r="N115" s="5"/>
    </row>
    <row r="116" spans="1:14" ht="15.5" hidden="1" x14ac:dyDescent="0.35">
      <c r="A116" s="39" t="s">
        <v>90</v>
      </c>
      <c r="B116" s="23"/>
      <c r="C116" s="8"/>
      <c r="D116" s="8"/>
      <c r="E116" s="8"/>
      <c r="F116" s="8"/>
      <c r="G116" s="10"/>
      <c r="H116" s="25"/>
      <c r="I116" s="2"/>
      <c r="J116" s="2"/>
      <c r="K116" s="26"/>
      <c r="L116" s="23"/>
      <c r="M116" s="10"/>
      <c r="N116" s="5"/>
    </row>
    <row r="117" spans="1:14" ht="15.5" hidden="1" x14ac:dyDescent="0.35">
      <c r="A117" s="39" t="s">
        <v>92</v>
      </c>
      <c r="B117" s="23"/>
      <c r="C117" s="8"/>
      <c r="D117" s="8"/>
      <c r="E117" s="8"/>
      <c r="F117" s="8"/>
      <c r="G117" s="10"/>
      <c r="H117" s="25"/>
      <c r="I117" s="2"/>
      <c r="J117" s="2"/>
      <c r="K117" s="26"/>
      <c r="L117" s="23"/>
      <c r="M117" s="10"/>
      <c r="N117" s="5"/>
    </row>
    <row r="118" spans="1:14" ht="15.5" hidden="1" x14ac:dyDescent="0.35">
      <c r="A118" s="39" t="s">
        <v>94</v>
      </c>
      <c r="B118" s="23"/>
      <c r="C118" s="8"/>
      <c r="D118" s="8"/>
      <c r="E118" s="8"/>
      <c r="F118" s="8"/>
      <c r="G118" s="10"/>
      <c r="H118" s="25"/>
      <c r="I118" s="2"/>
      <c r="J118" s="2"/>
      <c r="K118" s="26"/>
      <c r="L118" s="23"/>
      <c r="M118" s="10"/>
      <c r="N118" s="5"/>
    </row>
    <row r="119" spans="1:14" ht="15.5" hidden="1" x14ac:dyDescent="0.35">
      <c r="A119" s="39" t="s">
        <v>96</v>
      </c>
      <c r="B119" s="23"/>
      <c r="C119" s="8"/>
      <c r="D119" s="8"/>
      <c r="E119" s="8"/>
      <c r="F119" s="8"/>
      <c r="G119" s="10"/>
      <c r="H119" s="25"/>
      <c r="I119" s="2"/>
      <c r="J119" s="2"/>
      <c r="K119" s="26"/>
      <c r="L119" s="23"/>
      <c r="M119" s="10"/>
      <c r="N119" s="5"/>
    </row>
    <row r="120" spans="1:14" ht="15.5" hidden="1" x14ac:dyDescent="0.35">
      <c r="A120" s="39" t="s">
        <v>98</v>
      </c>
      <c r="B120" s="23"/>
      <c r="C120" s="8"/>
      <c r="D120" s="8"/>
      <c r="E120" s="8"/>
      <c r="F120" s="8"/>
      <c r="G120" s="10"/>
      <c r="H120" s="25"/>
      <c r="I120" s="2"/>
      <c r="J120" s="2"/>
      <c r="K120" s="26"/>
      <c r="L120" s="23"/>
      <c r="M120" s="10"/>
      <c r="N120" s="5"/>
    </row>
    <row r="121" spans="1:14" ht="15.5" hidden="1" x14ac:dyDescent="0.35">
      <c r="A121" s="39" t="s">
        <v>100</v>
      </c>
      <c r="B121" s="23"/>
      <c r="C121" s="8"/>
      <c r="D121" s="8"/>
      <c r="E121" s="8"/>
      <c r="F121" s="8"/>
      <c r="G121" s="10"/>
      <c r="H121" s="24"/>
      <c r="I121" s="18"/>
      <c r="J121" s="18"/>
      <c r="K121" s="19"/>
      <c r="L121" s="23"/>
      <c r="M121" s="10"/>
      <c r="N121" s="5"/>
    </row>
    <row r="122" spans="1:14" ht="15.5" x14ac:dyDescent="0.35">
      <c r="A122" s="23" t="s">
        <v>122</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123</v>
      </c>
      <c r="B124" s="2"/>
      <c r="C124" s="2"/>
      <c r="D124" s="2"/>
      <c r="E124" s="2"/>
      <c r="F124" s="2"/>
      <c r="G124" s="2"/>
      <c r="H124" s="2"/>
      <c r="I124" s="2"/>
      <c r="J124" s="2"/>
      <c r="K124" s="2"/>
      <c r="L124" s="2"/>
      <c r="M124" s="2"/>
      <c r="N124" s="30"/>
    </row>
    <row r="125" spans="1:14" ht="46.5" x14ac:dyDescent="0.35">
      <c r="A125" s="42" t="s">
        <v>124</v>
      </c>
      <c r="B125" s="43" t="s">
        <v>125</v>
      </c>
      <c r="C125" s="8"/>
      <c r="D125" s="8"/>
      <c r="E125" s="8"/>
      <c r="F125" s="8"/>
      <c r="G125" s="10"/>
      <c r="H125" s="43" t="s">
        <v>126</v>
      </c>
      <c r="I125" s="8"/>
      <c r="J125" s="8"/>
      <c r="K125" s="10"/>
      <c r="L125" s="44" t="s">
        <v>127</v>
      </c>
      <c r="M125" s="10"/>
      <c r="N125" s="5"/>
    </row>
    <row r="126" spans="1:14" ht="15.5" x14ac:dyDescent="0.35">
      <c r="A126" s="45" t="s">
        <v>128</v>
      </c>
      <c r="B126" s="46" t="s">
        <v>129</v>
      </c>
      <c r="C126" s="14"/>
      <c r="D126" s="14"/>
      <c r="E126" s="14"/>
      <c r="F126" s="14"/>
      <c r="G126" s="15"/>
      <c r="H126" s="47" t="s">
        <v>130</v>
      </c>
      <c r="I126" s="8"/>
      <c r="J126" s="8"/>
      <c r="K126" s="39" t="s">
        <v>131</v>
      </c>
      <c r="L126" s="48">
        <f>1-SUM(L129:M131)</f>
        <v>0.7</v>
      </c>
      <c r="M126" s="15"/>
      <c r="N126" s="5"/>
    </row>
    <row r="127" spans="1:14" ht="31" x14ac:dyDescent="0.35">
      <c r="A127" s="49"/>
      <c r="B127" s="25"/>
      <c r="C127" s="2"/>
      <c r="D127" s="2"/>
      <c r="E127" s="2"/>
      <c r="F127" s="2"/>
      <c r="G127" s="26"/>
      <c r="H127" s="50" t="s">
        <v>132</v>
      </c>
      <c r="I127" s="8"/>
      <c r="J127" s="8"/>
      <c r="K127" s="51" t="s">
        <v>133</v>
      </c>
      <c r="L127" s="25"/>
      <c r="M127" s="26"/>
      <c r="N127" s="5"/>
    </row>
    <row r="128" spans="1:14" ht="15.5" x14ac:dyDescent="0.35">
      <c r="A128" s="35"/>
      <c r="B128" s="24"/>
      <c r="C128" s="18"/>
      <c r="D128" s="18"/>
      <c r="E128" s="18"/>
      <c r="F128" s="18"/>
      <c r="G128" s="19"/>
      <c r="H128" s="50" t="s">
        <v>134</v>
      </c>
      <c r="I128" s="8"/>
      <c r="J128" s="8"/>
      <c r="K128" s="39" t="s">
        <v>135</v>
      </c>
      <c r="L128" s="24"/>
      <c r="M128" s="19"/>
      <c r="N128" s="5"/>
    </row>
    <row r="129" spans="1:14" ht="68.25" hidden="1" customHeight="1" x14ac:dyDescent="0.35">
      <c r="A129" s="42" t="s">
        <v>136</v>
      </c>
      <c r="B129" s="52" t="s">
        <v>137</v>
      </c>
      <c r="C129" s="8"/>
      <c r="D129" s="8"/>
      <c r="E129" s="8"/>
      <c r="F129" s="8"/>
      <c r="G129" s="10"/>
      <c r="H129" s="50" t="s">
        <v>138</v>
      </c>
      <c r="I129" s="8"/>
      <c r="J129" s="8"/>
      <c r="K129" s="10"/>
      <c r="L129" s="53"/>
      <c r="M129" s="10"/>
      <c r="N129" s="5"/>
    </row>
    <row r="130" spans="1:14" ht="46.5" x14ac:dyDescent="0.35">
      <c r="A130" s="42" t="s">
        <v>139</v>
      </c>
      <c r="B130" s="52" t="s">
        <v>140</v>
      </c>
      <c r="C130" s="8"/>
      <c r="D130" s="8"/>
      <c r="E130" s="8"/>
      <c r="F130" s="8"/>
      <c r="G130" s="10"/>
      <c r="H130" s="50" t="s">
        <v>141</v>
      </c>
      <c r="I130" s="8"/>
      <c r="J130" s="8"/>
      <c r="K130" s="10"/>
      <c r="L130" s="53">
        <v>0.3</v>
      </c>
      <c r="M130" s="10"/>
      <c r="N130" s="5"/>
    </row>
    <row r="131" spans="1:14" ht="31" hidden="1" x14ac:dyDescent="0.35">
      <c r="A131" s="42" t="s">
        <v>142</v>
      </c>
      <c r="B131" s="52" t="s">
        <v>143</v>
      </c>
      <c r="C131" s="8"/>
      <c r="D131" s="8"/>
      <c r="E131" s="8"/>
      <c r="F131" s="8"/>
      <c r="G131" s="10"/>
      <c r="H131" s="50" t="s">
        <v>144</v>
      </c>
      <c r="I131" s="8"/>
      <c r="J131" s="8"/>
      <c r="K131" s="10"/>
      <c r="L131" s="53"/>
      <c r="M131" s="10"/>
      <c r="N131" s="5"/>
    </row>
    <row r="132" spans="1:14" ht="15.5" x14ac:dyDescent="0.35">
      <c r="A132" s="43" t="s">
        <v>145</v>
      </c>
      <c r="B132" s="8"/>
      <c r="C132" s="8"/>
      <c r="D132" s="8"/>
      <c r="E132" s="8"/>
      <c r="F132" s="8"/>
      <c r="G132" s="8"/>
      <c r="H132" s="8"/>
      <c r="I132" s="8"/>
      <c r="J132" s="8"/>
      <c r="K132" s="8"/>
      <c r="L132" s="8"/>
      <c r="M132" s="10"/>
      <c r="N132" s="5"/>
    </row>
    <row r="133" spans="1:14" ht="15.5" x14ac:dyDescent="0.35">
      <c r="A133" s="52" t="s">
        <v>146</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4" t="s">
        <v>147</v>
      </c>
      <c r="B135" s="10"/>
      <c r="C135" s="55">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4" t="s">
        <v>148</v>
      </c>
      <c r="B137" s="10"/>
      <c r="C137" s="9" t="str">
        <f>E15</f>
        <v>conf.dr.ing. Mastacan Lucian</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6" t="s">
        <v>149</v>
      </c>
      <c r="B139" s="15"/>
      <c r="C139" s="9" t="str">
        <f t="shared" ref="C139:C141" si="0">E17</f>
        <v>conf.dr.ing. Mastacan Lucian</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4" t="s">
        <v>150</v>
      </c>
      <c r="B143" s="10"/>
      <c r="C143" s="57">
        <f>[1]Date!C33</f>
        <v>45915</v>
      </c>
      <c r="D143" s="10"/>
      <c r="E143" s="54" t="s">
        <v>151</v>
      </c>
      <c r="F143" s="8"/>
      <c r="G143" s="10"/>
      <c r="H143" s="58" t="str">
        <f>[1]Date!C35</f>
        <v>Conf.dr.ing. Mihai POSTOLACHE</v>
      </c>
      <c r="I143" s="8"/>
      <c r="J143" s="8"/>
      <c r="K143" s="8"/>
      <c r="L143" s="8"/>
      <c r="M143" s="10"/>
      <c r="N143" s="5"/>
    </row>
    <row r="144" spans="1:14" ht="21.75" customHeight="1" x14ac:dyDescent="0.35">
      <c r="A144" s="59"/>
      <c r="B144" s="59"/>
      <c r="C144" s="60"/>
      <c r="D144" s="60"/>
      <c r="E144" s="59"/>
      <c r="F144" s="59"/>
      <c r="G144" s="59"/>
      <c r="H144" s="60"/>
      <c r="I144" s="60"/>
      <c r="J144" s="60"/>
      <c r="K144" s="60"/>
      <c r="L144" s="60"/>
      <c r="M144" s="60"/>
      <c r="N144" s="5"/>
    </row>
    <row r="145" spans="1:14" ht="28.5" customHeight="1" x14ac:dyDescent="0.35">
      <c r="A145" s="54" t="s">
        <v>152</v>
      </c>
      <c r="B145" s="10"/>
      <c r="C145" s="57">
        <f>[1]Date!C34</f>
        <v>45918</v>
      </c>
      <c r="D145" s="10"/>
      <c r="E145" s="54" t="s">
        <v>153</v>
      </c>
      <c r="F145" s="8"/>
      <c r="G145" s="10"/>
      <c r="H145" s="58" t="str">
        <f>[1]Date!C36</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2026-03-01T08:56:39Z</dcterms:created>
  <dcterms:modified xsi:type="dcterms:W3CDTF">2026-03-01T08:56:43Z</dcterms:modified>
</cp:coreProperties>
</file>