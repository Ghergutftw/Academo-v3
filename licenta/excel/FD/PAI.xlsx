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94B9692E-7EF2-49E9-B2BB-2C46C6ACAF0C}" xr6:coauthVersionLast="47" xr6:coauthVersionMax="47" xr10:uidLastSave="{00000000-0000-0000-0000-000000000000}"/>
  <bookViews>
    <workbookView xWindow="-110" yWindow="-110" windowWidth="25820" windowHeight="15500" xr2:uid="{99EE77B6-4205-4861-A403-15B56258CA5B}"/>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K26" i="1" a="1"/>
  <c r="K26" i="1" s="1"/>
  <c r="K27" i="1" s="1"/>
  <c r="E13" i="1" l="1" a="1"/>
  <c r="E13" i="1" s="1"/>
  <c r="E14" i="1" a="1"/>
  <c r="E14" i="1" s="1"/>
  <c r="M14" i="1" a="1"/>
  <c r="M14" i="1" s="1"/>
  <c r="E23" i="1" a="1"/>
  <c r="E23" i="1" s="1"/>
  <c r="I26" i="1" a="1"/>
  <c r="I26" i="1" s="1"/>
  <c r="I27" i="1" s="1"/>
  <c r="M32" i="1" a="1"/>
  <c r="M32" i="1" s="1"/>
  <c r="M23" i="1" a="1"/>
  <c r="M23" i="1" s="1"/>
  <c r="C36" i="1" a="1"/>
  <c r="C36" i="1" s="1"/>
  <c r="I23" i="1" a="1"/>
  <c r="I23" i="1" s="1"/>
  <c r="E26" i="1" a="1"/>
  <c r="E26" i="1" s="1"/>
  <c r="C34" i="1" a="1"/>
  <c r="C34" i="1" s="1"/>
  <c r="M33" i="1" s="1"/>
  <c r="G26" i="1" a="1"/>
  <c r="G26" i="1" s="1"/>
  <c r="G27"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DCC74523-B8B7-44E5-87EB-7A85C61DD909}">
      <text>
        <r>
          <rPr>
            <sz val="10"/>
            <color rgb="FF000000"/>
            <rFont val="Aptos Narrow"/>
            <scheme val="minor"/>
          </rPr>
          <t>Pondere din nota de la E / V</t>
        </r>
      </text>
    </comment>
  </commentList>
</comments>
</file>

<file path=xl/sharedStrings.xml><?xml version="1.0" encoding="utf-8"?>
<sst xmlns="http://schemas.openxmlformats.org/spreadsheetml/2006/main" count="229" uniqueCount="151">
  <si>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</si>
  <si>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</si>
  <si>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</si>
  <si>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</si>
  <si>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</si>
  <si>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</si>
  <si>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</si>
  <si>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</si>
  <si>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</si>
  <si>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</si>
  <si>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</si>
  <si>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</si>
  <si>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</si>
  <si>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Programarea aplicațiilor internet</t>
  </si>
  <si>
    <t>(în limba engleză, conform Suplimentului la diplomă)</t>
  </si>
  <si>
    <t>2.1.2. Codul disciplinei</t>
  </si>
  <si>
    <t xml:space="preserve">2.1.3. Categoria formativă </t>
  </si>
  <si>
    <t>2.2 Titularul / titularii activităţilor de curs</t>
  </si>
  <si>
    <t>Ș. l. dr. ing Florin-Cătălin Brăescu</t>
  </si>
  <si>
    <t>2.3 Titularul / titularii activităţilor de aplicaţii (S, L, P, Pr)</t>
  </si>
  <si>
    <t>Drd. ing. Monica Cocuț</t>
  </si>
  <si>
    <t>Asist. drd. ing. Andrei-Alexandru Mariciuc</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</si>
  <si>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</si>
  <si>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</si>
  <si>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</si>
  <si>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</si>
  <si>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</si>
  <si>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</si>
  <si>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</si>
  <si>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</si>
  <si>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</si>
  <si>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</si>
  <si>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</si>
  <si>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</si>
  <si>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</si>
  <si>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</si>
  <si>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</si>
  <si>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</si>
  <si>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</si>
  <si>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</si>
  <si>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</si>
  <si>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</si>
  <si>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</si>
  <si>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</si>
  <si>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</si>
  <si>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</si>
  <si>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</si>
  <si>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</si>
  <si>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</si>
  <si>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</si>
  <si>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</si>
  <si>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</si>
  <si>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</si>
  <si>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PC I, PC II, SDA, BD</t>
  </si>
  <si>
    <t>5. Condiţii</t>
  </si>
  <si>
    <t>5.1 de desfăşurare a cursului</t>
  </si>
  <si>
    <t>Tabla, videoproiector, calculator cu acces la Internet</t>
  </si>
  <si>
    <t>5.2 de desfăşurare a seminarului / laboratorului / proiectului</t>
  </si>
  <si>
    <t>Rețea de calculatoare cu acces la Internet și platforma de e-learning (Moodle) 
Tablă, videoproiector, software de dezvoltare aplicații web
Cont academic activ</t>
  </si>
  <si>
    <t>6. Obiectivul general al disciplinei</t>
  </si>
  <si>
    <t>Însuşirea cunoştinţelor de bază referitoare la dezvoltarea aplicaţiilor Internet prin limbaje descriptive precum HTML și CSS şi limbaje de programare precum JavaScript şi PHP</t>
  </si>
  <si>
    <t>7. Rezultatele învățării</t>
  </si>
  <si>
    <t>Cunoștințe</t>
  </si>
  <si>
    <t>Studentul / Absolventul:</t>
  </si>
  <si>
    <t xml:space="preserve">- Studentul identifică limbajul de descriere sau de programare potrivit corespunzător implementării unei cerințe ce ține de paginile web
- Studentul ilustrează cum se poate adăuga conținut într-o pagină web
- Studentul ilustrează cum se poate stiliza conținut într-o pagină web
- Studentul explică modul în care pot fi asociate scripturi JavaScript elementelor HTML prin intermediul atributelor de tip eveniment
- Studentul descrie modul în care se lucrează cu metodele și obiectele din JavaScript
- Studentul selecteză limbajul potrivit (JavaScript sau PHP) pentru a implementa cerințe reale privind o pagină web
- Studentul compară cazurile practice în care pot fi folosite metodele de transmitere a datelor din formulare GET și POST
- Studentul ilustrează cum pot fi accesate datele dintr-o bază de date prin intermediul codului PHP
</t>
  </si>
  <si>
    <t>Aptitudini</t>
  </si>
  <si>
    <t>- Studentul testează și experimentează secvențe de cod HTML și CSS care exemplifică modul în care se adaugă și stilizează conținut în pagina web
- Studentul testează și experimentează secvențe de programe JS și PHP care exemplifică modul în care se modifică în mod dinamic conținutul într-o pagina web
- Studentul utilizează aplicațiile WAMP și Visual Studio Code  pentru a dezvolta și testa aplicații web
- Studentul adaptează programele exemplu în JS și PHP pentru a agăuga funcționalități noi într-o pagină web dinamică
- Studentul combină HTML, CSS, JS, PHP și MySQL pentru a crea aplicații web complexe</t>
  </si>
  <si>
    <t>Responsabilitate și autonomie</t>
  </si>
  <si>
    <t>- Studentul colaborează cu colegul de echipă în rezolvarea temei de laborator
- Studentul explică rolul său în echipa și contribuția sa la tema de laborator
- Studentul justifică alegerile facute în rezolvările alese
- Studentul demonstrează spirit de inițiativă în identificarea și integrarea celor mai recente tehnologii și metodologii în domeniul aplicațiilor Internet, actualizând continuu cunoștințele profesionale, economice și culturale relevante.
- Studentul adoptă o conduită responsabilă și etică în proiectarea și programarea aplicațiilor Internet, respectând legislația și normele profesionale pentru a menține integritatea și reputația domeniului.</t>
  </si>
  <si>
    <t xml:space="preserve">8. Metode de predare </t>
  </si>
  <si>
    <t>Prezentarea cunoştinţelor aferente cursului – prezentare la tablă, slide-uri prezentate cu videoproiectorul, discuții cu studenții
Folosirea unor tehnici de predare interactivă; ilustrarea conceptelor pe numeroase probleme/ exerciții/ aplicații
Realizarea de conexiuni cu cunoştinţele însuşite la alte discipline înrudite de la ciclul de licenţă</t>
  </si>
  <si>
    <t>9. Conţinuturi</t>
  </si>
  <si>
    <t>9.1. Curs</t>
  </si>
  <si>
    <t>Metode de predare</t>
  </si>
  <si>
    <t>Timp alocat</t>
  </si>
  <si>
    <t>1</t>
  </si>
  <si>
    <t>Introducere în programarea aplicațiilor Internet(obiectivul general al disciplinei, conținutului disciplinei, rezultatele învățării, legături cu alte discipline, modul de evaluare, scurtă prezentare a limbajelor descriptive și de programare ce vor fi folosite pe parcursul disciplinei)</t>
  </si>
  <si>
    <t>Cursul se desfășoară integral față-în-față. 
a. Prezentarea cunoştinţelor aferente cursului – la tablă și slide-uri prezentate cu videoproiectorul, discuții cu studenții
b. Realizarea de conexiuni cu cunoştinţele însuşite la alte discipline înrudite de la ciclul de licenţă şi verificarea modului în care noile elemente introduse au fost receptate.</t>
  </si>
  <si>
    <t>2 ore</t>
  </si>
  <si>
    <t>2</t>
  </si>
  <si>
    <t>Limbajul HTML - partea I (sintaxa elementelor HTML, atribute HTML, structura unui fisier HTML, etichete HTML de bază și atributele de tip eveniment asociate acestora)</t>
  </si>
  <si>
    <t>3</t>
  </si>
  <si>
    <t>Limbajul HTML - partea a II-a (crearea elementelor HTML de tip imagine, listă ordonată, listă neordonată, legături, ancore, tabele, cadre și formulare și atributele de tip eveniment asociate acestora)</t>
  </si>
  <si>
    <t>4</t>
  </si>
  <si>
    <t>Limbajul CSS - partea I (sintaxă CSS, reguli de stilizare, modalități de definire a stilurilor cascadate, cascadarea stilurilor, selectori contextuali și gruparea elementelor de selecție, definirea stilurilor pentru fundal, text și fonturi)</t>
  </si>
  <si>
    <t>5</t>
  </si>
  <si>
    <t>Limbajul CSS - partea a II-a (pseudo-clase și pseudo-elemente, modelul de tip "cutie" al elementelor HTML, elemente de tip "block" și "inline", poziționarea elementelor în pagina HTML)</t>
  </si>
  <si>
    <t>6</t>
  </si>
  <si>
    <t>Limbajul JavaScript - partea I (sintaxa JavaScript, variabile, operatori, instrucțiuni condiționale și repetitive, funcții, ferestre de dialog, asocierea de cod JavaScript atributelor HTML de tip eveniment)</t>
  </si>
  <si>
    <t>7</t>
  </si>
  <si>
    <t>Predare și evaluare temă - varianta statică</t>
  </si>
  <si>
    <t>8</t>
  </si>
  <si>
    <t>Limbajul JavaScript - partea a II-a (generarea și tratarea excepțiilor în JavaScript, programarea orientată obiect în JavaScript, prezentarea obiectelor de tip String, Array, Date, Boolean, Math și crearea obiectelor definite de către utilizator)</t>
  </si>
  <si>
    <t>9</t>
  </si>
  <si>
    <t>Limbajul JavaScript - partea a III-a (obiecte JavaScript specifice navigatorului)</t>
  </si>
  <si>
    <t>10</t>
  </si>
  <si>
    <t>Limbajul PHP - partea I (sintaxă, variabile, operatori, tipuri de date, tipuri de instrucțiuni și funcții)</t>
  </si>
  <si>
    <t>11</t>
  </si>
  <si>
    <t>Limbajul PHP - partea a II-a (preluarea datelor transmise de formulare, metodele GET și POST, lucrul cu fișiere)</t>
  </si>
  <si>
    <t>12</t>
  </si>
  <si>
    <t>Limbajul PHP - partea a III-a (lucrul în PHP cu baze de date MySQL - creare conexiune, selectarea unei baze de date, realizare interogări, actualizări și ștergeri date)</t>
  </si>
  <si>
    <t>13</t>
  </si>
  <si>
    <t>Limbajul PHP - partea a IV-a (Utilizarea sesiuni și cookie)</t>
  </si>
  <si>
    <t>14</t>
  </si>
  <si>
    <t>Predare și evaluare temă - varianta dinamică</t>
  </si>
  <si>
    <t xml:space="preserve">Bibliografie curs:
1. F.C. Braescu, Note de curs Programarea aplicațiilor Internet, platforma Moodle
2. J. Minnick (2020), Responsive Web Design with HTML 5 &amp; CSS, Ed. Cengage
3. R. Nixon (2021), Learning PHP, MySQL &amp; JavaScript, Ed. O'Reilly
</t>
  </si>
  <si>
    <t>9.2a Seminar</t>
  </si>
  <si>
    <t>Metode de lucru</t>
  </si>
  <si>
    <t>9.2b Laborator</t>
  </si>
  <si>
    <t>Introducere în programarea aplicațiilor Internet (elemente de securitate și sănătate în muncă, componentele și limbajele principale folosite în dezvoltarea unei aplicații Internet, prezentarea instrumentelor software folosite la disciplină)</t>
  </si>
  <si>
    <t>Laboratorul se desfășoară integral față-în-față. 
a. Prezentarea cunoştinţelor aferente lucrărilor de laborator - materiale în format PDF
b. Demonstraţii practice, experimente
c. Discuţii asupra materialelor puse la dispoziţie pentru fiecare lucrare de laborator şi indicaţii de realizare a lucrărilor.
d. Lucru individual și pe echipe la rezolvarea sarcinilor din referatele de laborator.</t>
  </si>
  <si>
    <t>Adăugarea de conținut într-o pagină web (sintaxa elementelor HTML, atribute HTML, structura unui fisier HTML, etichete HTML de bază și atributele de tip eveniment asociate acestora)</t>
  </si>
  <si>
    <t>Adăugarea de conținut într-o pagină web (testează adăugarea de elemente HTML de tip imagine, listă ordonată, listă neordonată, legături, ancore, tabele și formulare într-o pagina web)</t>
  </si>
  <si>
    <t>Elemente de bază privind stilizarea elementelor HTML în CSS(testează adăugarea de reguli de stil prin scripturi interne și fișiere CSS externe la o pagină web)</t>
  </si>
  <si>
    <t>Stilizarea și poziționarea elementelor HTML într-o pagină web (testează și modifică programe simple pentru a înțelege modul în care poate fi poziționat și stilizat conținutul unei pagini web prin intermediul elementelor de tip "div" și al proprietăților CSS specifice)</t>
  </si>
  <si>
    <t>Funcții și ferestre de dialog în JavaScript (testează și modifică programe simple ce scot în evidență modul în care se pot asocia executa scripturi interne sau externe, cum se generează ferestre de dialog și cum se asociază cod JavaScript atributelor HTML de tip eveniment)</t>
  </si>
  <si>
    <t>Programarea orientată obiect în JavaScript (testează și modifică programe simple ce permit lucrul cu obiecte JavaScript și familiarizarea cu membrii și metodele acestora, dar și crearea de obiecte definite de utilizator)</t>
  </si>
  <si>
    <t>Programare avansată în JavaScript (testează și modifică programe exemplu ce implementeaza temporizări și diferite reacții la evenimente ce apar în pagina web)</t>
  </si>
  <si>
    <t>Introducere în PHP (lucrează cu WAMP, pentru a testa și modifica programe simple bazate pe PHP pentru a se familiariza cu sintaxa și scrierea unui program în PHP)</t>
  </si>
  <si>
    <t>Lucrul cu formulare în PHP (testează și modifică programe simple ce evidențiază modul în care sunt preluarea datele transmise de către formulare prin metodele GET sau POST, dar și lucrul cu fișiere)</t>
  </si>
  <si>
    <t>Lucrul în PHP cu baze de date MySQL (testează și modifică programe simple ce evidențiază modul de lucru cu funcții PHP pentru a realiza operații diverse asupra unei baze de date in MySQL)</t>
  </si>
  <si>
    <t>Utilizarea sesiuni și cookie în PHP (testează și modifică programe simple ce evidențiază modul de lucru cu variabilele superglobale $_SESSION și $_COOKIE într-o aplicație web)</t>
  </si>
  <si>
    <t>9.2c Proiect</t>
  </si>
  <si>
    <t xml:space="preserve">Bibliografie aplicaţii (seminar / laborator / proiect):
1. F.C. Braescu, Lucrări de laborator Programarea aplicațiilor Internet, platforma Moodle
2. J. Minnick (2020), Responsive Web Design with HTML 5 &amp; CSS, Ed. Cengage
3. R. Nixon (2021), Learning PHP, MySQL &amp; JavaScript, Ed. O'Reilly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</si>
  <si>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</si>
  <si>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</si>
  <si>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</si>
  <si>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</si>
  <si>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</si>
  <si>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</si>
  <si>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</si>
  <si>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test de evaluare sumativ (verificare finală).</t>
  </si>
  <si>
    <t>100%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</si>
  <si>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</si>
  <si>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</si>
  <si>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</si>
  <si>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</si>
  <si>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</si>
  <si>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lucrărilor de laborator (toate lucrările de laborator trebuie efectuate) - 25%;
 - observarea sistematică a studenţilor (teme de echipă - 2 teme de laborator - prezentare în săptămânile 7 și 14) - 75%.</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</si>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</sst>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8D11-B62E-446A-BFC8-23CD22BD78C4}">
  <dimension ref="A1:N145"/>
  <sheetViews>
    <sheetView tabSelected="1" workbookViewId="0">
      <selection activeCell="S9"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Internet Applications Programming</v>
      </c>
      <c r="F13" s="18"/>
      <c r="G13" s="18"/>
      <c r="H13" s="18"/>
      <c r="I13" s="18"/>
      <c r="J13" s="18"/>
      <c r="K13" s="18"/>
      <c r="L13" s="18"/>
      <c r="M13" s="19"/>
      <c r="N13" s="5"/>
    </row>
    <row r="14" spans="1:14" ht="15.5" x14ac:dyDescent="0.35">
      <c r="A14" s="7" t="s">
        <v>15</v>
      </c>
      <c r="B14" s="8"/>
      <c r="C14" s="8"/>
      <c r="D14" s="10"/>
      <c r="E14" s="21" t="str">
        <f t="array" aca="1" ref="E14" ca="1">INDEX([1]Date!E8:E32, MATCH(E12,[1]Date!C8:C32,0),0)</f>
        <v>IA420</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4</v>
      </c>
      <c r="D23" s="28" t="s">
        <v>23</v>
      </c>
      <c r="E23" s="27">
        <f t="array" aca="1" ref="E23" ca="1">INDEX([1]Date!A8:A32, MATCH(E12,[1]Date!C8:C32,0),0)</f>
        <v>2</v>
      </c>
      <c r="F23" s="29" t="s">
        <v>24</v>
      </c>
      <c r="G23" s="8"/>
      <c r="H23" s="10"/>
      <c r="I23" s="22" t="str">
        <f t="array" aca="1" ref="I23" ca="1">INDEX([1]Date!M8:M32, MATCH(E12,[1]Date!C8:C32,0),0)</f>
        <v>E</v>
      </c>
      <c r="J23" s="29" t="s">
        <v>25</v>
      </c>
      <c r="K23" s="8"/>
      <c r="L23" s="10"/>
      <c r="M23" s="27" t="str">
        <f t="array" aca="1" ref="M23" ca="1">INDEX([1]Date!F8:F32, MATCH(E12,[1]Date!C8:C32,0),0)</f>
        <v>DO</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31">
        <f ca="1">SUM(E26+G26+I26+K26)</f>
        <v>4</v>
      </c>
      <c r="D26" s="28" t="s">
        <v>28</v>
      </c>
      <c r="E26" s="27">
        <f t="array" aca="1" ref="E26" ca="1">INDEX([1]Date!H8:H32, MATCH(E12,[1]Date!C8:C32,0),0)</f>
        <v>2</v>
      </c>
      <c r="F26" s="28" t="s">
        <v>29</v>
      </c>
      <c r="G26" s="27">
        <f t="array" aca="1" ref="G26" ca="1">INDEX([1]Date!I8:I32, MATCH(E12,[1]Date!C8:C32,0),0)</f>
        <v>0</v>
      </c>
      <c r="H26" s="28" t="s">
        <v>30</v>
      </c>
      <c r="I26" s="31">
        <f t="array" aca="1" ref="I26" ca="1">INDEX([1]Date!J8:J32, MATCH(E12,[1]Date!C8:C32,0),0)</f>
        <v>2</v>
      </c>
      <c r="J26" s="28" t="s">
        <v>31</v>
      </c>
      <c r="K26" s="27">
        <f t="array" aca="1" ref="K26" ca="1">INDEX([1]Date!K8:K32, MATCH(E12,[1]Date!C8:C32,0),0)</f>
        <v>0</v>
      </c>
      <c r="L26" s="7" t="s">
        <v>32</v>
      </c>
      <c r="M26" s="10"/>
      <c r="N26" s="30"/>
    </row>
    <row r="27" spans="1:14" ht="31" x14ac:dyDescent="0.35">
      <c r="A27" s="7" t="s">
        <v>33</v>
      </c>
      <c r="B27" s="10"/>
      <c r="C27" s="27">
        <f ca="1">C26*14</f>
        <v>56</v>
      </c>
      <c r="D27" s="28" t="s">
        <v>34</v>
      </c>
      <c r="E27" s="27">
        <f ca="1">E26*14</f>
        <v>28</v>
      </c>
      <c r="F27" s="28" t="s">
        <v>35</v>
      </c>
      <c r="G27" s="27">
        <f ca="1">G26*14</f>
        <v>0</v>
      </c>
      <c r="H27" s="28" t="s">
        <v>36</v>
      </c>
      <c r="I27" s="27">
        <f ca="1">I26*14</f>
        <v>28</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2">
        <v>35</v>
      </c>
      <c r="N29" s="5"/>
    </row>
    <row r="30" spans="1:14" ht="15.5" x14ac:dyDescent="0.35">
      <c r="A30" s="7" t="s">
        <v>42</v>
      </c>
      <c r="B30" s="8"/>
      <c r="C30" s="8"/>
      <c r="D30" s="8"/>
      <c r="E30" s="8"/>
      <c r="F30" s="8"/>
      <c r="G30" s="8"/>
      <c r="H30" s="8"/>
      <c r="I30" s="8"/>
      <c r="J30" s="8"/>
      <c r="K30" s="8"/>
      <c r="L30" s="10"/>
      <c r="M30" s="32">
        <v>20</v>
      </c>
      <c r="N30" s="5"/>
    </row>
    <row r="31" spans="1:14" ht="15.5" x14ac:dyDescent="0.35">
      <c r="A31" s="7" t="s">
        <v>43</v>
      </c>
      <c r="B31" s="8"/>
      <c r="C31" s="8"/>
      <c r="D31" s="8"/>
      <c r="E31" s="8"/>
      <c r="F31" s="8"/>
      <c r="G31" s="8"/>
      <c r="H31" s="8"/>
      <c r="I31" s="8"/>
      <c r="J31" s="8"/>
      <c r="K31" s="8"/>
      <c r="L31" s="10"/>
      <c r="M31" s="32">
        <v>14</v>
      </c>
      <c r="N31" s="5"/>
    </row>
    <row r="32" spans="1:14" ht="15.5" x14ac:dyDescent="0.35">
      <c r="A32" s="7" t="s">
        <v>44</v>
      </c>
      <c r="B32" s="8"/>
      <c r="C32" s="8"/>
      <c r="D32" s="8"/>
      <c r="E32" s="8"/>
      <c r="F32" s="8"/>
      <c r="G32" s="8"/>
      <c r="H32" s="8"/>
      <c r="I32" s="8"/>
      <c r="J32" s="8"/>
      <c r="K32" s="8"/>
      <c r="L32" s="10"/>
      <c r="M32" s="27">
        <f t="array" aca="1" ref="M32" ca="1">IF(INDEX([1]Date!M8:M32, MATCH(E12,[1]Date!C8:C32,0),0)="E",3,0)</f>
        <v>3</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INDEX([1]Date!L8:L32, MATCH(E12,[1]Date!C8:C32,0),0)</f>
        <v>69</v>
      </c>
      <c r="D34" s="5"/>
      <c r="E34" s="5"/>
      <c r="F34" s="5"/>
      <c r="G34" s="5"/>
      <c r="H34" s="5"/>
      <c r="I34" s="5"/>
      <c r="J34" s="5"/>
      <c r="K34" s="5"/>
      <c r="L34" s="5"/>
      <c r="M34" s="5"/>
      <c r="N34" s="5"/>
    </row>
    <row r="35" spans="1:14" ht="15.5" x14ac:dyDescent="0.35">
      <c r="A35" s="7" t="s">
        <v>47</v>
      </c>
      <c r="B35" s="10"/>
      <c r="C35" s="27">
        <f ca="1">C27+C34</f>
        <v>125</v>
      </c>
      <c r="D35" s="5"/>
      <c r="E35" s="5"/>
      <c r="F35" s="5"/>
      <c r="G35" s="5"/>
      <c r="H35" s="5"/>
      <c r="I35" s="5"/>
      <c r="J35" s="5"/>
      <c r="K35" s="5"/>
      <c r="L35" s="5"/>
      <c r="M35" s="5"/>
      <c r="N35" s="5"/>
    </row>
    <row r="36" spans="1:14" ht="15.5" x14ac:dyDescent="0.35">
      <c r="A36" s="7" t="s">
        <v>48</v>
      </c>
      <c r="B36" s="10"/>
      <c r="C36" s="27">
        <f t="array" aca="1" ref="C36" ca="1">INDEX([1]Date!N8:N32, MATCH(E12,[1]Date!C8:C32,0),0)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23" t="s">
        <v>53</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0"/>
    </row>
    <row r="43" spans="1:14" ht="15.5" x14ac:dyDescent="0.35">
      <c r="A43" s="7" t="s">
        <v>55</v>
      </c>
      <c r="B43" s="10"/>
      <c r="C43" s="23" t="s">
        <v>56</v>
      </c>
      <c r="D43" s="8"/>
      <c r="E43" s="8"/>
      <c r="F43" s="8"/>
      <c r="G43" s="8"/>
      <c r="H43" s="8"/>
      <c r="I43" s="8"/>
      <c r="J43" s="8"/>
      <c r="K43" s="8"/>
      <c r="L43" s="8"/>
      <c r="M43" s="10"/>
      <c r="N43" s="30"/>
    </row>
    <row r="44" spans="1:14" ht="15.5" x14ac:dyDescent="0.35">
      <c r="A44" s="7" t="s">
        <v>57</v>
      </c>
      <c r="B44" s="10"/>
      <c r="C44" s="23"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0"/>
    </row>
    <row r="47" spans="1:14" ht="62.25" customHeight="1"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0"/>
    </row>
    <row r="50" spans="1:14" ht="15.5" x14ac:dyDescent="0.35">
      <c r="A50" s="33" t="s">
        <v>62</v>
      </c>
      <c r="B50" s="34" t="s">
        <v>63</v>
      </c>
      <c r="C50" s="8"/>
      <c r="D50" s="8"/>
      <c r="E50" s="8"/>
      <c r="F50" s="8"/>
      <c r="G50" s="8"/>
      <c r="H50" s="8"/>
      <c r="I50" s="8"/>
      <c r="J50" s="8"/>
      <c r="K50" s="8"/>
      <c r="L50" s="8"/>
      <c r="M50" s="10"/>
      <c r="N50" s="5"/>
    </row>
    <row r="51" spans="1:14" ht="15.5" x14ac:dyDescent="0.35">
      <c r="A51" s="35"/>
      <c r="B51" s="36" t="s">
        <v>64</v>
      </c>
      <c r="C51" s="8"/>
      <c r="D51" s="8"/>
      <c r="E51" s="8"/>
      <c r="F51" s="8"/>
      <c r="G51" s="8"/>
      <c r="H51" s="8"/>
      <c r="I51" s="8"/>
      <c r="J51" s="8"/>
      <c r="K51" s="8"/>
      <c r="L51" s="8"/>
      <c r="M51" s="10"/>
      <c r="N51" s="5"/>
    </row>
    <row r="52" spans="1:14" ht="15.5" x14ac:dyDescent="0.35">
      <c r="A52" s="33" t="s">
        <v>65</v>
      </c>
      <c r="B52" s="34" t="s">
        <v>63</v>
      </c>
      <c r="C52" s="8"/>
      <c r="D52" s="8"/>
      <c r="E52" s="8"/>
      <c r="F52" s="8"/>
      <c r="G52" s="8"/>
      <c r="H52" s="8"/>
      <c r="I52" s="8"/>
      <c r="J52" s="8"/>
      <c r="K52" s="8"/>
      <c r="L52" s="8"/>
      <c r="M52" s="10"/>
      <c r="N52" s="5"/>
    </row>
    <row r="53" spans="1:14" ht="15.5" x14ac:dyDescent="0.35">
      <c r="A53" s="35"/>
      <c r="B53" s="36" t="s">
        <v>66</v>
      </c>
      <c r="C53" s="8"/>
      <c r="D53" s="8"/>
      <c r="E53" s="8"/>
      <c r="F53" s="8"/>
      <c r="G53" s="8"/>
      <c r="H53" s="8"/>
      <c r="I53" s="8"/>
      <c r="J53" s="8"/>
      <c r="K53" s="8"/>
      <c r="L53" s="8"/>
      <c r="M53" s="10"/>
      <c r="N53" s="5"/>
    </row>
    <row r="54" spans="1:14" ht="18" customHeight="1" x14ac:dyDescent="0.35">
      <c r="A54" s="33" t="s">
        <v>67</v>
      </c>
      <c r="B54" s="34" t="s">
        <v>63</v>
      </c>
      <c r="C54" s="8"/>
      <c r="D54" s="8"/>
      <c r="E54" s="8"/>
      <c r="F54" s="8"/>
      <c r="G54" s="8"/>
      <c r="H54" s="8"/>
      <c r="I54" s="8"/>
      <c r="J54" s="8"/>
      <c r="K54" s="8"/>
      <c r="L54" s="8"/>
      <c r="M54" s="10"/>
      <c r="N54" s="5"/>
    </row>
    <row r="55" spans="1:14" ht="104.25" customHeight="1" x14ac:dyDescent="0.35">
      <c r="A55" s="35"/>
      <c r="B55" s="37"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0"/>
    </row>
    <row r="58" spans="1:14" ht="53.25" customHeight="1" x14ac:dyDescent="0.35">
      <c r="A58" s="23"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0"/>
    </row>
    <row r="61" spans="1:14" ht="24.75" customHeight="1" x14ac:dyDescent="0.35">
      <c r="A61" s="38" t="s">
        <v>72</v>
      </c>
      <c r="B61" s="8"/>
      <c r="C61" s="8"/>
      <c r="D61" s="8"/>
      <c r="E61" s="8"/>
      <c r="F61" s="8"/>
      <c r="G61" s="10"/>
      <c r="H61" s="38" t="s">
        <v>73</v>
      </c>
      <c r="I61" s="8"/>
      <c r="J61" s="8"/>
      <c r="K61" s="10"/>
      <c r="L61" s="38" t="s">
        <v>74</v>
      </c>
      <c r="M61" s="10"/>
      <c r="N61" s="30"/>
    </row>
    <row r="62" spans="1:14" ht="15.5" x14ac:dyDescent="0.35">
      <c r="A62" s="39" t="s">
        <v>75</v>
      </c>
      <c r="B62" s="23" t="s">
        <v>76</v>
      </c>
      <c r="C62" s="8"/>
      <c r="D62" s="8"/>
      <c r="E62" s="8"/>
      <c r="F62" s="8"/>
      <c r="G62" s="10"/>
      <c r="H62" s="40" t="s">
        <v>77</v>
      </c>
      <c r="I62" s="14"/>
      <c r="J62" s="14"/>
      <c r="K62" s="15"/>
      <c r="L62" s="41" t="s">
        <v>78</v>
      </c>
      <c r="M62" s="10"/>
      <c r="N62" s="5"/>
    </row>
    <row r="63" spans="1:14" ht="15.5" x14ac:dyDescent="0.35">
      <c r="A63" s="39" t="s">
        <v>79</v>
      </c>
      <c r="B63" s="23" t="s">
        <v>80</v>
      </c>
      <c r="C63" s="8"/>
      <c r="D63" s="8"/>
      <c r="E63" s="8"/>
      <c r="F63" s="8"/>
      <c r="G63" s="10"/>
      <c r="H63" s="25"/>
      <c r="I63" s="2"/>
      <c r="J63" s="2"/>
      <c r="K63" s="26"/>
      <c r="L63" s="41" t="s">
        <v>78</v>
      </c>
      <c r="M63" s="10"/>
      <c r="N63" s="5"/>
    </row>
    <row r="64" spans="1:14" ht="15.5" x14ac:dyDescent="0.35">
      <c r="A64" s="39" t="s">
        <v>81</v>
      </c>
      <c r="B64" s="23" t="s">
        <v>82</v>
      </c>
      <c r="C64" s="8"/>
      <c r="D64" s="8"/>
      <c r="E64" s="8"/>
      <c r="F64" s="8"/>
      <c r="G64" s="10"/>
      <c r="H64" s="25"/>
      <c r="I64" s="2"/>
      <c r="J64" s="2"/>
      <c r="K64" s="26"/>
      <c r="L64" s="41" t="s">
        <v>78</v>
      </c>
      <c r="M64" s="10"/>
      <c r="N64" s="5"/>
    </row>
    <row r="65" spans="1:14" ht="15.5" x14ac:dyDescent="0.35">
      <c r="A65" s="39" t="s">
        <v>83</v>
      </c>
      <c r="B65" s="23" t="s">
        <v>84</v>
      </c>
      <c r="C65" s="8"/>
      <c r="D65" s="8"/>
      <c r="E65" s="8"/>
      <c r="F65" s="8"/>
      <c r="G65" s="10"/>
      <c r="H65" s="25"/>
      <c r="I65" s="2"/>
      <c r="J65" s="2"/>
      <c r="K65" s="26"/>
      <c r="L65" s="41" t="s">
        <v>78</v>
      </c>
      <c r="M65" s="10"/>
      <c r="N65" s="5"/>
    </row>
    <row r="66" spans="1:14" ht="15.5" x14ac:dyDescent="0.35">
      <c r="A66" s="39" t="s">
        <v>85</v>
      </c>
      <c r="B66" s="23" t="s">
        <v>86</v>
      </c>
      <c r="C66" s="8"/>
      <c r="D66" s="8"/>
      <c r="E66" s="8"/>
      <c r="F66" s="8"/>
      <c r="G66" s="10"/>
      <c r="H66" s="25"/>
      <c r="I66" s="2"/>
      <c r="J66" s="2"/>
      <c r="K66" s="26"/>
      <c r="L66" s="41" t="s">
        <v>78</v>
      </c>
      <c r="M66" s="10"/>
      <c r="N66" s="5"/>
    </row>
    <row r="67" spans="1:14" ht="15.5" x14ac:dyDescent="0.35">
      <c r="A67" s="39" t="s">
        <v>87</v>
      </c>
      <c r="B67" s="23" t="s">
        <v>88</v>
      </c>
      <c r="C67" s="8"/>
      <c r="D67" s="8"/>
      <c r="E67" s="8"/>
      <c r="F67" s="8"/>
      <c r="G67" s="10"/>
      <c r="H67" s="25"/>
      <c r="I67" s="2"/>
      <c r="J67" s="2"/>
      <c r="K67" s="26"/>
      <c r="L67" s="41" t="s">
        <v>78</v>
      </c>
      <c r="M67" s="10"/>
      <c r="N67" s="5"/>
    </row>
    <row r="68" spans="1:14" ht="15.5" x14ac:dyDescent="0.35">
      <c r="A68" s="39" t="s">
        <v>89</v>
      </c>
      <c r="B68" s="23" t="s">
        <v>90</v>
      </c>
      <c r="C68" s="8"/>
      <c r="D68" s="8"/>
      <c r="E68" s="8"/>
      <c r="F68" s="8"/>
      <c r="G68" s="10"/>
      <c r="H68" s="25"/>
      <c r="I68" s="2"/>
      <c r="J68" s="2"/>
      <c r="K68" s="26"/>
      <c r="L68" s="41" t="s">
        <v>78</v>
      </c>
      <c r="M68" s="10"/>
      <c r="N68" s="5"/>
    </row>
    <row r="69" spans="1:14" ht="15.5" x14ac:dyDescent="0.35">
      <c r="A69" s="39" t="s">
        <v>91</v>
      </c>
      <c r="B69" s="23" t="s">
        <v>92</v>
      </c>
      <c r="C69" s="8"/>
      <c r="D69" s="8"/>
      <c r="E69" s="8"/>
      <c r="F69" s="8"/>
      <c r="G69" s="10"/>
      <c r="H69" s="25"/>
      <c r="I69" s="2"/>
      <c r="J69" s="2"/>
      <c r="K69" s="26"/>
      <c r="L69" s="41" t="s">
        <v>78</v>
      </c>
      <c r="M69" s="10"/>
      <c r="N69" s="5"/>
    </row>
    <row r="70" spans="1:14" ht="15.5" x14ac:dyDescent="0.35">
      <c r="A70" s="39" t="s">
        <v>93</v>
      </c>
      <c r="B70" s="23" t="s">
        <v>94</v>
      </c>
      <c r="C70" s="8"/>
      <c r="D70" s="8"/>
      <c r="E70" s="8"/>
      <c r="F70" s="8"/>
      <c r="G70" s="10"/>
      <c r="H70" s="25"/>
      <c r="I70" s="2"/>
      <c r="J70" s="2"/>
      <c r="K70" s="26"/>
      <c r="L70" s="41" t="s">
        <v>78</v>
      </c>
      <c r="M70" s="10"/>
      <c r="N70" s="5"/>
    </row>
    <row r="71" spans="1:14" ht="15.5" x14ac:dyDescent="0.35">
      <c r="A71" s="39" t="s">
        <v>95</v>
      </c>
      <c r="B71" s="23" t="s">
        <v>96</v>
      </c>
      <c r="C71" s="8"/>
      <c r="D71" s="8"/>
      <c r="E71" s="8"/>
      <c r="F71" s="8"/>
      <c r="G71" s="10"/>
      <c r="H71" s="25"/>
      <c r="I71" s="2"/>
      <c r="J71" s="2"/>
      <c r="K71" s="26"/>
      <c r="L71" s="41" t="s">
        <v>78</v>
      </c>
      <c r="M71" s="10"/>
      <c r="N71" s="5"/>
    </row>
    <row r="72" spans="1:14" ht="15.5" x14ac:dyDescent="0.35">
      <c r="A72" s="39" t="s">
        <v>97</v>
      </c>
      <c r="B72" s="23" t="s">
        <v>98</v>
      </c>
      <c r="C72" s="8"/>
      <c r="D72" s="8"/>
      <c r="E72" s="8"/>
      <c r="F72" s="8"/>
      <c r="G72" s="10"/>
      <c r="H72" s="25"/>
      <c r="I72" s="2"/>
      <c r="J72" s="2"/>
      <c r="K72" s="26"/>
      <c r="L72" s="41" t="s">
        <v>78</v>
      </c>
      <c r="M72" s="10"/>
      <c r="N72" s="5"/>
    </row>
    <row r="73" spans="1:14" ht="15.5" x14ac:dyDescent="0.35">
      <c r="A73" s="39" t="s">
        <v>99</v>
      </c>
      <c r="B73" s="23" t="s">
        <v>100</v>
      </c>
      <c r="C73" s="8"/>
      <c r="D73" s="8"/>
      <c r="E73" s="8"/>
      <c r="F73" s="8"/>
      <c r="G73" s="10"/>
      <c r="H73" s="25"/>
      <c r="I73" s="2"/>
      <c r="J73" s="2"/>
      <c r="K73" s="26"/>
      <c r="L73" s="41" t="s">
        <v>78</v>
      </c>
      <c r="M73" s="10"/>
      <c r="N73" s="5"/>
    </row>
    <row r="74" spans="1:14" ht="15.5" x14ac:dyDescent="0.35">
      <c r="A74" s="39" t="s">
        <v>101</v>
      </c>
      <c r="B74" s="23" t="s">
        <v>102</v>
      </c>
      <c r="C74" s="8"/>
      <c r="D74" s="8"/>
      <c r="E74" s="8"/>
      <c r="F74" s="8"/>
      <c r="G74" s="10"/>
      <c r="H74" s="25"/>
      <c r="I74" s="2"/>
      <c r="J74" s="2"/>
      <c r="K74" s="26"/>
      <c r="L74" s="41" t="s">
        <v>78</v>
      </c>
      <c r="M74" s="10"/>
      <c r="N74" s="5"/>
    </row>
    <row r="75" spans="1:14" ht="15.5" x14ac:dyDescent="0.35">
      <c r="A75" s="39" t="s">
        <v>103</v>
      </c>
      <c r="B75" s="23" t="s">
        <v>104</v>
      </c>
      <c r="C75" s="8"/>
      <c r="D75" s="8"/>
      <c r="E75" s="8"/>
      <c r="F75" s="8"/>
      <c r="G75" s="10"/>
      <c r="H75" s="24"/>
      <c r="I75" s="18"/>
      <c r="J75" s="18"/>
      <c r="K75" s="19"/>
      <c r="L75" s="41" t="s">
        <v>78</v>
      </c>
      <c r="M75" s="10"/>
      <c r="N75" s="5"/>
    </row>
    <row r="76" spans="1:14" ht="84.75" customHeight="1" x14ac:dyDescent="0.35">
      <c r="A76" s="37" t="s">
        <v>105</v>
      </c>
      <c r="B76" s="8"/>
      <c r="C76" s="8"/>
      <c r="D76" s="8"/>
      <c r="E76" s="8"/>
      <c r="F76" s="8"/>
      <c r="G76" s="8"/>
      <c r="H76" s="8"/>
      <c r="I76" s="8"/>
      <c r="J76" s="8"/>
      <c r="K76" s="8"/>
      <c r="L76" s="8"/>
      <c r="M76" s="10"/>
      <c r="N76" s="5"/>
    </row>
    <row r="77" spans="1:14" ht="24.75" hidden="1" customHeight="1" x14ac:dyDescent="0.35">
      <c r="A77" s="38" t="s">
        <v>106</v>
      </c>
      <c r="B77" s="8"/>
      <c r="C77" s="8"/>
      <c r="D77" s="8"/>
      <c r="E77" s="8"/>
      <c r="F77" s="8"/>
      <c r="G77" s="10"/>
      <c r="H77" s="38" t="s">
        <v>107</v>
      </c>
      <c r="I77" s="8"/>
      <c r="J77" s="8"/>
      <c r="K77" s="10"/>
      <c r="L77" s="38" t="s">
        <v>74</v>
      </c>
      <c r="M77" s="10"/>
      <c r="N77" s="30"/>
    </row>
    <row r="78" spans="1:14" ht="15.5" hidden="1" x14ac:dyDescent="0.35">
      <c r="A78" s="39" t="s">
        <v>75</v>
      </c>
      <c r="B78" s="23"/>
      <c r="C78" s="8"/>
      <c r="D78" s="8"/>
      <c r="E78" s="8"/>
      <c r="F78" s="8"/>
      <c r="G78" s="10"/>
      <c r="H78" s="40"/>
      <c r="I78" s="14"/>
      <c r="J78" s="14"/>
      <c r="K78" s="15"/>
      <c r="L78" s="23"/>
      <c r="M78" s="10"/>
      <c r="N78" s="5"/>
    </row>
    <row r="79" spans="1:14" ht="15.5" hidden="1" x14ac:dyDescent="0.35">
      <c r="A79" s="39" t="s">
        <v>79</v>
      </c>
      <c r="B79" s="23"/>
      <c r="C79" s="8"/>
      <c r="D79" s="8"/>
      <c r="E79" s="8"/>
      <c r="F79" s="8"/>
      <c r="G79" s="10"/>
      <c r="H79" s="25"/>
      <c r="I79" s="2"/>
      <c r="J79" s="2"/>
      <c r="K79" s="26"/>
      <c r="L79" s="23"/>
      <c r="M79" s="10"/>
      <c r="N79" s="5"/>
    </row>
    <row r="80" spans="1:14" ht="15.5" hidden="1" x14ac:dyDescent="0.35">
      <c r="A80" s="39" t="s">
        <v>81</v>
      </c>
      <c r="B80" s="23"/>
      <c r="C80" s="8"/>
      <c r="D80" s="8"/>
      <c r="E80" s="8"/>
      <c r="F80" s="8"/>
      <c r="G80" s="10"/>
      <c r="H80" s="25"/>
      <c r="I80" s="2"/>
      <c r="J80" s="2"/>
      <c r="K80" s="26"/>
      <c r="L80" s="23"/>
      <c r="M80" s="10"/>
      <c r="N80" s="5"/>
    </row>
    <row r="81" spans="1:14" ht="15.5" hidden="1" x14ac:dyDescent="0.35">
      <c r="A81" s="39" t="s">
        <v>83</v>
      </c>
      <c r="B81" s="23"/>
      <c r="C81" s="8"/>
      <c r="D81" s="8"/>
      <c r="E81" s="8"/>
      <c r="F81" s="8"/>
      <c r="G81" s="10"/>
      <c r="H81" s="25"/>
      <c r="I81" s="2"/>
      <c r="J81" s="2"/>
      <c r="K81" s="26"/>
      <c r="L81" s="23"/>
      <c r="M81" s="10"/>
      <c r="N81" s="5"/>
    </row>
    <row r="82" spans="1:14" ht="15.5" hidden="1" x14ac:dyDescent="0.35">
      <c r="A82" s="39" t="s">
        <v>85</v>
      </c>
      <c r="B82" s="23"/>
      <c r="C82" s="8"/>
      <c r="D82" s="8"/>
      <c r="E82" s="8"/>
      <c r="F82" s="8"/>
      <c r="G82" s="10"/>
      <c r="H82" s="25"/>
      <c r="I82" s="2"/>
      <c r="J82" s="2"/>
      <c r="K82" s="26"/>
      <c r="L82" s="23"/>
      <c r="M82" s="10"/>
      <c r="N82" s="5"/>
    </row>
    <row r="83" spans="1:14" ht="15.5" hidden="1" x14ac:dyDescent="0.35">
      <c r="A83" s="39" t="s">
        <v>87</v>
      </c>
      <c r="B83" s="23"/>
      <c r="C83" s="8"/>
      <c r="D83" s="8"/>
      <c r="E83" s="8"/>
      <c r="F83" s="8"/>
      <c r="G83" s="10"/>
      <c r="H83" s="25"/>
      <c r="I83" s="2"/>
      <c r="J83" s="2"/>
      <c r="K83" s="26"/>
      <c r="L83" s="23"/>
      <c r="M83" s="10"/>
      <c r="N83" s="5"/>
    </row>
    <row r="84" spans="1:14" ht="15.5" hidden="1" x14ac:dyDescent="0.35">
      <c r="A84" s="39" t="s">
        <v>89</v>
      </c>
      <c r="B84" s="23"/>
      <c r="C84" s="8"/>
      <c r="D84" s="8"/>
      <c r="E84" s="8"/>
      <c r="F84" s="8"/>
      <c r="G84" s="10"/>
      <c r="H84" s="25"/>
      <c r="I84" s="2"/>
      <c r="J84" s="2"/>
      <c r="K84" s="26"/>
      <c r="L84" s="23"/>
      <c r="M84" s="10"/>
      <c r="N84" s="5"/>
    </row>
    <row r="85" spans="1:14" ht="15.5" hidden="1" x14ac:dyDescent="0.35">
      <c r="A85" s="39" t="s">
        <v>91</v>
      </c>
      <c r="B85" s="23"/>
      <c r="C85" s="8"/>
      <c r="D85" s="8"/>
      <c r="E85" s="8"/>
      <c r="F85" s="8"/>
      <c r="G85" s="10"/>
      <c r="H85" s="25"/>
      <c r="I85" s="2"/>
      <c r="J85" s="2"/>
      <c r="K85" s="26"/>
      <c r="L85" s="23"/>
      <c r="M85" s="10"/>
      <c r="N85" s="5"/>
    </row>
    <row r="86" spans="1:14" ht="15.5" hidden="1" x14ac:dyDescent="0.35">
      <c r="A86" s="39" t="s">
        <v>93</v>
      </c>
      <c r="B86" s="23"/>
      <c r="C86" s="8"/>
      <c r="D86" s="8"/>
      <c r="E86" s="8"/>
      <c r="F86" s="8"/>
      <c r="G86" s="10"/>
      <c r="H86" s="25"/>
      <c r="I86" s="2"/>
      <c r="J86" s="2"/>
      <c r="K86" s="26"/>
      <c r="L86" s="23"/>
      <c r="M86" s="10"/>
      <c r="N86" s="5"/>
    </row>
    <row r="87" spans="1:14" ht="15.5" hidden="1" x14ac:dyDescent="0.35">
      <c r="A87" s="39" t="s">
        <v>95</v>
      </c>
      <c r="B87" s="23"/>
      <c r="C87" s="8"/>
      <c r="D87" s="8"/>
      <c r="E87" s="8"/>
      <c r="F87" s="8"/>
      <c r="G87" s="10"/>
      <c r="H87" s="25"/>
      <c r="I87" s="2"/>
      <c r="J87" s="2"/>
      <c r="K87" s="26"/>
      <c r="L87" s="23"/>
      <c r="M87" s="10"/>
      <c r="N87" s="5"/>
    </row>
    <row r="88" spans="1:14" ht="15.5" hidden="1" x14ac:dyDescent="0.35">
      <c r="A88" s="39" t="s">
        <v>97</v>
      </c>
      <c r="B88" s="23"/>
      <c r="C88" s="8"/>
      <c r="D88" s="8"/>
      <c r="E88" s="8"/>
      <c r="F88" s="8"/>
      <c r="G88" s="10"/>
      <c r="H88" s="25"/>
      <c r="I88" s="2"/>
      <c r="J88" s="2"/>
      <c r="K88" s="26"/>
      <c r="L88" s="23"/>
      <c r="M88" s="10"/>
      <c r="N88" s="5"/>
    </row>
    <row r="89" spans="1:14" ht="15.5" hidden="1" x14ac:dyDescent="0.35">
      <c r="A89" s="39" t="s">
        <v>99</v>
      </c>
      <c r="B89" s="23"/>
      <c r="C89" s="8"/>
      <c r="D89" s="8"/>
      <c r="E89" s="8"/>
      <c r="F89" s="8"/>
      <c r="G89" s="10"/>
      <c r="H89" s="25"/>
      <c r="I89" s="2"/>
      <c r="J89" s="2"/>
      <c r="K89" s="26"/>
      <c r="L89" s="23"/>
      <c r="M89" s="10"/>
      <c r="N89" s="5"/>
    </row>
    <row r="90" spans="1:14" ht="15.5" hidden="1" x14ac:dyDescent="0.35">
      <c r="A90" s="39" t="s">
        <v>101</v>
      </c>
      <c r="B90" s="23"/>
      <c r="C90" s="8"/>
      <c r="D90" s="8"/>
      <c r="E90" s="8"/>
      <c r="F90" s="8"/>
      <c r="G90" s="10"/>
      <c r="H90" s="25"/>
      <c r="I90" s="2"/>
      <c r="J90" s="2"/>
      <c r="K90" s="26"/>
      <c r="L90" s="23"/>
      <c r="M90" s="10"/>
      <c r="N90" s="5"/>
    </row>
    <row r="91" spans="1:14" ht="15.5" hidden="1" x14ac:dyDescent="0.35">
      <c r="A91" s="39" t="s">
        <v>103</v>
      </c>
      <c r="B91" s="23"/>
      <c r="C91" s="8"/>
      <c r="D91" s="8"/>
      <c r="E91" s="8"/>
      <c r="F91" s="8"/>
      <c r="G91" s="10"/>
      <c r="H91" s="24"/>
      <c r="I91" s="18"/>
      <c r="J91" s="18"/>
      <c r="K91" s="19"/>
      <c r="L91" s="23"/>
      <c r="M91" s="10"/>
      <c r="N91" s="5"/>
    </row>
    <row r="92" spans="1:14" ht="24" customHeight="1" x14ac:dyDescent="0.35">
      <c r="A92" s="38" t="s">
        <v>108</v>
      </c>
      <c r="B92" s="8"/>
      <c r="C92" s="8"/>
      <c r="D92" s="8"/>
      <c r="E92" s="8"/>
      <c r="F92" s="8"/>
      <c r="G92" s="10"/>
      <c r="H92" s="38" t="s">
        <v>107</v>
      </c>
      <c r="I92" s="8"/>
      <c r="J92" s="8"/>
      <c r="K92" s="10"/>
      <c r="L92" s="38" t="s">
        <v>74</v>
      </c>
      <c r="M92" s="10"/>
      <c r="N92" s="30"/>
    </row>
    <row r="93" spans="1:14" ht="15.5" x14ac:dyDescent="0.35">
      <c r="A93" s="39" t="s">
        <v>75</v>
      </c>
      <c r="B93" s="23" t="s">
        <v>109</v>
      </c>
      <c r="C93" s="8"/>
      <c r="D93" s="8"/>
      <c r="E93" s="8"/>
      <c r="F93" s="8"/>
      <c r="G93" s="10"/>
      <c r="H93" s="40" t="s">
        <v>110</v>
      </c>
      <c r="I93" s="14"/>
      <c r="J93" s="14"/>
      <c r="K93" s="15"/>
      <c r="L93" s="41" t="s">
        <v>78</v>
      </c>
      <c r="M93" s="10"/>
      <c r="N93" s="5"/>
    </row>
    <row r="94" spans="1:14" ht="15.5" x14ac:dyDescent="0.35">
      <c r="A94" s="39" t="s">
        <v>79</v>
      </c>
      <c r="B94" s="23" t="s">
        <v>111</v>
      </c>
      <c r="C94" s="8"/>
      <c r="D94" s="8"/>
      <c r="E94" s="8"/>
      <c r="F94" s="8"/>
      <c r="G94" s="10"/>
      <c r="H94" s="25"/>
      <c r="I94" s="2"/>
      <c r="J94" s="2"/>
      <c r="K94" s="26"/>
      <c r="L94" s="41" t="s">
        <v>78</v>
      </c>
      <c r="M94" s="10"/>
      <c r="N94" s="5"/>
    </row>
    <row r="95" spans="1:14" ht="15.5" x14ac:dyDescent="0.35">
      <c r="A95" s="39" t="s">
        <v>81</v>
      </c>
      <c r="B95" s="23" t="s">
        <v>112</v>
      </c>
      <c r="C95" s="8"/>
      <c r="D95" s="8"/>
      <c r="E95" s="8"/>
      <c r="F95" s="8"/>
      <c r="G95" s="10"/>
      <c r="H95" s="25"/>
      <c r="I95" s="2"/>
      <c r="J95" s="2"/>
      <c r="K95" s="26"/>
      <c r="L95" s="41" t="s">
        <v>78</v>
      </c>
      <c r="M95" s="10"/>
      <c r="N95" s="5"/>
    </row>
    <row r="96" spans="1:14" ht="15.5" x14ac:dyDescent="0.35">
      <c r="A96" s="39" t="s">
        <v>83</v>
      </c>
      <c r="B96" s="23" t="s">
        <v>113</v>
      </c>
      <c r="C96" s="8"/>
      <c r="D96" s="8"/>
      <c r="E96" s="8"/>
      <c r="F96" s="8"/>
      <c r="G96" s="10"/>
      <c r="H96" s="25"/>
      <c r="I96" s="2"/>
      <c r="J96" s="2"/>
      <c r="K96" s="26"/>
      <c r="L96" s="41" t="s">
        <v>78</v>
      </c>
      <c r="M96" s="10"/>
      <c r="N96" s="5"/>
    </row>
    <row r="97" spans="1:14" ht="15.5" x14ac:dyDescent="0.35">
      <c r="A97" s="39" t="s">
        <v>85</v>
      </c>
      <c r="B97" s="23" t="s">
        <v>114</v>
      </c>
      <c r="C97" s="8"/>
      <c r="D97" s="8"/>
      <c r="E97" s="8"/>
      <c r="F97" s="8"/>
      <c r="G97" s="10"/>
      <c r="H97" s="25"/>
      <c r="I97" s="2"/>
      <c r="J97" s="2"/>
      <c r="K97" s="26"/>
      <c r="L97" s="41" t="s">
        <v>78</v>
      </c>
      <c r="M97" s="10"/>
      <c r="N97" s="5"/>
    </row>
    <row r="98" spans="1:14" ht="15.5" x14ac:dyDescent="0.35">
      <c r="A98" s="39" t="s">
        <v>87</v>
      </c>
      <c r="B98" s="23" t="s">
        <v>115</v>
      </c>
      <c r="C98" s="8"/>
      <c r="D98" s="8"/>
      <c r="E98" s="8"/>
      <c r="F98" s="8"/>
      <c r="G98" s="10"/>
      <c r="H98" s="25"/>
      <c r="I98" s="2"/>
      <c r="J98" s="2"/>
      <c r="K98" s="26"/>
      <c r="L98" s="41" t="s">
        <v>78</v>
      </c>
      <c r="M98" s="10"/>
      <c r="N98" s="5"/>
    </row>
    <row r="99" spans="1:14" ht="15.5" x14ac:dyDescent="0.35">
      <c r="A99" s="39" t="s">
        <v>89</v>
      </c>
      <c r="B99" s="23" t="s">
        <v>90</v>
      </c>
      <c r="C99" s="8"/>
      <c r="D99" s="8"/>
      <c r="E99" s="8"/>
      <c r="F99" s="8"/>
      <c r="G99" s="10"/>
      <c r="H99" s="25"/>
      <c r="I99" s="2"/>
      <c r="J99" s="2"/>
      <c r="K99" s="26"/>
      <c r="L99" s="41" t="s">
        <v>78</v>
      </c>
      <c r="M99" s="10"/>
      <c r="N99" s="5"/>
    </row>
    <row r="100" spans="1:14" ht="15.5" x14ac:dyDescent="0.35">
      <c r="A100" s="39" t="s">
        <v>91</v>
      </c>
      <c r="B100" s="23" t="s">
        <v>116</v>
      </c>
      <c r="C100" s="8"/>
      <c r="D100" s="8"/>
      <c r="E100" s="8"/>
      <c r="F100" s="8"/>
      <c r="G100" s="10"/>
      <c r="H100" s="25"/>
      <c r="I100" s="2"/>
      <c r="J100" s="2"/>
      <c r="K100" s="26"/>
      <c r="L100" s="41" t="s">
        <v>78</v>
      </c>
      <c r="M100" s="10"/>
      <c r="N100" s="5"/>
    </row>
    <row r="101" spans="1:14" ht="15.5" x14ac:dyDescent="0.35">
      <c r="A101" s="39" t="s">
        <v>93</v>
      </c>
      <c r="B101" s="23" t="s">
        <v>117</v>
      </c>
      <c r="C101" s="8"/>
      <c r="D101" s="8"/>
      <c r="E101" s="8"/>
      <c r="F101" s="8"/>
      <c r="G101" s="10"/>
      <c r="H101" s="25"/>
      <c r="I101" s="2"/>
      <c r="J101" s="2"/>
      <c r="K101" s="26"/>
      <c r="L101" s="41" t="s">
        <v>78</v>
      </c>
      <c r="M101" s="10"/>
      <c r="N101" s="5"/>
    </row>
    <row r="102" spans="1:14" ht="15.5" x14ac:dyDescent="0.35">
      <c r="A102" s="39" t="s">
        <v>95</v>
      </c>
      <c r="B102" s="23" t="s">
        <v>118</v>
      </c>
      <c r="C102" s="8"/>
      <c r="D102" s="8"/>
      <c r="E102" s="8"/>
      <c r="F102" s="8"/>
      <c r="G102" s="10"/>
      <c r="H102" s="25"/>
      <c r="I102" s="2"/>
      <c r="J102" s="2"/>
      <c r="K102" s="26"/>
      <c r="L102" s="41" t="s">
        <v>78</v>
      </c>
      <c r="M102" s="10"/>
      <c r="N102" s="5"/>
    </row>
    <row r="103" spans="1:14" ht="15.5" x14ac:dyDescent="0.35">
      <c r="A103" s="39" t="s">
        <v>97</v>
      </c>
      <c r="B103" s="23" t="s">
        <v>119</v>
      </c>
      <c r="C103" s="8"/>
      <c r="D103" s="8"/>
      <c r="E103" s="8"/>
      <c r="F103" s="8"/>
      <c r="G103" s="10"/>
      <c r="H103" s="25"/>
      <c r="I103" s="2"/>
      <c r="J103" s="2"/>
      <c r="K103" s="26"/>
      <c r="L103" s="41" t="s">
        <v>78</v>
      </c>
      <c r="M103" s="10"/>
      <c r="N103" s="5"/>
    </row>
    <row r="104" spans="1:14" ht="15.5" x14ac:dyDescent="0.35">
      <c r="A104" s="39" t="s">
        <v>99</v>
      </c>
      <c r="B104" s="23" t="s">
        <v>120</v>
      </c>
      <c r="C104" s="8"/>
      <c r="D104" s="8"/>
      <c r="E104" s="8"/>
      <c r="F104" s="8"/>
      <c r="G104" s="10"/>
      <c r="H104" s="25"/>
      <c r="I104" s="2"/>
      <c r="J104" s="2"/>
      <c r="K104" s="26"/>
      <c r="L104" s="41" t="s">
        <v>78</v>
      </c>
      <c r="M104" s="10"/>
      <c r="N104" s="5"/>
    </row>
    <row r="105" spans="1:14" ht="15.5" x14ac:dyDescent="0.35">
      <c r="A105" s="39" t="s">
        <v>101</v>
      </c>
      <c r="B105" s="23" t="s">
        <v>121</v>
      </c>
      <c r="C105" s="8"/>
      <c r="D105" s="8"/>
      <c r="E105" s="8"/>
      <c r="F105" s="8"/>
      <c r="G105" s="10"/>
      <c r="H105" s="25"/>
      <c r="I105" s="2"/>
      <c r="J105" s="2"/>
      <c r="K105" s="26"/>
      <c r="L105" s="41" t="s">
        <v>78</v>
      </c>
      <c r="M105" s="10"/>
      <c r="N105" s="5"/>
    </row>
    <row r="106" spans="1:14" ht="15.5" x14ac:dyDescent="0.35">
      <c r="A106" s="39" t="s">
        <v>103</v>
      </c>
      <c r="B106" s="23" t="s">
        <v>104</v>
      </c>
      <c r="C106" s="8"/>
      <c r="D106" s="8"/>
      <c r="E106" s="8"/>
      <c r="F106" s="8"/>
      <c r="G106" s="10"/>
      <c r="H106" s="24"/>
      <c r="I106" s="18"/>
      <c r="J106" s="18"/>
      <c r="K106" s="19"/>
      <c r="L106" s="41" t="s">
        <v>78</v>
      </c>
      <c r="M106" s="10"/>
      <c r="N106" s="5"/>
    </row>
    <row r="107" spans="1:14" ht="24" hidden="1" customHeight="1" x14ac:dyDescent="0.35">
      <c r="A107" s="38" t="s">
        <v>122</v>
      </c>
      <c r="B107" s="8"/>
      <c r="C107" s="8"/>
      <c r="D107" s="8"/>
      <c r="E107" s="8"/>
      <c r="F107" s="8"/>
      <c r="G107" s="10"/>
      <c r="H107" s="38" t="s">
        <v>107</v>
      </c>
      <c r="I107" s="8"/>
      <c r="J107" s="8"/>
      <c r="K107" s="10"/>
      <c r="L107" s="38" t="s">
        <v>74</v>
      </c>
      <c r="M107" s="10"/>
      <c r="N107" s="30"/>
    </row>
    <row r="108" spans="1:14" ht="15.5" hidden="1" x14ac:dyDescent="0.35">
      <c r="A108" s="39" t="s">
        <v>75</v>
      </c>
      <c r="B108" s="23"/>
      <c r="C108" s="8"/>
      <c r="D108" s="8"/>
      <c r="E108" s="8"/>
      <c r="F108" s="8"/>
      <c r="G108" s="10"/>
      <c r="H108" s="40"/>
      <c r="I108" s="14"/>
      <c r="J108" s="14"/>
      <c r="K108" s="15"/>
      <c r="L108" s="23"/>
      <c r="M108" s="10"/>
      <c r="N108" s="5"/>
    </row>
    <row r="109" spans="1:14" ht="15.5" hidden="1" x14ac:dyDescent="0.35">
      <c r="A109" s="39" t="s">
        <v>79</v>
      </c>
      <c r="B109" s="23"/>
      <c r="C109" s="8"/>
      <c r="D109" s="8"/>
      <c r="E109" s="8"/>
      <c r="F109" s="8"/>
      <c r="G109" s="10"/>
      <c r="H109" s="25"/>
      <c r="I109" s="2"/>
      <c r="J109" s="2"/>
      <c r="K109" s="26"/>
      <c r="L109" s="23"/>
      <c r="M109" s="10"/>
      <c r="N109" s="5"/>
    </row>
    <row r="110" spans="1:14" ht="15.5" hidden="1" x14ac:dyDescent="0.35">
      <c r="A110" s="39" t="s">
        <v>81</v>
      </c>
      <c r="B110" s="23"/>
      <c r="C110" s="8"/>
      <c r="D110" s="8"/>
      <c r="E110" s="8"/>
      <c r="F110" s="8"/>
      <c r="G110" s="10"/>
      <c r="H110" s="25"/>
      <c r="I110" s="2"/>
      <c r="J110" s="2"/>
      <c r="K110" s="26"/>
      <c r="L110" s="23"/>
      <c r="M110" s="10"/>
      <c r="N110" s="5"/>
    </row>
    <row r="111" spans="1:14" ht="15.5" hidden="1" x14ac:dyDescent="0.35">
      <c r="A111" s="39" t="s">
        <v>83</v>
      </c>
      <c r="B111" s="23"/>
      <c r="C111" s="8"/>
      <c r="D111" s="8"/>
      <c r="E111" s="8"/>
      <c r="F111" s="8"/>
      <c r="G111" s="10"/>
      <c r="H111" s="25"/>
      <c r="I111" s="2"/>
      <c r="J111" s="2"/>
      <c r="K111" s="26"/>
      <c r="L111" s="23"/>
      <c r="M111" s="10"/>
      <c r="N111" s="5"/>
    </row>
    <row r="112" spans="1:14" ht="15.5" hidden="1" x14ac:dyDescent="0.35">
      <c r="A112" s="39" t="s">
        <v>85</v>
      </c>
      <c r="B112" s="23"/>
      <c r="C112" s="8"/>
      <c r="D112" s="8"/>
      <c r="E112" s="8"/>
      <c r="F112" s="8"/>
      <c r="G112" s="10"/>
      <c r="H112" s="25"/>
      <c r="I112" s="2"/>
      <c r="J112" s="2"/>
      <c r="K112" s="26"/>
      <c r="L112" s="23"/>
      <c r="M112" s="10"/>
      <c r="N112" s="5"/>
    </row>
    <row r="113" spans="1:14" ht="15.5" hidden="1" x14ac:dyDescent="0.35">
      <c r="A113" s="39" t="s">
        <v>87</v>
      </c>
      <c r="B113" s="23"/>
      <c r="C113" s="8"/>
      <c r="D113" s="8"/>
      <c r="E113" s="8"/>
      <c r="F113" s="8"/>
      <c r="G113" s="10"/>
      <c r="H113" s="25"/>
      <c r="I113" s="2"/>
      <c r="J113" s="2"/>
      <c r="K113" s="26"/>
      <c r="L113" s="23"/>
      <c r="M113" s="10"/>
      <c r="N113" s="5"/>
    </row>
    <row r="114" spans="1:14" ht="15.5" hidden="1" x14ac:dyDescent="0.35">
      <c r="A114" s="39" t="s">
        <v>89</v>
      </c>
      <c r="B114" s="23"/>
      <c r="C114" s="8"/>
      <c r="D114" s="8"/>
      <c r="E114" s="8"/>
      <c r="F114" s="8"/>
      <c r="G114" s="10"/>
      <c r="H114" s="25"/>
      <c r="I114" s="2"/>
      <c r="J114" s="2"/>
      <c r="K114" s="26"/>
      <c r="L114" s="23"/>
      <c r="M114" s="10"/>
      <c r="N114" s="5"/>
    </row>
    <row r="115" spans="1:14" ht="15.5" hidden="1" x14ac:dyDescent="0.35">
      <c r="A115" s="39" t="s">
        <v>91</v>
      </c>
      <c r="B115" s="23"/>
      <c r="C115" s="8"/>
      <c r="D115" s="8"/>
      <c r="E115" s="8"/>
      <c r="F115" s="8"/>
      <c r="G115" s="10"/>
      <c r="H115" s="25"/>
      <c r="I115" s="2"/>
      <c r="J115" s="2"/>
      <c r="K115" s="26"/>
      <c r="L115" s="23"/>
      <c r="M115" s="10"/>
      <c r="N115" s="5"/>
    </row>
    <row r="116" spans="1:14" ht="15.5" hidden="1" x14ac:dyDescent="0.35">
      <c r="A116" s="39" t="s">
        <v>93</v>
      </c>
      <c r="B116" s="23"/>
      <c r="C116" s="8"/>
      <c r="D116" s="8"/>
      <c r="E116" s="8"/>
      <c r="F116" s="8"/>
      <c r="G116" s="10"/>
      <c r="H116" s="25"/>
      <c r="I116" s="2"/>
      <c r="J116" s="2"/>
      <c r="K116" s="26"/>
      <c r="L116" s="23"/>
      <c r="M116" s="10"/>
      <c r="N116" s="5"/>
    </row>
    <row r="117" spans="1:14" ht="15.5" hidden="1" x14ac:dyDescent="0.35">
      <c r="A117" s="39" t="s">
        <v>95</v>
      </c>
      <c r="B117" s="23"/>
      <c r="C117" s="8"/>
      <c r="D117" s="8"/>
      <c r="E117" s="8"/>
      <c r="F117" s="8"/>
      <c r="G117" s="10"/>
      <c r="H117" s="25"/>
      <c r="I117" s="2"/>
      <c r="J117" s="2"/>
      <c r="K117" s="26"/>
      <c r="L117" s="23"/>
      <c r="M117" s="10"/>
      <c r="N117" s="5"/>
    </row>
    <row r="118" spans="1:14" ht="15.5" hidden="1" x14ac:dyDescent="0.35">
      <c r="A118" s="39" t="s">
        <v>97</v>
      </c>
      <c r="B118" s="23"/>
      <c r="C118" s="8"/>
      <c r="D118" s="8"/>
      <c r="E118" s="8"/>
      <c r="F118" s="8"/>
      <c r="G118" s="10"/>
      <c r="H118" s="25"/>
      <c r="I118" s="2"/>
      <c r="J118" s="2"/>
      <c r="K118" s="26"/>
      <c r="L118" s="23"/>
      <c r="M118" s="10"/>
      <c r="N118" s="5"/>
    </row>
    <row r="119" spans="1:14" ht="15.5" hidden="1" x14ac:dyDescent="0.35">
      <c r="A119" s="39" t="s">
        <v>99</v>
      </c>
      <c r="B119" s="23"/>
      <c r="C119" s="8"/>
      <c r="D119" s="8"/>
      <c r="E119" s="8"/>
      <c r="F119" s="8"/>
      <c r="G119" s="10"/>
      <c r="H119" s="25"/>
      <c r="I119" s="2"/>
      <c r="J119" s="2"/>
      <c r="K119" s="26"/>
      <c r="L119" s="23"/>
      <c r="M119" s="10"/>
      <c r="N119" s="5"/>
    </row>
    <row r="120" spans="1:14" ht="15.5" hidden="1" x14ac:dyDescent="0.35">
      <c r="A120" s="39" t="s">
        <v>101</v>
      </c>
      <c r="B120" s="23"/>
      <c r="C120" s="8"/>
      <c r="D120" s="8"/>
      <c r="E120" s="8"/>
      <c r="F120" s="8"/>
      <c r="G120" s="10"/>
      <c r="H120" s="25"/>
      <c r="I120" s="2"/>
      <c r="J120" s="2"/>
      <c r="K120" s="26"/>
      <c r="L120" s="23"/>
      <c r="M120" s="10"/>
      <c r="N120" s="5"/>
    </row>
    <row r="121" spans="1:14" ht="15.5" hidden="1" x14ac:dyDescent="0.35">
      <c r="A121" s="39" t="s">
        <v>103</v>
      </c>
      <c r="B121" s="23"/>
      <c r="C121" s="8"/>
      <c r="D121" s="8"/>
      <c r="E121" s="8"/>
      <c r="F121" s="8"/>
      <c r="G121" s="10"/>
      <c r="H121" s="24"/>
      <c r="I121" s="18"/>
      <c r="J121" s="18"/>
      <c r="K121" s="19"/>
      <c r="L121" s="23"/>
      <c r="M121" s="10"/>
      <c r="N121" s="5"/>
    </row>
    <row r="122" spans="1:14" ht="115.5" customHeight="1" x14ac:dyDescent="0.35">
      <c r="A122" s="23" t="s">
        <v>123</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124</v>
      </c>
      <c r="B124" s="2"/>
      <c r="C124" s="2"/>
      <c r="D124" s="2"/>
      <c r="E124" s="2"/>
      <c r="F124" s="2"/>
      <c r="G124" s="2"/>
      <c r="H124" s="2"/>
      <c r="I124" s="2"/>
      <c r="J124" s="2"/>
      <c r="K124" s="2"/>
      <c r="L124" s="2"/>
      <c r="M124" s="2"/>
      <c r="N124" s="30"/>
    </row>
    <row r="125" spans="1:14" ht="46.5" x14ac:dyDescent="0.35">
      <c r="A125" s="42" t="s">
        <v>125</v>
      </c>
      <c r="B125" s="43" t="s">
        <v>126</v>
      </c>
      <c r="C125" s="8"/>
      <c r="D125" s="8"/>
      <c r="E125" s="8"/>
      <c r="F125" s="8"/>
      <c r="G125" s="10"/>
      <c r="H125" s="43" t="s">
        <v>127</v>
      </c>
      <c r="I125" s="8"/>
      <c r="J125" s="8"/>
      <c r="K125" s="10"/>
      <c r="L125" s="44" t="s">
        <v>128</v>
      </c>
      <c r="M125" s="10"/>
      <c r="N125" s="5"/>
    </row>
    <row r="126" spans="1:14" ht="15.5" x14ac:dyDescent="0.35">
      <c r="A126" s="45" t="s">
        <v>129</v>
      </c>
      <c r="B126" s="46" t="s">
        <v>130</v>
      </c>
      <c r="C126" s="14"/>
      <c r="D126" s="14"/>
      <c r="E126" s="14"/>
      <c r="F126" s="14"/>
      <c r="G126" s="15"/>
      <c r="H126" s="47" t="s">
        <v>131</v>
      </c>
      <c r="I126" s="14"/>
      <c r="J126" s="14"/>
      <c r="K126" s="48" t="s">
        <v>132</v>
      </c>
      <c r="L126" s="49">
        <f>1-SUM(L129:M131)</f>
        <v>0.75</v>
      </c>
      <c r="M126" s="15"/>
      <c r="N126" s="5"/>
    </row>
    <row r="127" spans="1:14" ht="15.5" x14ac:dyDescent="0.35">
      <c r="A127" s="50"/>
      <c r="B127" s="25"/>
      <c r="C127" s="2"/>
      <c r="D127" s="2"/>
      <c r="E127" s="2"/>
      <c r="F127" s="2"/>
      <c r="G127" s="26"/>
      <c r="H127" s="25"/>
      <c r="I127" s="2"/>
      <c r="J127" s="2"/>
      <c r="K127" s="50"/>
      <c r="L127" s="25"/>
      <c r="M127" s="26"/>
      <c r="N127" s="5"/>
    </row>
    <row r="128" spans="1:14" ht="15.5" x14ac:dyDescent="0.35">
      <c r="A128" s="35"/>
      <c r="B128" s="24"/>
      <c r="C128" s="18"/>
      <c r="D128" s="18"/>
      <c r="E128" s="18"/>
      <c r="F128" s="18"/>
      <c r="G128" s="19"/>
      <c r="H128" s="24"/>
      <c r="I128" s="18"/>
      <c r="J128" s="18"/>
      <c r="K128" s="35"/>
      <c r="L128" s="24"/>
      <c r="M128" s="19"/>
      <c r="N128" s="5"/>
    </row>
    <row r="129" spans="1:14" ht="68.25" hidden="1" customHeight="1" x14ac:dyDescent="0.35">
      <c r="A129" s="42" t="s">
        <v>133</v>
      </c>
      <c r="B129" s="51" t="s">
        <v>134</v>
      </c>
      <c r="C129" s="8"/>
      <c r="D129" s="8"/>
      <c r="E129" s="8"/>
      <c r="F129" s="8"/>
      <c r="G129" s="10"/>
      <c r="H129" s="51" t="s">
        <v>135</v>
      </c>
      <c r="I129" s="8"/>
      <c r="J129" s="8"/>
      <c r="K129" s="10"/>
      <c r="L129" s="52"/>
      <c r="M129" s="10"/>
      <c r="N129" s="5"/>
    </row>
    <row r="130" spans="1:14" ht="46.5" x14ac:dyDescent="0.35">
      <c r="A130" s="42" t="s">
        <v>136</v>
      </c>
      <c r="B130" s="51" t="s">
        <v>137</v>
      </c>
      <c r="C130" s="8"/>
      <c r="D130" s="8"/>
      <c r="E130" s="8"/>
      <c r="F130" s="8"/>
      <c r="G130" s="10"/>
      <c r="H130" s="51" t="s">
        <v>138</v>
      </c>
      <c r="I130" s="8"/>
      <c r="J130" s="8"/>
      <c r="K130" s="10"/>
      <c r="L130" s="52">
        <v>0.25</v>
      </c>
      <c r="M130" s="10"/>
      <c r="N130" s="5"/>
    </row>
    <row r="131" spans="1:14" ht="31" hidden="1" x14ac:dyDescent="0.35">
      <c r="A131" s="42" t="s">
        <v>139</v>
      </c>
      <c r="B131" s="53" t="s">
        <v>140</v>
      </c>
      <c r="C131" s="8"/>
      <c r="D131" s="8"/>
      <c r="E131" s="8"/>
      <c r="F131" s="8"/>
      <c r="G131" s="10"/>
      <c r="H131" s="51" t="s">
        <v>141</v>
      </c>
      <c r="I131" s="8"/>
      <c r="J131" s="8"/>
      <c r="K131" s="10"/>
      <c r="L131" s="52"/>
      <c r="M131" s="10"/>
      <c r="N131" s="5"/>
    </row>
    <row r="132" spans="1:14" ht="15.5" x14ac:dyDescent="0.35">
      <c r="A132" s="43" t="s">
        <v>142</v>
      </c>
      <c r="B132" s="8"/>
      <c r="C132" s="8"/>
      <c r="D132" s="8"/>
      <c r="E132" s="8"/>
      <c r="F132" s="8"/>
      <c r="G132" s="8"/>
      <c r="H132" s="8"/>
      <c r="I132" s="8"/>
      <c r="J132" s="8"/>
      <c r="K132" s="8"/>
      <c r="L132" s="8"/>
      <c r="M132" s="10"/>
      <c r="N132" s="5"/>
    </row>
    <row r="133" spans="1:14" ht="15.5" x14ac:dyDescent="0.35">
      <c r="A133" s="54" t="s">
        <v>143</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144</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145</v>
      </c>
      <c r="B137" s="10"/>
      <c r="C137" s="9" t="str">
        <f>E15</f>
        <v>Ș. l. dr. ing Florin-Cătălin Brăescu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146</v>
      </c>
      <c r="B139" s="15"/>
      <c r="C139" s="9" t="str">
        <f t="shared" ref="C139:C141" si="0">E17</f>
        <v>Drd. ing. Monica Cocuț</v>
      </c>
      <c r="D139" s="8"/>
      <c r="E139" s="8"/>
      <c r="F139" s="8"/>
      <c r="G139" s="10"/>
      <c r="H139" s="9">
        <f t="shared" ref="H139:H141" si="1">E20</f>
        <v>0</v>
      </c>
      <c r="I139" s="8"/>
      <c r="J139" s="8"/>
      <c r="K139" s="8"/>
      <c r="L139" s="8"/>
      <c r="M139" s="10"/>
      <c r="N139" s="5"/>
    </row>
    <row r="140" spans="1:14" ht="32.25" customHeight="1" x14ac:dyDescent="0.35">
      <c r="A140" s="25"/>
      <c r="B140" s="26"/>
      <c r="C140" s="9" t="str">
        <f t="shared" si="0"/>
        <v>Asist. drd. ing. Andrei-Alexandru Mariciuc</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147</v>
      </c>
      <c r="B143" s="10"/>
      <c r="C143" s="58">
        <f>[1]Date!C35</f>
        <v>45915</v>
      </c>
      <c r="D143" s="10"/>
      <c r="E143" s="55" t="s">
        <v>148</v>
      </c>
      <c r="F143" s="8"/>
      <c r="G143" s="10"/>
      <c r="H143" s="59" t="str">
        <f>[1]Date!C37</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149</v>
      </c>
      <c r="B145" s="10"/>
      <c r="C145" s="58">
        <f>[1]Date!C36</f>
        <v>45918</v>
      </c>
      <c r="D145" s="10"/>
      <c r="E145" s="55" t="s">
        <v>150</v>
      </c>
      <c r="F145" s="8"/>
      <c r="G145" s="10"/>
      <c r="H145" s="59" t="str">
        <f>[1]Date!C38</f>
        <v>Prof.univ.dr.ing. Adrian BURLACU</v>
      </c>
      <c r="I145" s="8"/>
      <c r="J145" s="8"/>
      <c r="K145" s="8"/>
      <c r="L145" s="8"/>
      <c r="M145" s="10"/>
      <c r="N145" s="5"/>
    </row>
  </sheetData>
  <mergeCells count="254">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2026-03-03T10:26:58Z</dcterms:created>
  <dcterms:modified xsi:type="dcterms:W3CDTF">2026-03-03T10:27:22Z</dcterms:modified>
</cp:coreProperties>
</file>