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E56C9112-FC82-49AC-B3F7-FF0DC41FAFFF}" xr6:coauthVersionLast="47" xr6:coauthVersionMax="47" xr10:uidLastSave="{00000000-0000-0000-0000-000000000000}"/>
  <bookViews>
    <workbookView xWindow="-110" yWindow="-110" windowWidth="25820" windowHeight="15500" xr2:uid="{28CEFA04-6B9B-43C4-B45F-12FF7BFC3B35}"/>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E26" i="1" l="1" a="1"/>
  <c r="E26" i="1" s="1"/>
  <c r="M23" i="1" a="1"/>
  <c r="M23" i="1" s="1"/>
  <c r="E23" i="1" a="1"/>
  <c r="E23" i="1" s="1"/>
  <c r="M14" i="1" a="1"/>
  <c r="M14" i="1" s="1"/>
  <c r="C36" i="1" a="1"/>
  <c r="C36" i="1" s="1"/>
  <c r="C34" i="1" a="1"/>
  <c r="C34" i="1" s="1"/>
  <c r="M33" i="1" s="1"/>
  <c r="I26" i="1" a="1"/>
  <c r="I26" i="1" s="1"/>
  <c r="I27" i="1" s="1"/>
  <c r="E13" i="1" a="1"/>
  <c r="E13" i="1" s="1"/>
  <c r="M32" i="1" a="1"/>
  <c r="M32" i="1" s="1"/>
  <c r="I23" i="1" a="1"/>
  <c r="I23" i="1" s="1"/>
  <c r="G26" i="1" a="1"/>
  <c r="G26" i="1" s="1"/>
  <c r="G27" i="1" s="1"/>
  <c r="K26" i="1" a="1"/>
  <c r="K26" i="1" s="1"/>
  <c r="K27" i="1" s="1"/>
  <c r="E14" i="1" a="1"/>
  <c r="E14" i="1" s="1"/>
  <c r="E27" i="1" l="1"/>
  <c r="C26" i="1"/>
  <c r="C27" i="1" s="1"/>
  <c r="C3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F3CF214B-803B-48DF-8555-607125ED0644}">
      <text>
        <r>
          <rPr>
            <sz val="10"/>
            <color rgb="FF000000"/>
            <rFont val="Aptos Narrow"/>
            <scheme val="minor"/>
          </rPr>
          <t>Pondere din nota de la E / V</t>
        </r>
      </text>
    </comment>
    <comment ref="K127" authorId="0" shapeId="0" xr:uid="{DC21BFC3-2FFF-4126-9FBD-4C234AB8FDEF}">
      <text>
        <r>
          <rPr>
            <sz val="10"/>
            <color rgb="FF000000"/>
            <rFont val="Aptos Narrow"/>
            <scheme val="minor"/>
          </rPr>
          <t>Pondere din nota de la E / V</t>
        </r>
      </text>
    </comment>
    <comment ref="K128" authorId="0" shapeId="0" xr:uid="{4564BA36-ADE9-4267-BE9D-A06151D2286C}">
      <text>
        <r>
          <rPr>
            <sz val="10"/>
            <color rgb="FF000000"/>
            <rFont val="Aptos Narrow"/>
            <scheme val="minor"/>
          </rPr>
          <t>Pondere din nota de la E / V</t>
        </r>
      </text>
    </comment>
  </commentList>
</comments>
</file>

<file path=xl/sharedStrings.xml><?xml version="1.0" encoding="utf-8"?>
<sst xmlns="http://schemas.openxmlformats.org/spreadsheetml/2006/main" count="205" uniqueCount="155">
  <si>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</si>
  <si>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</si>
  <si>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</si>
  <si>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</si>
  <si>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</si>
  <si>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</si>
  <si>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</si>
  <si>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</si>
  <si>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</si>
  <si>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</si>
  <si>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</si>
  <si>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</si>
  <si>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</si>
  <si>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Măsurări și traductoare</t>
  </si>
  <si>
    <t>(în limba engleză, conform Suplimentului la diplomă)</t>
  </si>
  <si>
    <t>2.1.2. Codul disciplinei</t>
  </si>
  <si>
    <t xml:space="preserve">2.1.3. Categoria formativă </t>
  </si>
  <si>
    <t>2.2 Titularul / titularii activităţilor de curs</t>
  </si>
  <si>
    <t>Prof. dr. ing. Constantin-Cătălin Dosoftei</t>
  </si>
  <si>
    <t>2.3 Titularul / titularii activităţilor de aplicaţii (S, L, P, Pr)</t>
  </si>
  <si>
    <t>Drd. ing. Daniel Slătineanu</t>
  </si>
  <si>
    <t>Drd. ing. Andrei Iancu</t>
  </si>
  <si>
    <t>Dr. ing. George Mihalache</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</si>
  <si>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</si>
  <si>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</si>
  <si>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</si>
  <si>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</si>
  <si>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</si>
  <si>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</si>
  <si>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</si>
  <si>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</si>
  <si>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</si>
  <si>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</si>
  <si>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</si>
  <si>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</si>
  <si>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</si>
  <si>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</si>
  <si>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</si>
  <si>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</si>
  <si>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</si>
  <si>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</si>
  <si>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</si>
  <si>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</si>
  <si>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</si>
  <si>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</si>
  <si>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</si>
  <si>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</si>
  <si>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</si>
  <si>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</si>
  <si>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</si>
  <si>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</si>
  <si>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</si>
  <si>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</si>
  <si>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</si>
  <si>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</si>
  <si>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</si>
  <si>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Videoproiector, tablă</t>
  </si>
  <si>
    <t>5.2 de desfăşurare a seminarului / laboratorului / proiectului</t>
  </si>
  <si>
    <t>Tablă inteligentă, videoproiector, echipamente de măsurare a mărimilor electrice de circuit, standuri de laborator, costum cu senzori de captare a miscarii umane</t>
  </si>
  <si>
    <t>6. Obiectivul general al disciplinei</t>
  </si>
  <si>
    <t>Dobândirea cunoștințelor de bază privind conceptele, metodele și instrumentele de măsurare a mărimilor electrice și neelectrice. Studenții dobândesc abilități de utilizare și analiză a aparatelor și traductoarelor, precum și de interpretare a rezultatelor măsurărilor. Disciplina dezvoltă competențe practice de integrare a traductoarelor în sisteme de reglare automată și aplicații industriale</t>
  </si>
  <si>
    <t>7. Rezultatele învățării</t>
  </si>
  <si>
    <t>Cunoștințe</t>
  </si>
  <si>
    <t>Studentul / Absolventul:</t>
  </si>
  <si>
    <t>- Definește conceptul de măsurare și enumera etapele procesului de măsurare
- Efectuează schema generală a unei măsurări efectuate de către un operator uman și ilustrează fluxul informațional - 
- Compară măsurările analogice cu cele numerice și ilustraează avantajele și limitele fiecărei abordări
- Explică metode de detectare și corectare a erorilor sistematice într-un proces de măsurare  cu diverse tipuri de traductoare
- Identifică sensibilitatea unui traductor și menționează modul de determinare experimentală.
- Distinge între rezoluție și sensibilitate și transpune aceste concepte în termeni practici
-  Schițează grafic caracteristica statică ideală versus cea reală, evidențiind neliniaritatea
- Definește conceptele de justețe și repetabilitate pentru un aparat de măsurat sau traductor
- Ilustrează exemple de aplicații practice pentru fiecare tip de sistem de reglare automată (specializat, unificat, numeric, pe calculator).
- Definește noţiunea de adaptor în lanțul de măsurare şi rolul său în condiționarea semnalului
- Descrie structura și funcționarea diferitelor tipuri de senzori de deplasare/presiune/nivel/temperatură/debit/viteză.
- Explică modul în care mărimile perturbatoare ale mediului extern (temperatură, umiditate, vibrații, câmp electromagnetic) pot influența răspunsul și acuratețea diverșilor tipuri de senzori</t>
  </si>
  <si>
    <t>Aptitudini</t>
  </si>
  <si>
    <t>- Efectuează măsurări electrice fundamentale de tensiune, curent, rezistență și putere monofazată, utilizând echipamente de laborator adecvate, schițând schemele de măsurare și interpretând rezultatele.
- Determină cu acuratețe parametrii pentru diverse semnale periodice (amplitudine, frecvență, perioadă, factor de formă, ciclu de lucru, timp de creștere, timp de cădere, offset, suprasarcină, oscilații tranzitorii) folosind diverse tipuri de osciloscoape
- Operează cu traductoare de diferite tipuri (deplasare, presiune, nivel, temperatură, debit) și construiește caracteristicile statice reale.</t>
  </si>
  <si>
    <t>Responsabilitate și autonomie</t>
  </si>
  <si>
    <t>- Aplică tehnici de management al proiectelor în adoptarea echipamentelor de feedback asumând diverse roluri în echipă și comunicând clar și concis rezultatele tehnice atât verbal, cât și în scris.
- Demonstrează spirit de inițiativă în identificarea și integrarea celor mai recente tehnologii, metodologii și standarde în domeniul aparatelor de măsurare, actualizând continuu cunoștințele profesionale, economice și culturale relevante.
- Adoptă o conduită responsabilă și etică în instalarea și utilizarea traductoarelor și sistemelor de măsurare, respectând legislația și normele profesionale pentru a menține integritatea și reputația domeniului.</t>
  </si>
  <si>
    <t xml:space="preserve">8. Metode de predare </t>
  </si>
  <si>
    <t>9. Conţinuturi</t>
  </si>
  <si>
    <t>9.1. Curs</t>
  </si>
  <si>
    <t>Metode de predare</t>
  </si>
  <si>
    <t>Timp alocat</t>
  </si>
  <si>
    <t>1</t>
  </si>
  <si>
    <t>Noţiuni generale de metrologie. Definirea măsurării, Clasificări ale mărimilor de măsurat, Relaţii între mărimi şi unităţi de măsură, Sisteme de unităţi de măsură</t>
  </si>
  <si>
    <t xml:space="preserve">Cursul este predat prin prelegeri orale. Stimularea unui dialog permanent cu studenţii, ca mecanism de fixare a informaţiilor transmise în cadrul prelegerii
Ca echipament didactic auxiliar se foloseşte videoproiectorul. Noţiunile predate sunt aprofundate în cadrul orelor de aplicaţii practice de laborator.
</t>
  </si>
  <si>
    <t>2</t>
  </si>
  <si>
    <t>Noţiunile de aparat de măsurat şi de traductor. 
Schema generală a unei măsurări efectuate de către un operator
uman, Schema generală a unei măsurări efectuată în cadrul unui sistem de reglare automată, Măsurarea parametrilor tehnologici în sistemele de reglare, Reglare manuală versus reglare automată, Structura generală a unui aparat de măsurat sau a unui traductor</t>
  </si>
  <si>
    <t>3</t>
  </si>
  <si>
    <t xml:space="preserve">Metode de măsurare 
Etaloane de definiţie, etaloane de conservare și etaloane de transfer, Probleme impuse de metodele de măsurare, Măsurări statice și dinamice, Măsurări analogice și măsurări numerice, Măsurări de laborator versus măsurări industriale </t>
  </si>
  <si>
    <t>4</t>
  </si>
  <si>
    <t>Calitatea măsurării
Noțiuni de teoria erorilor de măsurare, Cauzele erorilor de măsurare, Clasificarea erorilor de măsurare, Analiza şi evaluarea erorilor sistematice</t>
  </si>
  <si>
    <t>5</t>
  </si>
  <si>
    <t>Caracteristicile generale ale aparatelor de măsurat şi
traductoarelor
Caracteristici statice. Indicatori de calitate pentru măsurări statice, Erori de neliniaritate, Eroarea de histerezis, Sensibilitatea aparatului sau traductorului, Rezoluţia aparatului sau traductorului, Pragul de sensibilitate.</t>
  </si>
  <si>
    <t>6</t>
  </si>
  <si>
    <t xml:space="preserve"> Precizia instrumentală a aparatelor de măsurat şi traductoarelor
Justețea și repetabilitatea, Erorile admisibile, Clasa de precizie, Criterii de evaluare a preciziei aparatelor de măsurat şi a traductoarelor.</t>
  </si>
  <si>
    <t>7</t>
  </si>
  <si>
    <t>Locul şi rolul traductoarelor în sistemele de reglare automată 
Traductorul element funcţional al sistemelor de reglare automata, Locul şi rolul traductoarelor în sistemele de reglare automată cu regulatoare specializate /  în sistemele unificate de reglare automata / în sistemele de reglare automată cu regulatoare numerice / în sistemele de conducere cu calculatorul</t>
  </si>
  <si>
    <t>8</t>
  </si>
  <si>
    <t xml:space="preserve">Principii de funcţionare ale adaptoarelor </t>
  </si>
  <si>
    <t>9</t>
  </si>
  <si>
    <t>Traductoare de deplasare. Noţiuni introductive, Traductoare de deplasare potenţiometrice / inductive / capacitiveâ</t>
  </si>
  <si>
    <t>10</t>
  </si>
  <si>
    <t xml:space="preserve"> Traductoare de presiune. Noţiuni introductive, Principii de măsurare a presiunii, Traductoare de presiune cu elemente sensibile elastic</t>
  </si>
  <si>
    <t>11</t>
  </si>
  <si>
    <t>Traductoare de nivel. Noţiuni introductive, Clasificarea traductoarelor de nivel, Traductoare de nivel pentru lichide / substanţe granulare şi pulverulente</t>
  </si>
  <si>
    <t>12</t>
  </si>
  <si>
    <t>Traductoare de temperatură. Noţiuni introductive, Principii de funcţionare ale traductoarelor de temperatura, Traductoare de temperatură cu contact bazate pe efecte termomecanice / termoelectrice.</t>
  </si>
  <si>
    <t>13</t>
  </si>
  <si>
    <t>Traductoare de debit. Noţiuni introductive, Principii de funcţionare ale traductoarelor de debit, Traductoare de debit cu diferenţă de presiune variabilă, Traductoare de debit volumetrice, Traductoare de debit de viteză, Traductoare de debit electromagnetice, Traductoare de debit cu ultrasunete</t>
  </si>
  <si>
    <t>14</t>
  </si>
  <si>
    <t>Traductoare de viteză. Noţiuni introductive, Principii şi metode utilizate în măsurarea vitezei, Traductoare de turaţie, Traductoare de viteză liniară</t>
  </si>
  <si>
    <t>Bibliografie curs:
1. Antoniu Mihai, Ştefan Poli, Antoniu Eduard, (2000), Măsurări electronice, Aparate şi sisteme de măsură numerice, vol. II, Editura Satya, Iaşi 
2. Mastacan L., (2012),  Senzori si traductoare, Ed. Politehnium, Iasi
3. Popescu D.&amp;al., (2015), Aplicatii ale retelelor de senzori multinivel in monitorizarea ambientala, POLITEHNICA PRESS
4. Wilson, J.S., editor, (2005), Sensor Technology Handbook, Elsevier</t>
  </si>
  <si>
    <t>9.2a Seminar</t>
  </si>
  <si>
    <t>Metode de lucru</t>
  </si>
  <si>
    <t>9.2b Laborator</t>
  </si>
  <si>
    <t xml:space="preserve">Metode de măsurare. Sistemul internațional de unități de măsură. Metode de calcul a erorilor.       </t>
  </si>
  <si>
    <t>Prezentarea noțiunilor teoretice aferente lucrărilor de laborator (materiale suport PDF).
Demonstrații practice și experimente pe echipamente specifice.
Discuții asupra materialelor puse la dispoziție și indicații pentru realizarea lucrărilor.
Activitate individuală și de echipă pentru rezolvarea sarcinilor din referatele de laborator.</t>
  </si>
  <si>
    <t xml:space="preserve">Măsurarea tensiunilor electrice și a curenților electrici.  </t>
  </si>
  <si>
    <t xml:space="preserve">Măsurarea rezistenţelor prin metode directe şi cu punţi de c.c.  </t>
  </si>
  <si>
    <t xml:space="preserve">Măsurarea puterii electrice în curent alternativ monofazat.    </t>
  </si>
  <si>
    <t>Studiul osciloscopului. Măsurarea parametrilor semnalelor periodice.  Măsurarea performanțelor unui circuit RLC pentru semnale de intrare de tip treaptă unitate și sinusoidal.</t>
  </si>
  <si>
    <t xml:space="preserve">Traductoare de deplasare </t>
  </si>
  <si>
    <t xml:space="preserve">Traductoare de temperatură  </t>
  </si>
  <si>
    <t xml:space="preserve">Adaptoare electronice pentru traductoare industriale  </t>
  </si>
  <si>
    <t xml:space="preserve">Traductoare de presiune  </t>
  </si>
  <si>
    <t xml:space="preserve">Traductoare de debit  </t>
  </si>
  <si>
    <t xml:space="preserve">Traductoare de nivel  </t>
  </si>
  <si>
    <t xml:space="preserve">Sistem de captare a mișcării umane </t>
  </si>
  <si>
    <t>Recuperări laboratoare absente; lămuriri suplimentare studenților care au astfel de solicitări</t>
  </si>
  <si>
    <t xml:space="preserve">Evaluare practică competențe de măsurare  </t>
  </si>
  <si>
    <t>9.2c Proiect</t>
  </si>
  <si>
    <r>
      <rPr>
        <sz val="12"/>
        <rFont val="Arial"/>
      </rPr>
      <t xml:space="preserve">Bibliografie aplicaţii (seminar / laborator / proiect):
1. Mastacan L., Măsurări şi instrumentaţie, îndrumar de laborator (format electronic) – Moodle
2. Mastacan L., Olah I., (2013), Echipamente şi structuri de reglare automată. Îndrumar de laborator, Editura Conspress, Bucureşti
3. Mastacan L., Dosoftei C., Senzori si traductoare. Îndrumar de laborator (format electronic) - Moodle 
4. *** </t>
    </r>
    <r>
      <rPr>
        <u/>
        <sz val="12"/>
        <color rgb="FF1155CC"/>
        <rFont val="Arial"/>
      </rPr>
      <t>https://www.nansense.com/software/</t>
    </r>
  </si>
  <si>
    <t>10. Evaluare</t>
  </si>
  <si>
    <t>Tip activitate</t>
  </si>
  <si>
    <t>10.1 Criterii de evaluare</t>
  </si>
  <si>
    <t>10.2 Metode de evaluare</t>
  </si>
  <si>
    <t>10.3 Pondere din nota finală [%]</t>
  </si>
  <si>
    <t>10.4 Examen / Colocviu</t>
  </si>
  <si>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prelucra datele și de a rezolva problemele enunțate.</t>
  </si>
  <si>
    <t>- observarea sistematică a studenţilor (teme individuale/ de echipă - temele trebuie efectuate în săptămâna dintre cursuri, pregătirea unui referat - studiu de caz).</t>
  </si>
  <si>
    <t>10%</t>
  </si>
  <si>
    <t>- test de evaluare formativ (verificări pe parcursul semestrului).</t>
  </si>
  <si>
    <t>20%</t>
  </si>
  <si>
    <t>- test de evaluare sumativ (verificare finală).</t>
  </si>
  <si>
    <t>70%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</si>
  <si>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</si>
  <si>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</si>
  <si>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</si>
  <si>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</si>
  <si>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</si>
  <si>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a aptitudinilor de folosire a instrumentelor de măsurare și interpretare a valorilor măsurate</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</si>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</sst>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6">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wrapText="1"/>
    </xf>
    <xf numFmtId="0" fontId="4" fillId="0" borderId="7" xfId="0" applyFont="1" applyBorder="1"/>
    <xf numFmtId="0" fontId="2" fillId="3" borderId="1" xfId="0" applyFont="1" applyFill="1" applyBorder="1" applyAlignment="1">
      <alignment vertical="center" wrapText="1"/>
    </xf>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 xfId="0" applyFont="1" applyFill="1" applyBorder="1" applyAlignment="1">
      <alignment horizont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7" fillId="3" borderId="1"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2.xlsx" TargetMode="External"/><Relationship Id="rId1" Type="http://schemas.openxmlformats.org/officeDocument/2006/relationships/externalLinkPath" Target="/Users/Madalin/Downloads/FD%20AIA%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MN"/>
      <sheetName val="ASDN"/>
      <sheetName val="MS"/>
      <sheetName val="ED"/>
      <sheetName val="SDA"/>
      <sheetName val="MSF"/>
      <sheetName val="IA"/>
      <sheetName val="BD"/>
      <sheetName val="AM"/>
      <sheetName val="TO"/>
      <sheetName val="SPD"/>
      <sheetName val="MT"/>
      <sheetName val="LE I"/>
      <sheetName val="LE II"/>
      <sheetName val="SP III"/>
      <sheetName val="CI"/>
      <sheetName val="E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C1" t="str">
            <v>Anul universitar: 2025-2026</v>
          </cell>
        </row>
        <row r="2">
          <cell r="B2" t="str">
            <v>Ingineria sistemelor</v>
          </cell>
        </row>
        <row r="3">
          <cell r="B3" t="str">
            <v>Licență</v>
          </cell>
        </row>
        <row r="4">
          <cell r="B4">
            <v>2</v>
          </cell>
        </row>
        <row r="5">
          <cell r="C5" t="str">
            <v>Automatică și Informatică Aplicată</v>
          </cell>
        </row>
        <row r="8">
          <cell r="A8">
            <v>1</v>
          </cell>
          <cell r="C8" t="str">
            <v>Metode numerice</v>
          </cell>
          <cell r="D8" t="str">
            <v>Numerical Methods</v>
          </cell>
          <cell r="E8" t="str">
            <v>AIA201</v>
          </cell>
          <cell r="F8" t="str">
            <v>DI</v>
          </cell>
          <cell r="G8" t="str">
            <v>DF</v>
          </cell>
          <cell r="H8">
            <v>2</v>
          </cell>
          <cell r="I8">
            <v>0</v>
          </cell>
          <cell r="J8">
            <v>2</v>
          </cell>
          <cell r="K8">
            <v>0</v>
          </cell>
          <cell r="L8">
            <v>69</v>
          </cell>
          <cell r="M8" t="str">
            <v>E</v>
          </cell>
          <cell r="N8">
            <v>5</v>
          </cell>
        </row>
        <row r="9">
          <cell r="A9">
            <v>1</v>
          </cell>
          <cell r="C9" t="str">
            <v>Analiza și sinteza dispozitivelor numerice</v>
          </cell>
          <cell r="D9" t="str">
            <v>Analysis and Synthesis of Digital Devices</v>
          </cell>
          <cell r="E9" t="str">
            <v>AIA202</v>
          </cell>
          <cell r="F9" t="str">
            <v>DI</v>
          </cell>
          <cell r="G9" t="str">
            <v>DD</v>
          </cell>
          <cell r="H9">
            <v>2</v>
          </cell>
          <cell r="I9">
            <v>0</v>
          </cell>
          <cell r="J9">
            <v>2</v>
          </cell>
          <cell r="K9">
            <v>0</v>
          </cell>
          <cell r="L9">
            <v>69</v>
          </cell>
          <cell r="M9" t="str">
            <v>E</v>
          </cell>
          <cell r="N9">
            <v>5</v>
          </cell>
        </row>
        <row r="10">
          <cell r="A10">
            <v>1</v>
          </cell>
          <cell r="C10" t="str">
            <v>Matematici speciale</v>
          </cell>
          <cell r="D10" t="str">
            <v>Advanced Mathematics</v>
          </cell>
          <cell r="E10" t="str">
            <v>AIA203</v>
          </cell>
          <cell r="F10" t="str">
            <v>DI</v>
          </cell>
          <cell r="G10" t="str">
            <v>DF</v>
          </cell>
          <cell r="H10">
            <v>2</v>
          </cell>
          <cell r="I10">
            <v>2</v>
          </cell>
          <cell r="J10">
            <v>0</v>
          </cell>
          <cell r="K10">
            <v>0</v>
          </cell>
          <cell r="L10">
            <v>44</v>
          </cell>
          <cell r="M10" t="str">
            <v>C</v>
          </cell>
          <cell r="N10">
            <v>4</v>
          </cell>
        </row>
        <row r="11">
          <cell r="A11">
            <v>1</v>
          </cell>
          <cell r="C11" t="str">
            <v>Electronică digitală</v>
          </cell>
          <cell r="D11" t="str">
            <v>Digital Electronics</v>
          </cell>
          <cell r="E11" t="str">
            <v>AIA204</v>
          </cell>
          <cell r="F11" t="str">
            <v>DI</v>
          </cell>
          <cell r="G11" t="str">
            <v>DD</v>
          </cell>
          <cell r="H11">
            <v>2</v>
          </cell>
          <cell r="I11">
            <v>0</v>
          </cell>
          <cell r="J11">
            <v>2</v>
          </cell>
          <cell r="K11">
            <v>0</v>
          </cell>
          <cell r="L11">
            <v>44</v>
          </cell>
          <cell r="M11" t="str">
            <v>C</v>
          </cell>
          <cell r="N11">
            <v>4</v>
          </cell>
        </row>
        <row r="12">
          <cell r="A12">
            <v>1</v>
          </cell>
          <cell r="C12" t="str">
            <v>Structuri de date și algoritmi</v>
          </cell>
          <cell r="D12" t="str">
            <v>Data Structures and Algorithms</v>
          </cell>
          <cell r="E12" t="str">
            <v>AIA205</v>
          </cell>
          <cell r="F12" t="str">
            <v>DI</v>
          </cell>
          <cell r="G12" t="str">
            <v>DD</v>
          </cell>
          <cell r="H12">
            <v>2</v>
          </cell>
          <cell r="I12">
            <v>0</v>
          </cell>
          <cell r="J12">
            <v>2</v>
          </cell>
          <cell r="K12">
            <v>0</v>
          </cell>
          <cell r="L12">
            <v>69</v>
          </cell>
          <cell r="M12" t="str">
            <v>E</v>
          </cell>
          <cell r="N12">
            <v>5</v>
          </cell>
        </row>
        <row r="13">
          <cell r="A13">
            <v>1</v>
          </cell>
          <cell r="C13" t="str">
            <v>Modelarea sistemelor fizice</v>
          </cell>
          <cell r="D13" t="str">
            <v>Modelling of Physical Systems</v>
          </cell>
          <cell r="E13" t="str">
            <v>AIA206</v>
          </cell>
          <cell r="F13" t="str">
            <v>DI</v>
          </cell>
          <cell r="G13" t="str">
            <v>DD</v>
          </cell>
          <cell r="H13">
            <v>2</v>
          </cell>
          <cell r="I13">
            <v>0</v>
          </cell>
          <cell r="J13">
            <v>2</v>
          </cell>
          <cell r="K13">
            <v>0</v>
          </cell>
          <cell r="L13">
            <v>69</v>
          </cell>
          <cell r="M13" t="str">
            <v>E</v>
          </cell>
          <cell r="N13">
            <v>5</v>
          </cell>
        </row>
        <row r="14">
          <cell r="A14">
            <v>2</v>
          </cell>
          <cell r="C14" t="str">
            <v>Introducere în automatică</v>
          </cell>
          <cell r="D14" t="str">
            <v>Fundamentals of Feedback Control</v>
          </cell>
          <cell r="E14" t="str">
            <v>AIA207</v>
          </cell>
          <cell r="F14" t="str">
            <v>DI</v>
          </cell>
          <cell r="G14" t="str">
            <v>DD</v>
          </cell>
          <cell r="H14">
            <v>3</v>
          </cell>
          <cell r="I14">
            <v>0</v>
          </cell>
          <cell r="J14">
            <v>2</v>
          </cell>
          <cell r="K14">
            <v>0</v>
          </cell>
          <cell r="L14">
            <v>55</v>
          </cell>
          <cell r="M14" t="str">
            <v>E</v>
          </cell>
          <cell r="N14">
            <v>5</v>
          </cell>
        </row>
        <row r="15">
          <cell r="A15">
            <v>2</v>
          </cell>
          <cell r="C15" t="str">
            <v>Baze de date</v>
          </cell>
          <cell r="D15" t="str">
            <v>Database Systems</v>
          </cell>
          <cell r="E15" t="str">
            <v>AIA208</v>
          </cell>
          <cell r="F15" t="str">
            <v>DI</v>
          </cell>
          <cell r="G15" t="str">
            <v>DD</v>
          </cell>
          <cell r="H15">
            <v>2</v>
          </cell>
          <cell r="I15">
            <v>0</v>
          </cell>
          <cell r="J15">
            <v>2</v>
          </cell>
          <cell r="K15">
            <v>0</v>
          </cell>
          <cell r="L15">
            <v>44</v>
          </cell>
          <cell r="M15" t="str">
            <v>C</v>
          </cell>
          <cell r="N15">
            <v>4</v>
          </cell>
        </row>
        <row r="16">
          <cell r="A16">
            <v>2</v>
          </cell>
          <cell r="C16" t="str">
            <v>Automate și microprogramare</v>
          </cell>
          <cell r="D16" t="str">
            <v>Automata and Microprogramming</v>
          </cell>
          <cell r="E16" t="str">
            <v>AIA209</v>
          </cell>
          <cell r="F16" t="str">
            <v>DI</v>
          </cell>
          <cell r="G16" t="str">
            <v>DD</v>
          </cell>
          <cell r="H16">
            <v>2</v>
          </cell>
          <cell r="I16">
            <v>0</v>
          </cell>
          <cell r="J16">
            <v>1</v>
          </cell>
          <cell r="K16">
            <v>1</v>
          </cell>
          <cell r="L16">
            <v>69</v>
          </cell>
          <cell r="M16" t="str">
            <v>E</v>
          </cell>
          <cell r="N16">
            <v>5</v>
          </cell>
        </row>
        <row r="17">
          <cell r="A17">
            <v>2</v>
          </cell>
          <cell r="C17" t="str">
            <v>Tehnici de optimizare</v>
          </cell>
          <cell r="D17" t="str">
            <v>Optimization Techniques</v>
          </cell>
          <cell r="E17" t="str">
            <v>AIA210</v>
          </cell>
          <cell r="F17" t="str">
            <v>DI</v>
          </cell>
          <cell r="G17" t="str">
            <v>DD</v>
          </cell>
          <cell r="H17">
            <v>2</v>
          </cell>
          <cell r="I17">
            <v>0</v>
          </cell>
          <cell r="J17">
            <v>2</v>
          </cell>
          <cell r="K17">
            <v>0</v>
          </cell>
          <cell r="L17">
            <v>69</v>
          </cell>
          <cell r="M17" t="str">
            <v>E</v>
          </cell>
          <cell r="N17">
            <v>5</v>
          </cell>
        </row>
        <row r="18">
          <cell r="A18">
            <v>2</v>
          </cell>
          <cell r="C18" t="str">
            <v>Statistică și prelucrarea datelor</v>
          </cell>
          <cell r="D18" t="str">
            <v>Statistics and Data Processing</v>
          </cell>
          <cell r="E18" t="str">
            <v>AIA211</v>
          </cell>
          <cell r="F18" t="str">
            <v>DI</v>
          </cell>
          <cell r="G18" t="str">
            <v>DF</v>
          </cell>
          <cell r="H18">
            <v>2</v>
          </cell>
          <cell r="I18">
            <v>0</v>
          </cell>
          <cell r="J18">
            <v>2</v>
          </cell>
          <cell r="K18">
            <v>0</v>
          </cell>
          <cell r="L18">
            <v>69</v>
          </cell>
          <cell r="M18" t="str">
            <v>E</v>
          </cell>
          <cell r="N18">
            <v>5</v>
          </cell>
        </row>
        <row r="19">
          <cell r="A19">
            <v>2</v>
          </cell>
          <cell r="C19" t="str">
            <v>Măsurări și traductoare</v>
          </cell>
          <cell r="D19" t="str">
            <v>Measurements and Transducers</v>
          </cell>
          <cell r="E19" t="str">
            <v>AIA212</v>
          </cell>
          <cell r="F19" t="str">
            <v>DI</v>
          </cell>
          <cell r="G19" t="str">
            <v>DD</v>
          </cell>
          <cell r="H19">
            <v>2</v>
          </cell>
          <cell r="I19">
            <v>0</v>
          </cell>
          <cell r="J19">
            <v>2</v>
          </cell>
          <cell r="K19">
            <v>0</v>
          </cell>
          <cell r="L19">
            <v>69</v>
          </cell>
          <cell r="M19" t="str">
            <v>E</v>
          </cell>
          <cell r="N19">
            <v>5</v>
          </cell>
        </row>
        <row r="20">
          <cell r="A20">
            <v>1</v>
          </cell>
          <cell r="C20" t="str">
            <v>Limba engleză I</v>
          </cell>
          <cell r="D20" t="str">
            <v>The English Language I</v>
          </cell>
          <cell r="E20" t="str">
            <v>AIA213</v>
          </cell>
          <cell r="F20" t="str">
            <v>DI</v>
          </cell>
          <cell r="G20" t="str">
            <v>DC</v>
          </cell>
          <cell r="H20">
            <v>0</v>
          </cell>
          <cell r="I20">
            <v>1</v>
          </cell>
          <cell r="J20">
            <v>0</v>
          </cell>
          <cell r="K20">
            <v>0</v>
          </cell>
          <cell r="L20">
            <v>11</v>
          </cell>
          <cell r="M20" t="str">
            <v>VP</v>
          </cell>
          <cell r="N20">
            <v>1</v>
          </cell>
        </row>
        <row r="21">
          <cell r="A21">
            <v>2</v>
          </cell>
          <cell r="C21" t="str">
            <v>Limba engleză II</v>
          </cell>
          <cell r="D21" t="str">
            <v>The English Language II</v>
          </cell>
          <cell r="E21" t="str">
            <v>AIA214</v>
          </cell>
          <cell r="F21" t="str">
            <v>DI</v>
          </cell>
          <cell r="G21" t="str">
            <v>DC</v>
          </cell>
          <cell r="H21">
            <v>0</v>
          </cell>
          <cell r="I21">
            <v>1</v>
          </cell>
          <cell r="J21">
            <v>0</v>
          </cell>
          <cell r="K21">
            <v>0</v>
          </cell>
          <cell r="L21">
            <v>11</v>
          </cell>
          <cell r="M21" t="str">
            <v>VP</v>
          </cell>
          <cell r="N21">
            <v>1</v>
          </cell>
        </row>
        <row r="29">
          <cell r="C29">
            <v>45915</v>
          </cell>
        </row>
        <row r="30">
          <cell r="C30">
            <v>45918</v>
          </cell>
        </row>
        <row r="31">
          <cell r="C31" t="str">
            <v>Conf.dr.ing. Mihai POSTOLACHE</v>
          </cell>
        </row>
        <row r="32">
          <cell r="C32"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nansense.com/softwar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CB5C-9A8E-44EF-B4F1-B8D17F74354A}">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Measurements and Transducers</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AIA212</v>
      </c>
      <c r="F14" s="18"/>
      <c r="G14" s="18"/>
      <c r="H14" s="18"/>
      <c r="I14" s="7" t="s">
        <v>16</v>
      </c>
      <c r="J14" s="8"/>
      <c r="K14" s="8"/>
      <c r="L14" s="10"/>
      <c r="M14" s="22" t="str">
        <f t="array" aca="1" ref="M14" ca="1">INDEX([1]Date!G8:G21, MATCH(E12,[1]Date!C8:C21,0),0)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5"/>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6"/>
      <c r="B18" s="2"/>
      <c r="C18" s="2"/>
      <c r="D18" s="27"/>
      <c r="E18" s="25" t="s">
        <v>18</v>
      </c>
      <c r="F18" s="8"/>
      <c r="G18" s="8"/>
      <c r="H18" s="8"/>
      <c r="I18" s="8"/>
      <c r="J18" s="8"/>
      <c r="K18" s="8"/>
      <c r="L18" s="8"/>
      <c r="M18" s="10"/>
      <c r="N18" s="5"/>
    </row>
    <row r="19" spans="1:14" ht="15.5" x14ac:dyDescent="0.35">
      <c r="A19" s="26"/>
      <c r="B19" s="2"/>
      <c r="C19" s="2"/>
      <c r="D19" s="27"/>
      <c r="E19" s="25" t="s">
        <v>21</v>
      </c>
      <c r="F19" s="8"/>
      <c r="G19" s="8"/>
      <c r="H19" s="8"/>
      <c r="I19" s="8"/>
      <c r="J19" s="8"/>
      <c r="K19" s="8"/>
      <c r="L19" s="8"/>
      <c r="M19" s="10"/>
      <c r="N19" s="5"/>
    </row>
    <row r="20" spans="1:14" ht="15.5" x14ac:dyDescent="0.35">
      <c r="A20" s="26"/>
      <c r="B20" s="2"/>
      <c r="C20" s="2"/>
      <c r="D20" s="27"/>
      <c r="E20" s="25" t="s">
        <v>22</v>
      </c>
      <c r="F20" s="8"/>
      <c r="G20" s="8"/>
      <c r="H20" s="8"/>
      <c r="I20" s="8"/>
      <c r="J20" s="8"/>
      <c r="K20" s="8"/>
      <c r="L20" s="8"/>
      <c r="M20" s="10"/>
      <c r="N20" s="5"/>
    </row>
    <row r="21" spans="1:14" ht="15.5" hidden="1" x14ac:dyDescent="0.35">
      <c r="A21" s="26"/>
      <c r="B21" s="2"/>
      <c r="C21" s="2"/>
      <c r="D21" s="27"/>
      <c r="E21" s="25"/>
      <c r="F21" s="8"/>
      <c r="G21" s="8"/>
      <c r="H21" s="8"/>
      <c r="I21" s="8"/>
      <c r="J21" s="8"/>
      <c r="K21" s="8"/>
      <c r="L21" s="8"/>
      <c r="M21" s="10"/>
      <c r="N21" s="5"/>
    </row>
    <row r="22" spans="1:14" ht="15.5" hidden="1" x14ac:dyDescent="0.35">
      <c r="A22" s="24"/>
      <c r="B22" s="18"/>
      <c r="C22" s="18"/>
      <c r="D22" s="19"/>
      <c r="E22" s="25"/>
      <c r="F22" s="8"/>
      <c r="G22" s="8"/>
      <c r="H22" s="8"/>
      <c r="I22" s="8"/>
      <c r="J22" s="8"/>
      <c r="K22" s="8"/>
      <c r="L22" s="8"/>
      <c r="M22" s="10"/>
      <c r="N22" s="5"/>
    </row>
    <row r="23" spans="1:14" ht="31" x14ac:dyDescent="0.35">
      <c r="A23" s="7" t="s">
        <v>23</v>
      </c>
      <c r="B23" s="10"/>
      <c r="C23" s="28">
        <f>[1]Date!B4</f>
        <v>2</v>
      </c>
      <c r="D23" s="29" t="s">
        <v>24</v>
      </c>
      <c r="E23" s="28">
        <f t="array" aca="1" ref="E23" ca="1">INDEX([1]Date!A8:A21, MATCH(E12,[1]Date!C8:C21,0),0)</f>
        <v>2</v>
      </c>
      <c r="F23" s="30" t="s">
        <v>25</v>
      </c>
      <c r="G23" s="8"/>
      <c r="H23" s="10"/>
      <c r="I23" s="22" t="str">
        <f t="array" aca="1" ref="I23" ca="1">INDEX([1]Date!M8:M21, MATCH(E12,[1]Date!C8:C21,0),0)</f>
        <v>E</v>
      </c>
      <c r="J23" s="30" t="s">
        <v>26</v>
      </c>
      <c r="K23" s="8"/>
      <c r="L23" s="10"/>
      <c r="M23" s="28"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27</v>
      </c>
      <c r="B25" s="2"/>
      <c r="C25" s="2"/>
      <c r="D25" s="2"/>
      <c r="E25" s="2"/>
      <c r="F25" s="2"/>
      <c r="G25" s="2"/>
      <c r="H25" s="2"/>
      <c r="I25" s="2"/>
      <c r="J25" s="2"/>
      <c r="K25" s="2"/>
      <c r="L25" s="2"/>
      <c r="M25" s="2"/>
      <c r="N25" s="31"/>
    </row>
    <row r="26" spans="1:14" ht="31" x14ac:dyDescent="0.35">
      <c r="A26" s="7" t="s">
        <v>28</v>
      </c>
      <c r="B26" s="10"/>
      <c r="C26" s="32">
        <f ca="1">SUM(E26+G26+I26+K26)</f>
        <v>4</v>
      </c>
      <c r="D26" s="29" t="s">
        <v>29</v>
      </c>
      <c r="E26" s="28">
        <f t="array" aca="1" ref="E26" ca="1">INDEX([1]Date!H8:H21, MATCH(E12,[1]Date!C8:C21,0),0)</f>
        <v>2</v>
      </c>
      <c r="F26" s="29" t="s">
        <v>30</v>
      </c>
      <c r="G26" s="28">
        <f t="array" aca="1" ref="G26" ca="1">INDEX([1]Date!I8:I21, MATCH(E12,[1]Date!C8:C21,0),0)</f>
        <v>0</v>
      </c>
      <c r="H26" s="29" t="s">
        <v>31</v>
      </c>
      <c r="I26" s="32">
        <f t="array" aca="1" ref="I26" ca="1">INDEX([1]Date!J8:J21, MATCH(E12,[1]Date!C8:C21,0),0)</f>
        <v>2</v>
      </c>
      <c r="J26" s="29" t="s">
        <v>32</v>
      </c>
      <c r="K26" s="28">
        <f t="array" aca="1" ref="K26" ca="1">INDEX([1]Date!K8:K21, MATCH(E12,[1]Date!C8:C21,0),0)</f>
        <v>0</v>
      </c>
      <c r="L26" s="7" t="s">
        <v>33</v>
      </c>
      <c r="M26" s="10"/>
      <c r="N26" s="31"/>
    </row>
    <row r="27" spans="1:14" ht="31" x14ac:dyDescent="0.35">
      <c r="A27" s="7" t="s">
        <v>34</v>
      </c>
      <c r="B27" s="10"/>
      <c r="C27" s="28">
        <f ca="1">C26*14</f>
        <v>56</v>
      </c>
      <c r="D27" s="29" t="s">
        <v>35</v>
      </c>
      <c r="E27" s="28">
        <f ca="1">E26*14</f>
        <v>28</v>
      </c>
      <c r="F27" s="29" t="s">
        <v>36</v>
      </c>
      <c r="G27" s="28">
        <f ca="1">G26*14</f>
        <v>0</v>
      </c>
      <c r="H27" s="29" t="s">
        <v>37</v>
      </c>
      <c r="I27" s="28">
        <f ca="1">I26*14</f>
        <v>28</v>
      </c>
      <c r="J27" s="29" t="s">
        <v>38</v>
      </c>
      <c r="K27" s="28">
        <f ca="1">K26*14</f>
        <v>0</v>
      </c>
      <c r="L27" s="29" t="s">
        <v>39</v>
      </c>
      <c r="M27" s="28">
        <v>0</v>
      </c>
      <c r="N27" s="5"/>
    </row>
    <row r="28" spans="1:14" ht="15.5" x14ac:dyDescent="0.35">
      <c r="A28" s="7" t="s">
        <v>40</v>
      </c>
      <c r="B28" s="8"/>
      <c r="C28" s="8"/>
      <c r="D28" s="8"/>
      <c r="E28" s="8"/>
      <c r="F28" s="8"/>
      <c r="G28" s="8"/>
      <c r="H28" s="8"/>
      <c r="I28" s="8"/>
      <c r="J28" s="8"/>
      <c r="K28" s="8"/>
      <c r="L28" s="10"/>
      <c r="M28" s="28" t="s">
        <v>41</v>
      </c>
      <c r="N28" s="5"/>
    </row>
    <row r="29" spans="1:14" ht="15.5" x14ac:dyDescent="0.35">
      <c r="A29" s="7" t="s">
        <v>42</v>
      </c>
      <c r="B29" s="8"/>
      <c r="C29" s="8"/>
      <c r="D29" s="8"/>
      <c r="E29" s="8"/>
      <c r="F29" s="8"/>
      <c r="G29" s="8"/>
      <c r="H29" s="8"/>
      <c r="I29" s="8"/>
      <c r="J29" s="8"/>
      <c r="K29" s="8"/>
      <c r="L29" s="10"/>
      <c r="M29" s="33">
        <v>29</v>
      </c>
      <c r="N29" s="5"/>
    </row>
    <row r="30" spans="1:14" ht="15.5" x14ac:dyDescent="0.35">
      <c r="A30" s="7" t="s">
        <v>43</v>
      </c>
      <c r="B30" s="8"/>
      <c r="C30" s="8"/>
      <c r="D30" s="8"/>
      <c r="E30" s="8"/>
      <c r="F30" s="8"/>
      <c r="G30" s="8"/>
      <c r="H30" s="8"/>
      <c r="I30" s="8"/>
      <c r="J30" s="8"/>
      <c r="K30" s="8"/>
      <c r="L30" s="10"/>
      <c r="M30" s="33">
        <v>20</v>
      </c>
      <c r="N30" s="5"/>
    </row>
    <row r="31" spans="1:14" ht="15.5" x14ac:dyDescent="0.35">
      <c r="A31" s="7" t="s">
        <v>44</v>
      </c>
      <c r="B31" s="8"/>
      <c r="C31" s="8"/>
      <c r="D31" s="8"/>
      <c r="E31" s="8"/>
      <c r="F31" s="8"/>
      <c r="G31" s="8"/>
      <c r="H31" s="8"/>
      <c r="I31" s="8"/>
      <c r="J31" s="8"/>
      <c r="K31" s="8"/>
      <c r="L31" s="10"/>
      <c r="M31" s="33">
        <v>20</v>
      </c>
      <c r="N31" s="5"/>
    </row>
    <row r="32" spans="1:14" ht="15.5" x14ac:dyDescent="0.35">
      <c r="A32" s="7" t="s">
        <v>45</v>
      </c>
      <c r="B32" s="8"/>
      <c r="C32" s="8"/>
      <c r="D32" s="8"/>
      <c r="E32" s="8"/>
      <c r="F32" s="8"/>
      <c r="G32" s="8"/>
      <c r="H32" s="8"/>
      <c r="I32" s="8"/>
      <c r="J32" s="8"/>
      <c r="K32" s="8"/>
      <c r="L32" s="10"/>
      <c r="M32" s="28">
        <f t="array" aca="1" ref="M32" ca="1">IF(INDEX([1]Date!M8:M21, MATCH(E12,[1]Date!C8:C21,0),0)="E",3,0)</f>
        <v>3</v>
      </c>
      <c r="N32" s="5"/>
    </row>
    <row r="33" spans="1:14" ht="15.5" x14ac:dyDescent="0.35">
      <c r="A33" s="7" t="s">
        <v>46</v>
      </c>
      <c r="B33" s="8"/>
      <c r="C33" s="8"/>
      <c r="D33" s="8"/>
      <c r="E33" s="8"/>
      <c r="F33" s="8"/>
      <c r="G33" s="8"/>
      <c r="H33" s="8"/>
      <c r="I33" s="8"/>
      <c r="J33" s="8"/>
      <c r="K33" s="8"/>
      <c r="L33" s="10"/>
      <c r="M33" s="28">
        <f ca="1">C34-SUM(M29:M31)</f>
        <v>0</v>
      </c>
      <c r="N33" s="5"/>
    </row>
    <row r="34" spans="1:14" ht="15.5" x14ac:dyDescent="0.35">
      <c r="A34" s="7" t="s">
        <v>47</v>
      </c>
      <c r="B34" s="10"/>
      <c r="C34" s="28">
        <f t="array" aca="1" ref="C34" ca="1">INDEX([1]Date!L8:L21, MATCH(E12,[1]Date!C8:C21,0),0)</f>
        <v>69</v>
      </c>
      <c r="D34" s="5"/>
      <c r="E34" s="5"/>
      <c r="F34" s="5"/>
      <c r="G34" s="5"/>
      <c r="H34" s="5"/>
      <c r="I34" s="5"/>
      <c r="J34" s="5"/>
      <c r="K34" s="5"/>
      <c r="L34" s="5"/>
      <c r="M34" s="5"/>
      <c r="N34" s="5"/>
    </row>
    <row r="35" spans="1:14" ht="15.5" x14ac:dyDescent="0.35">
      <c r="A35" s="7" t="s">
        <v>48</v>
      </c>
      <c r="B35" s="10"/>
      <c r="C35" s="28">
        <f ca="1">C27+C34</f>
        <v>125</v>
      </c>
      <c r="D35" s="5"/>
      <c r="E35" s="5"/>
      <c r="F35" s="5"/>
      <c r="G35" s="5"/>
      <c r="H35" s="5"/>
      <c r="I35" s="5"/>
      <c r="J35" s="5"/>
      <c r="K35" s="5"/>
      <c r="L35" s="5"/>
      <c r="M35" s="5"/>
      <c r="N35" s="5"/>
    </row>
    <row r="36" spans="1:14" ht="15.5" x14ac:dyDescent="0.35">
      <c r="A36" s="7" t="s">
        <v>49</v>
      </c>
      <c r="B36" s="10"/>
      <c r="C36" s="28">
        <f t="array" aca="1" ref="C36" ca="1">INDEX([1]Date!N8:N21, MATCH(E12,[1]Date!C8:C21,0),0)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50</v>
      </c>
      <c r="B38" s="2"/>
      <c r="C38" s="2"/>
      <c r="D38" s="2"/>
      <c r="E38" s="2"/>
      <c r="F38" s="2"/>
      <c r="G38" s="2"/>
      <c r="H38" s="2"/>
      <c r="I38" s="2"/>
      <c r="J38" s="2"/>
      <c r="K38" s="2"/>
      <c r="L38" s="2"/>
      <c r="M38" s="2"/>
      <c r="N38" s="31"/>
    </row>
    <row r="39" spans="1:14" ht="15.5" x14ac:dyDescent="0.35">
      <c r="A39" s="7" t="s">
        <v>51</v>
      </c>
      <c r="B39" s="10"/>
      <c r="C39" s="9" t="s">
        <v>52</v>
      </c>
      <c r="D39" s="8"/>
      <c r="E39" s="8"/>
      <c r="F39" s="8"/>
      <c r="G39" s="8"/>
      <c r="H39" s="8"/>
      <c r="I39" s="8"/>
      <c r="J39" s="8"/>
      <c r="K39" s="8"/>
      <c r="L39" s="8"/>
      <c r="M39" s="10"/>
      <c r="N39" s="31"/>
    </row>
    <row r="40" spans="1:14" ht="15.5" x14ac:dyDescent="0.35">
      <c r="A40" s="7" t="s">
        <v>53</v>
      </c>
      <c r="B40" s="10"/>
      <c r="C40" s="25"/>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54</v>
      </c>
      <c r="B42" s="2"/>
      <c r="C42" s="2"/>
      <c r="D42" s="2"/>
      <c r="E42" s="2"/>
      <c r="F42" s="2"/>
      <c r="G42" s="2"/>
      <c r="H42" s="2"/>
      <c r="I42" s="2"/>
      <c r="J42" s="2"/>
      <c r="K42" s="2"/>
      <c r="L42" s="2"/>
      <c r="M42" s="2"/>
      <c r="N42" s="31"/>
    </row>
    <row r="43" spans="1:14" ht="15.5" x14ac:dyDescent="0.35">
      <c r="A43" s="7" t="s">
        <v>55</v>
      </c>
      <c r="B43" s="10"/>
      <c r="C43" s="25" t="s">
        <v>56</v>
      </c>
      <c r="D43" s="8"/>
      <c r="E43" s="8"/>
      <c r="F43" s="8"/>
      <c r="G43" s="8"/>
      <c r="H43" s="8"/>
      <c r="I43" s="8"/>
      <c r="J43" s="8"/>
      <c r="K43" s="8"/>
      <c r="L43" s="8"/>
      <c r="M43" s="10"/>
      <c r="N43" s="31"/>
    </row>
    <row r="44" spans="1:14" ht="15.5" x14ac:dyDescent="0.35">
      <c r="A44" s="7" t="s">
        <v>57</v>
      </c>
      <c r="B44" s="10"/>
      <c r="C44" s="25" t="s">
        <v>58</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59</v>
      </c>
      <c r="B46" s="2"/>
      <c r="C46" s="2"/>
      <c r="D46" s="2"/>
      <c r="E46" s="2"/>
      <c r="F46" s="2"/>
      <c r="G46" s="2"/>
      <c r="H46" s="2"/>
      <c r="I46" s="2"/>
      <c r="J46" s="2"/>
      <c r="K46" s="2"/>
      <c r="L46" s="2"/>
      <c r="M46" s="2"/>
      <c r="N46" s="31"/>
    </row>
    <row r="47" spans="1:14" ht="62.25" customHeight="1" x14ac:dyDescent="0.35">
      <c r="A47" s="25" t="s">
        <v>60</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61</v>
      </c>
      <c r="B49" s="2"/>
      <c r="C49" s="2"/>
      <c r="D49" s="2"/>
      <c r="E49" s="2"/>
      <c r="F49" s="2"/>
      <c r="G49" s="2"/>
      <c r="H49" s="2"/>
      <c r="I49" s="2"/>
      <c r="J49" s="2"/>
      <c r="K49" s="2"/>
      <c r="L49" s="2"/>
      <c r="M49" s="2"/>
      <c r="N49" s="31"/>
    </row>
    <row r="50" spans="1:14" ht="15.5" x14ac:dyDescent="0.35">
      <c r="A50" s="34" t="s">
        <v>62</v>
      </c>
      <c r="B50" s="35" t="s">
        <v>63</v>
      </c>
      <c r="C50" s="8"/>
      <c r="D50" s="8"/>
      <c r="E50" s="8"/>
      <c r="F50" s="8"/>
      <c r="G50" s="8"/>
      <c r="H50" s="8"/>
      <c r="I50" s="8"/>
      <c r="J50" s="8"/>
      <c r="K50" s="8"/>
      <c r="L50" s="8"/>
      <c r="M50" s="10"/>
      <c r="N50" s="5"/>
    </row>
    <row r="51" spans="1:14" ht="211.5" customHeight="1" x14ac:dyDescent="0.35">
      <c r="A51" s="36"/>
      <c r="B51" s="37" t="s">
        <v>64</v>
      </c>
      <c r="C51" s="8"/>
      <c r="D51" s="8"/>
      <c r="E51" s="8"/>
      <c r="F51" s="8"/>
      <c r="G51" s="8"/>
      <c r="H51" s="8"/>
      <c r="I51" s="8"/>
      <c r="J51" s="8"/>
      <c r="K51" s="8"/>
      <c r="L51" s="8"/>
      <c r="M51" s="10"/>
      <c r="N51" s="5"/>
    </row>
    <row r="52" spans="1:14" ht="15.5" x14ac:dyDescent="0.35">
      <c r="A52" s="34" t="s">
        <v>65</v>
      </c>
      <c r="B52" s="35" t="s">
        <v>63</v>
      </c>
      <c r="C52" s="8"/>
      <c r="D52" s="8"/>
      <c r="E52" s="8"/>
      <c r="F52" s="8"/>
      <c r="G52" s="8"/>
      <c r="H52" s="8"/>
      <c r="I52" s="8"/>
      <c r="J52" s="8"/>
      <c r="K52" s="8"/>
      <c r="L52" s="8"/>
      <c r="M52" s="10"/>
      <c r="N52" s="5"/>
    </row>
    <row r="53" spans="1:14" ht="15.5" x14ac:dyDescent="0.35">
      <c r="A53" s="36"/>
      <c r="B53" s="37" t="s">
        <v>66</v>
      </c>
      <c r="C53" s="8"/>
      <c r="D53" s="8"/>
      <c r="E53" s="8"/>
      <c r="F53" s="8"/>
      <c r="G53" s="8"/>
      <c r="H53" s="8"/>
      <c r="I53" s="8"/>
      <c r="J53" s="8"/>
      <c r="K53" s="8"/>
      <c r="L53" s="8"/>
      <c r="M53" s="10"/>
      <c r="N53" s="5"/>
    </row>
    <row r="54" spans="1:14" ht="18" customHeight="1" x14ac:dyDescent="0.35">
      <c r="A54" s="34" t="s">
        <v>67</v>
      </c>
      <c r="B54" s="35" t="s">
        <v>63</v>
      </c>
      <c r="C54" s="8"/>
      <c r="D54" s="8"/>
      <c r="E54" s="8"/>
      <c r="F54" s="8"/>
      <c r="G54" s="8"/>
      <c r="H54" s="8"/>
      <c r="I54" s="8"/>
      <c r="J54" s="8"/>
      <c r="K54" s="8"/>
      <c r="L54" s="8"/>
      <c r="M54" s="10"/>
      <c r="N54" s="5"/>
    </row>
    <row r="55" spans="1:14" ht="104.25" customHeight="1" x14ac:dyDescent="0.35">
      <c r="A55" s="36"/>
      <c r="B55" s="38" t="s">
        <v>68</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69</v>
      </c>
      <c r="B57" s="2"/>
      <c r="C57" s="2"/>
      <c r="D57" s="2"/>
      <c r="E57" s="2"/>
      <c r="F57" s="2"/>
      <c r="G57" s="2"/>
      <c r="H57" s="2"/>
      <c r="I57" s="2"/>
      <c r="J57" s="2"/>
      <c r="K57" s="2"/>
      <c r="L57" s="2"/>
      <c r="M57" s="2"/>
      <c r="N57" s="31"/>
    </row>
    <row r="58" spans="1:14" ht="53.25" customHeight="1" x14ac:dyDescent="0.35">
      <c r="N58" s="5"/>
    </row>
    <row r="59" spans="1:14" ht="15.5" x14ac:dyDescent="0.35">
      <c r="A59" s="5"/>
      <c r="B59" s="5"/>
      <c r="C59" s="5"/>
      <c r="D59" s="5"/>
      <c r="E59" s="5"/>
      <c r="F59" s="5"/>
      <c r="G59" s="5"/>
      <c r="H59" s="5"/>
      <c r="I59" s="5"/>
      <c r="J59" s="5"/>
      <c r="K59" s="5"/>
      <c r="L59" s="5"/>
      <c r="M59" s="5"/>
      <c r="N59" s="5"/>
    </row>
    <row r="60" spans="1:14" ht="15.5" x14ac:dyDescent="0.35">
      <c r="A60" s="6" t="s">
        <v>70</v>
      </c>
      <c r="B60" s="2"/>
      <c r="C60" s="2"/>
      <c r="D60" s="2"/>
      <c r="E60" s="2"/>
      <c r="F60" s="2"/>
      <c r="G60" s="2"/>
      <c r="H60" s="2"/>
      <c r="I60" s="2"/>
      <c r="J60" s="2"/>
      <c r="K60" s="2"/>
      <c r="L60" s="2"/>
      <c r="M60" s="2"/>
      <c r="N60" s="31"/>
    </row>
    <row r="61" spans="1:14" ht="24.75" customHeight="1" x14ac:dyDescent="0.35">
      <c r="A61" s="39" t="s">
        <v>71</v>
      </c>
      <c r="B61" s="8"/>
      <c r="C61" s="8"/>
      <c r="D61" s="8"/>
      <c r="E61" s="8"/>
      <c r="F61" s="8"/>
      <c r="G61" s="10"/>
      <c r="H61" s="39" t="s">
        <v>72</v>
      </c>
      <c r="I61" s="8"/>
      <c r="J61" s="8"/>
      <c r="K61" s="10"/>
      <c r="L61" s="39" t="s">
        <v>73</v>
      </c>
      <c r="M61" s="10"/>
      <c r="N61" s="31"/>
    </row>
    <row r="62" spans="1:14" ht="15.5" x14ac:dyDescent="0.35">
      <c r="A62" s="40" t="s">
        <v>74</v>
      </c>
      <c r="B62" s="23" t="s">
        <v>75</v>
      </c>
      <c r="C62" s="8"/>
      <c r="D62" s="8"/>
      <c r="E62" s="8"/>
      <c r="F62" s="8"/>
      <c r="G62" s="10"/>
      <c r="H62" s="41" t="s">
        <v>76</v>
      </c>
      <c r="I62" s="14"/>
      <c r="J62" s="14"/>
      <c r="K62" s="15"/>
      <c r="L62" s="42">
        <v>2</v>
      </c>
      <c r="M62" s="10"/>
      <c r="N62" s="5"/>
    </row>
    <row r="63" spans="1:14" ht="15.5" x14ac:dyDescent="0.35">
      <c r="A63" s="40" t="s">
        <v>77</v>
      </c>
      <c r="B63" s="23" t="s">
        <v>78</v>
      </c>
      <c r="C63" s="8"/>
      <c r="D63" s="8"/>
      <c r="E63" s="8"/>
      <c r="F63" s="8"/>
      <c r="G63" s="10"/>
      <c r="H63" s="26"/>
      <c r="I63" s="2"/>
      <c r="J63" s="2"/>
      <c r="K63" s="27"/>
      <c r="L63" s="42">
        <v>2</v>
      </c>
      <c r="M63" s="10"/>
      <c r="N63" s="5"/>
    </row>
    <row r="64" spans="1:14" ht="15.5" x14ac:dyDescent="0.35">
      <c r="A64" s="40" t="s">
        <v>79</v>
      </c>
      <c r="B64" s="23" t="s">
        <v>80</v>
      </c>
      <c r="C64" s="8"/>
      <c r="D64" s="8"/>
      <c r="E64" s="8"/>
      <c r="F64" s="8"/>
      <c r="G64" s="10"/>
      <c r="H64" s="26"/>
      <c r="I64" s="2"/>
      <c r="J64" s="2"/>
      <c r="K64" s="27"/>
      <c r="L64" s="42">
        <v>2</v>
      </c>
      <c r="M64" s="10"/>
      <c r="N64" s="5"/>
    </row>
    <row r="65" spans="1:14" ht="15.5" x14ac:dyDescent="0.35">
      <c r="A65" s="40" t="s">
        <v>81</v>
      </c>
      <c r="B65" s="23" t="s">
        <v>82</v>
      </c>
      <c r="C65" s="8"/>
      <c r="D65" s="8"/>
      <c r="E65" s="8"/>
      <c r="F65" s="8"/>
      <c r="G65" s="10"/>
      <c r="H65" s="26"/>
      <c r="I65" s="2"/>
      <c r="J65" s="2"/>
      <c r="K65" s="27"/>
      <c r="L65" s="42">
        <v>2</v>
      </c>
      <c r="M65" s="10"/>
      <c r="N65" s="5"/>
    </row>
    <row r="66" spans="1:14" ht="15.5" x14ac:dyDescent="0.35">
      <c r="A66" s="40" t="s">
        <v>83</v>
      </c>
      <c r="B66" s="23" t="s">
        <v>84</v>
      </c>
      <c r="C66" s="8"/>
      <c r="D66" s="8"/>
      <c r="E66" s="8"/>
      <c r="F66" s="8"/>
      <c r="G66" s="10"/>
      <c r="H66" s="26"/>
      <c r="I66" s="2"/>
      <c r="J66" s="2"/>
      <c r="K66" s="27"/>
      <c r="L66" s="42">
        <v>2</v>
      </c>
      <c r="M66" s="10"/>
      <c r="N66" s="5"/>
    </row>
    <row r="67" spans="1:14" ht="15.5" x14ac:dyDescent="0.35">
      <c r="A67" s="40" t="s">
        <v>85</v>
      </c>
      <c r="B67" s="23" t="s">
        <v>86</v>
      </c>
      <c r="C67" s="8"/>
      <c r="D67" s="8"/>
      <c r="E67" s="8"/>
      <c r="F67" s="8"/>
      <c r="G67" s="10"/>
      <c r="H67" s="26"/>
      <c r="I67" s="2"/>
      <c r="J67" s="2"/>
      <c r="K67" s="27"/>
      <c r="L67" s="42">
        <v>2</v>
      </c>
      <c r="M67" s="10"/>
      <c r="N67" s="5"/>
    </row>
    <row r="68" spans="1:14" ht="15.5" x14ac:dyDescent="0.35">
      <c r="A68" s="40" t="s">
        <v>87</v>
      </c>
      <c r="B68" s="23" t="s">
        <v>88</v>
      </c>
      <c r="C68" s="8"/>
      <c r="D68" s="8"/>
      <c r="E68" s="8"/>
      <c r="F68" s="8"/>
      <c r="G68" s="10"/>
      <c r="H68" s="26"/>
      <c r="I68" s="2"/>
      <c r="J68" s="2"/>
      <c r="K68" s="27"/>
      <c r="L68" s="42">
        <v>2</v>
      </c>
      <c r="M68" s="10"/>
      <c r="N68" s="5"/>
    </row>
    <row r="69" spans="1:14" ht="15.5" x14ac:dyDescent="0.35">
      <c r="A69" s="40" t="s">
        <v>89</v>
      </c>
      <c r="B69" s="23" t="s">
        <v>90</v>
      </c>
      <c r="C69" s="8"/>
      <c r="D69" s="8"/>
      <c r="E69" s="8"/>
      <c r="F69" s="8"/>
      <c r="G69" s="10"/>
      <c r="H69" s="26"/>
      <c r="I69" s="2"/>
      <c r="J69" s="2"/>
      <c r="K69" s="27"/>
      <c r="L69" s="42">
        <v>2</v>
      </c>
      <c r="M69" s="10"/>
      <c r="N69" s="5"/>
    </row>
    <row r="70" spans="1:14" ht="15.5" x14ac:dyDescent="0.35">
      <c r="A70" s="40" t="s">
        <v>91</v>
      </c>
      <c r="B70" s="23" t="s">
        <v>92</v>
      </c>
      <c r="C70" s="8"/>
      <c r="D70" s="8"/>
      <c r="E70" s="8"/>
      <c r="F70" s="8"/>
      <c r="G70" s="10"/>
      <c r="H70" s="26"/>
      <c r="I70" s="2"/>
      <c r="J70" s="2"/>
      <c r="K70" s="27"/>
      <c r="L70" s="42">
        <v>2</v>
      </c>
      <c r="M70" s="10"/>
      <c r="N70" s="5"/>
    </row>
    <row r="71" spans="1:14" ht="15.5" x14ac:dyDescent="0.35">
      <c r="A71" s="40" t="s">
        <v>93</v>
      </c>
      <c r="B71" s="23" t="s">
        <v>94</v>
      </c>
      <c r="C71" s="8"/>
      <c r="D71" s="8"/>
      <c r="E71" s="8"/>
      <c r="F71" s="8"/>
      <c r="G71" s="10"/>
      <c r="H71" s="26"/>
      <c r="I71" s="2"/>
      <c r="J71" s="2"/>
      <c r="K71" s="27"/>
      <c r="L71" s="42">
        <v>2</v>
      </c>
      <c r="M71" s="10"/>
      <c r="N71" s="5"/>
    </row>
    <row r="72" spans="1:14" ht="15.5" x14ac:dyDescent="0.35">
      <c r="A72" s="40" t="s">
        <v>95</v>
      </c>
      <c r="B72" s="23" t="s">
        <v>96</v>
      </c>
      <c r="C72" s="8"/>
      <c r="D72" s="8"/>
      <c r="E72" s="8"/>
      <c r="F72" s="8"/>
      <c r="G72" s="10"/>
      <c r="H72" s="26"/>
      <c r="I72" s="2"/>
      <c r="J72" s="2"/>
      <c r="K72" s="27"/>
      <c r="L72" s="42">
        <v>2</v>
      </c>
      <c r="M72" s="10"/>
      <c r="N72" s="5"/>
    </row>
    <row r="73" spans="1:14" ht="15.5" x14ac:dyDescent="0.35">
      <c r="A73" s="40" t="s">
        <v>97</v>
      </c>
      <c r="B73" s="23" t="s">
        <v>98</v>
      </c>
      <c r="C73" s="8"/>
      <c r="D73" s="8"/>
      <c r="E73" s="8"/>
      <c r="F73" s="8"/>
      <c r="G73" s="10"/>
      <c r="H73" s="26"/>
      <c r="I73" s="2"/>
      <c r="J73" s="2"/>
      <c r="K73" s="27"/>
      <c r="L73" s="42">
        <v>2</v>
      </c>
      <c r="M73" s="10"/>
      <c r="N73" s="5"/>
    </row>
    <row r="74" spans="1:14" ht="15.5" x14ac:dyDescent="0.35">
      <c r="A74" s="40" t="s">
        <v>99</v>
      </c>
      <c r="B74" s="23" t="s">
        <v>100</v>
      </c>
      <c r="C74" s="8"/>
      <c r="D74" s="8"/>
      <c r="E74" s="8"/>
      <c r="F74" s="8"/>
      <c r="G74" s="10"/>
      <c r="H74" s="26"/>
      <c r="I74" s="2"/>
      <c r="J74" s="2"/>
      <c r="K74" s="27"/>
      <c r="L74" s="42">
        <v>2</v>
      </c>
      <c r="M74" s="10"/>
      <c r="N74" s="5"/>
    </row>
    <row r="75" spans="1:14" ht="15.5" x14ac:dyDescent="0.35">
      <c r="A75" s="40" t="s">
        <v>101</v>
      </c>
      <c r="B75" s="23" t="s">
        <v>102</v>
      </c>
      <c r="C75" s="8"/>
      <c r="D75" s="8"/>
      <c r="E75" s="8"/>
      <c r="F75" s="8"/>
      <c r="G75" s="10"/>
      <c r="H75" s="24"/>
      <c r="I75" s="18"/>
      <c r="J75" s="18"/>
      <c r="K75" s="19"/>
      <c r="L75" s="42">
        <v>2</v>
      </c>
      <c r="M75" s="10"/>
      <c r="N75" s="5"/>
    </row>
    <row r="76" spans="1:14" ht="84.75" customHeight="1" x14ac:dyDescent="0.35">
      <c r="A76" s="38" t="s">
        <v>103</v>
      </c>
      <c r="B76" s="8"/>
      <c r="C76" s="8"/>
      <c r="D76" s="8"/>
      <c r="E76" s="8"/>
      <c r="F76" s="8"/>
      <c r="G76" s="8"/>
      <c r="H76" s="8"/>
      <c r="I76" s="8"/>
      <c r="J76" s="8"/>
      <c r="K76" s="8"/>
      <c r="L76" s="8"/>
      <c r="M76" s="10"/>
      <c r="N76" s="5"/>
    </row>
    <row r="77" spans="1:14" ht="24.75" hidden="1" customHeight="1" x14ac:dyDescent="0.35">
      <c r="A77" s="39" t="s">
        <v>104</v>
      </c>
      <c r="B77" s="8"/>
      <c r="C77" s="8"/>
      <c r="D77" s="8"/>
      <c r="E77" s="8"/>
      <c r="F77" s="8"/>
      <c r="G77" s="10"/>
      <c r="H77" s="39" t="s">
        <v>105</v>
      </c>
      <c r="I77" s="8"/>
      <c r="J77" s="8"/>
      <c r="K77" s="10"/>
      <c r="L77" s="39" t="s">
        <v>73</v>
      </c>
      <c r="M77" s="10"/>
      <c r="N77" s="31"/>
    </row>
    <row r="78" spans="1:14" ht="15.5" hidden="1" x14ac:dyDescent="0.35">
      <c r="A78" s="40" t="s">
        <v>74</v>
      </c>
      <c r="B78" s="25"/>
      <c r="C78" s="8"/>
      <c r="D78" s="8"/>
      <c r="E78" s="8"/>
      <c r="F78" s="8"/>
      <c r="G78" s="10"/>
      <c r="H78" s="43"/>
      <c r="I78" s="14"/>
      <c r="J78" s="14"/>
      <c r="K78" s="15"/>
      <c r="L78" s="25"/>
      <c r="M78" s="10"/>
      <c r="N78" s="5"/>
    </row>
    <row r="79" spans="1:14" ht="15.5" hidden="1" x14ac:dyDescent="0.35">
      <c r="A79" s="40" t="s">
        <v>77</v>
      </c>
      <c r="B79" s="25"/>
      <c r="C79" s="8"/>
      <c r="D79" s="8"/>
      <c r="E79" s="8"/>
      <c r="F79" s="8"/>
      <c r="G79" s="10"/>
      <c r="H79" s="26"/>
      <c r="I79" s="2"/>
      <c r="J79" s="2"/>
      <c r="K79" s="27"/>
      <c r="L79" s="25"/>
      <c r="M79" s="10"/>
      <c r="N79" s="5"/>
    </row>
    <row r="80" spans="1:14" ht="15.5" hidden="1" x14ac:dyDescent="0.35">
      <c r="A80" s="40" t="s">
        <v>79</v>
      </c>
      <c r="B80" s="25"/>
      <c r="C80" s="8"/>
      <c r="D80" s="8"/>
      <c r="E80" s="8"/>
      <c r="F80" s="8"/>
      <c r="G80" s="10"/>
      <c r="H80" s="26"/>
      <c r="I80" s="2"/>
      <c r="J80" s="2"/>
      <c r="K80" s="27"/>
      <c r="L80" s="25"/>
      <c r="M80" s="10"/>
      <c r="N80" s="5"/>
    </row>
    <row r="81" spans="1:14" ht="15.5" hidden="1" x14ac:dyDescent="0.35">
      <c r="A81" s="40" t="s">
        <v>81</v>
      </c>
      <c r="B81" s="25"/>
      <c r="C81" s="8"/>
      <c r="D81" s="8"/>
      <c r="E81" s="8"/>
      <c r="F81" s="8"/>
      <c r="G81" s="10"/>
      <c r="H81" s="26"/>
      <c r="I81" s="2"/>
      <c r="J81" s="2"/>
      <c r="K81" s="27"/>
      <c r="L81" s="25"/>
      <c r="M81" s="10"/>
      <c r="N81" s="5"/>
    </row>
    <row r="82" spans="1:14" ht="15.5" hidden="1" x14ac:dyDescent="0.35">
      <c r="A82" s="40" t="s">
        <v>83</v>
      </c>
      <c r="B82" s="25"/>
      <c r="C82" s="8"/>
      <c r="D82" s="8"/>
      <c r="E82" s="8"/>
      <c r="F82" s="8"/>
      <c r="G82" s="10"/>
      <c r="H82" s="26"/>
      <c r="I82" s="2"/>
      <c r="J82" s="2"/>
      <c r="K82" s="27"/>
      <c r="L82" s="25"/>
      <c r="M82" s="10"/>
      <c r="N82" s="5"/>
    </row>
    <row r="83" spans="1:14" ht="15.5" hidden="1" x14ac:dyDescent="0.35">
      <c r="A83" s="40" t="s">
        <v>85</v>
      </c>
      <c r="B83" s="25"/>
      <c r="C83" s="8"/>
      <c r="D83" s="8"/>
      <c r="E83" s="8"/>
      <c r="F83" s="8"/>
      <c r="G83" s="10"/>
      <c r="H83" s="26"/>
      <c r="I83" s="2"/>
      <c r="J83" s="2"/>
      <c r="K83" s="27"/>
      <c r="L83" s="25"/>
      <c r="M83" s="10"/>
      <c r="N83" s="5"/>
    </row>
    <row r="84" spans="1:14" ht="15.5" hidden="1" x14ac:dyDescent="0.35">
      <c r="A84" s="40" t="s">
        <v>87</v>
      </c>
      <c r="B84" s="25"/>
      <c r="C84" s="8"/>
      <c r="D84" s="8"/>
      <c r="E84" s="8"/>
      <c r="F84" s="8"/>
      <c r="G84" s="10"/>
      <c r="H84" s="26"/>
      <c r="I84" s="2"/>
      <c r="J84" s="2"/>
      <c r="K84" s="27"/>
      <c r="L84" s="25"/>
      <c r="M84" s="10"/>
      <c r="N84" s="5"/>
    </row>
    <row r="85" spans="1:14" ht="15.5" hidden="1" x14ac:dyDescent="0.35">
      <c r="A85" s="40" t="s">
        <v>89</v>
      </c>
      <c r="B85" s="25"/>
      <c r="C85" s="8"/>
      <c r="D85" s="8"/>
      <c r="E85" s="8"/>
      <c r="F85" s="8"/>
      <c r="G85" s="10"/>
      <c r="H85" s="26"/>
      <c r="I85" s="2"/>
      <c r="J85" s="2"/>
      <c r="K85" s="27"/>
      <c r="L85" s="25"/>
      <c r="M85" s="10"/>
      <c r="N85" s="5"/>
    </row>
    <row r="86" spans="1:14" ht="15.5" hidden="1" x14ac:dyDescent="0.35">
      <c r="A86" s="40" t="s">
        <v>91</v>
      </c>
      <c r="B86" s="25"/>
      <c r="C86" s="8"/>
      <c r="D86" s="8"/>
      <c r="E86" s="8"/>
      <c r="F86" s="8"/>
      <c r="G86" s="10"/>
      <c r="H86" s="26"/>
      <c r="I86" s="2"/>
      <c r="J86" s="2"/>
      <c r="K86" s="27"/>
      <c r="L86" s="25"/>
      <c r="M86" s="10"/>
      <c r="N86" s="5"/>
    </row>
    <row r="87" spans="1:14" ht="15.5" hidden="1" x14ac:dyDescent="0.35">
      <c r="A87" s="40" t="s">
        <v>93</v>
      </c>
      <c r="B87" s="25"/>
      <c r="C87" s="8"/>
      <c r="D87" s="8"/>
      <c r="E87" s="8"/>
      <c r="F87" s="8"/>
      <c r="G87" s="10"/>
      <c r="H87" s="26"/>
      <c r="I87" s="2"/>
      <c r="J87" s="2"/>
      <c r="K87" s="27"/>
      <c r="L87" s="25"/>
      <c r="M87" s="10"/>
      <c r="N87" s="5"/>
    </row>
    <row r="88" spans="1:14" ht="15.5" hidden="1" x14ac:dyDescent="0.35">
      <c r="A88" s="40" t="s">
        <v>95</v>
      </c>
      <c r="B88" s="25"/>
      <c r="C88" s="8"/>
      <c r="D88" s="8"/>
      <c r="E88" s="8"/>
      <c r="F88" s="8"/>
      <c r="G88" s="10"/>
      <c r="H88" s="26"/>
      <c r="I88" s="2"/>
      <c r="J88" s="2"/>
      <c r="K88" s="27"/>
      <c r="L88" s="25"/>
      <c r="M88" s="10"/>
      <c r="N88" s="5"/>
    </row>
    <row r="89" spans="1:14" ht="15.5" hidden="1" x14ac:dyDescent="0.35">
      <c r="A89" s="40" t="s">
        <v>97</v>
      </c>
      <c r="B89" s="25"/>
      <c r="C89" s="8"/>
      <c r="D89" s="8"/>
      <c r="E89" s="8"/>
      <c r="F89" s="8"/>
      <c r="G89" s="10"/>
      <c r="H89" s="26"/>
      <c r="I89" s="2"/>
      <c r="J89" s="2"/>
      <c r="K89" s="27"/>
      <c r="L89" s="25"/>
      <c r="M89" s="10"/>
      <c r="N89" s="5"/>
    </row>
    <row r="90" spans="1:14" ht="15.5" hidden="1" x14ac:dyDescent="0.35">
      <c r="A90" s="40" t="s">
        <v>99</v>
      </c>
      <c r="B90" s="25"/>
      <c r="C90" s="8"/>
      <c r="D90" s="8"/>
      <c r="E90" s="8"/>
      <c r="F90" s="8"/>
      <c r="G90" s="10"/>
      <c r="H90" s="26"/>
      <c r="I90" s="2"/>
      <c r="J90" s="2"/>
      <c r="K90" s="27"/>
      <c r="L90" s="25"/>
      <c r="M90" s="10"/>
      <c r="N90" s="5"/>
    </row>
    <row r="91" spans="1:14" ht="15.5" hidden="1" x14ac:dyDescent="0.35">
      <c r="A91" s="40" t="s">
        <v>101</v>
      </c>
      <c r="B91" s="25"/>
      <c r="C91" s="8"/>
      <c r="D91" s="8"/>
      <c r="E91" s="8"/>
      <c r="F91" s="8"/>
      <c r="G91" s="10"/>
      <c r="H91" s="24"/>
      <c r="I91" s="18"/>
      <c r="J91" s="18"/>
      <c r="K91" s="19"/>
      <c r="L91" s="25"/>
      <c r="M91" s="10"/>
      <c r="N91" s="5"/>
    </row>
    <row r="92" spans="1:14" ht="24" customHeight="1" x14ac:dyDescent="0.35">
      <c r="A92" s="39" t="s">
        <v>106</v>
      </c>
      <c r="B92" s="8"/>
      <c r="C92" s="8"/>
      <c r="D92" s="8"/>
      <c r="E92" s="8"/>
      <c r="F92" s="8"/>
      <c r="G92" s="10"/>
      <c r="H92" s="39" t="s">
        <v>105</v>
      </c>
      <c r="I92" s="8"/>
      <c r="J92" s="8"/>
      <c r="K92" s="10"/>
      <c r="L92" s="39" t="s">
        <v>73</v>
      </c>
      <c r="M92" s="10"/>
      <c r="N92" s="31"/>
    </row>
    <row r="93" spans="1:14" ht="15.5" x14ac:dyDescent="0.35">
      <c r="A93" s="40" t="s">
        <v>74</v>
      </c>
      <c r="B93" s="25" t="s">
        <v>107</v>
      </c>
      <c r="C93" s="8"/>
      <c r="D93" s="8"/>
      <c r="E93" s="8"/>
      <c r="F93" s="8"/>
      <c r="G93" s="10"/>
      <c r="H93" s="41" t="s">
        <v>108</v>
      </c>
      <c r="I93" s="14"/>
      <c r="J93" s="14"/>
      <c r="K93" s="15"/>
      <c r="L93" s="44">
        <v>2</v>
      </c>
      <c r="M93" s="10"/>
      <c r="N93" s="5"/>
    </row>
    <row r="94" spans="1:14" ht="15.5" x14ac:dyDescent="0.35">
      <c r="A94" s="40" t="s">
        <v>77</v>
      </c>
      <c r="B94" s="25" t="s">
        <v>109</v>
      </c>
      <c r="C94" s="8"/>
      <c r="D94" s="8"/>
      <c r="E94" s="8"/>
      <c r="F94" s="8"/>
      <c r="G94" s="10"/>
      <c r="H94" s="26"/>
      <c r="I94" s="2"/>
      <c r="J94" s="2"/>
      <c r="K94" s="27"/>
      <c r="L94" s="44">
        <v>2</v>
      </c>
      <c r="M94" s="10"/>
      <c r="N94" s="5"/>
    </row>
    <row r="95" spans="1:14" ht="15.5" x14ac:dyDescent="0.35">
      <c r="A95" s="40" t="s">
        <v>79</v>
      </c>
      <c r="B95" s="25" t="s">
        <v>110</v>
      </c>
      <c r="C95" s="8"/>
      <c r="D95" s="8"/>
      <c r="E95" s="8"/>
      <c r="F95" s="8"/>
      <c r="G95" s="10"/>
      <c r="H95" s="26"/>
      <c r="I95" s="2"/>
      <c r="J95" s="2"/>
      <c r="K95" s="27"/>
      <c r="L95" s="44">
        <v>2</v>
      </c>
      <c r="M95" s="10"/>
      <c r="N95" s="5"/>
    </row>
    <row r="96" spans="1:14" ht="15.5" x14ac:dyDescent="0.35">
      <c r="A96" s="40" t="s">
        <v>81</v>
      </c>
      <c r="B96" s="25" t="s">
        <v>111</v>
      </c>
      <c r="C96" s="8"/>
      <c r="D96" s="8"/>
      <c r="E96" s="8"/>
      <c r="F96" s="8"/>
      <c r="G96" s="10"/>
      <c r="H96" s="26"/>
      <c r="I96" s="2"/>
      <c r="J96" s="2"/>
      <c r="K96" s="27"/>
      <c r="L96" s="44">
        <v>2</v>
      </c>
      <c r="M96" s="10"/>
      <c r="N96" s="5"/>
    </row>
    <row r="97" spans="1:14" ht="15.5" x14ac:dyDescent="0.35">
      <c r="A97" s="40" t="s">
        <v>83</v>
      </c>
      <c r="B97" s="25" t="s">
        <v>112</v>
      </c>
      <c r="C97" s="8"/>
      <c r="D97" s="8"/>
      <c r="E97" s="8"/>
      <c r="F97" s="8"/>
      <c r="G97" s="10"/>
      <c r="H97" s="26"/>
      <c r="I97" s="2"/>
      <c r="J97" s="2"/>
      <c r="K97" s="27"/>
      <c r="L97" s="44">
        <v>2</v>
      </c>
      <c r="M97" s="10"/>
      <c r="N97" s="5"/>
    </row>
    <row r="98" spans="1:14" ht="15.5" x14ac:dyDescent="0.35">
      <c r="A98" s="40" t="s">
        <v>85</v>
      </c>
      <c r="B98" s="25" t="s">
        <v>113</v>
      </c>
      <c r="C98" s="8"/>
      <c r="D98" s="8"/>
      <c r="E98" s="8"/>
      <c r="F98" s="8"/>
      <c r="G98" s="10"/>
      <c r="H98" s="26"/>
      <c r="I98" s="2"/>
      <c r="J98" s="2"/>
      <c r="K98" s="27"/>
      <c r="L98" s="44">
        <v>2</v>
      </c>
      <c r="M98" s="10"/>
      <c r="N98" s="5"/>
    </row>
    <row r="99" spans="1:14" ht="15.5" x14ac:dyDescent="0.35">
      <c r="A99" s="40" t="s">
        <v>87</v>
      </c>
      <c r="B99" s="25" t="s">
        <v>114</v>
      </c>
      <c r="C99" s="8"/>
      <c r="D99" s="8"/>
      <c r="E99" s="8"/>
      <c r="F99" s="8"/>
      <c r="G99" s="10"/>
      <c r="H99" s="26"/>
      <c r="I99" s="2"/>
      <c r="J99" s="2"/>
      <c r="K99" s="27"/>
      <c r="L99" s="44">
        <v>2</v>
      </c>
      <c r="M99" s="10"/>
      <c r="N99" s="5"/>
    </row>
    <row r="100" spans="1:14" ht="15.5" x14ac:dyDescent="0.35">
      <c r="A100" s="40" t="s">
        <v>89</v>
      </c>
      <c r="B100" s="25" t="s">
        <v>115</v>
      </c>
      <c r="C100" s="8"/>
      <c r="D100" s="8"/>
      <c r="E100" s="8"/>
      <c r="F100" s="8"/>
      <c r="G100" s="10"/>
      <c r="H100" s="26"/>
      <c r="I100" s="2"/>
      <c r="J100" s="2"/>
      <c r="K100" s="27"/>
      <c r="L100" s="44">
        <v>2</v>
      </c>
      <c r="M100" s="10"/>
      <c r="N100" s="5"/>
    </row>
    <row r="101" spans="1:14" ht="15.5" x14ac:dyDescent="0.35">
      <c r="A101" s="40" t="s">
        <v>91</v>
      </c>
      <c r="B101" s="25" t="s">
        <v>116</v>
      </c>
      <c r="C101" s="8"/>
      <c r="D101" s="8"/>
      <c r="E101" s="8"/>
      <c r="F101" s="8"/>
      <c r="G101" s="10"/>
      <c r="H101" s="26"/>
      <c r="I101" s="2"/>
      <c r="J101" s="2"/>
      <c r="K101" s="27"/>
      <c r="L101" s="44">
        <v>2</v>
      </c>
      <c r="M101" s="10"/>
      <c r="N101" s="5"/>
    </row>
    <row r="102" spans="1:14" ht="15.5" x14ac:dyDescent="0.35">
      <c r="A102" s="40" t="s">
        <v>93</v>
      </c>
      <c r="B102" s="25" t="s">
        <v>117</v>
      </c>
      <c r="C102" s="8"/>
      <c r="D102" s="8"/>
      <c r="E102" s="8"/>
      <c r="F102" s="8"/>
      <c r="G102" s="10"/>
      <c r="H102" s="26"/>
      <c r="I102" s="2"/>
      <c r="J102" s="2"/>
      <c r="K102" s="27"/>
      <c r="L102" s="44">
        <v>2</v>
      </c>
      <c r="M102" s="10"/>
      <c r="N102" s="5"/>
    </row>
    <row r="103" spans="1:14" ht="15.5" x14ac:dyDescent="0.35">
      <c r="A103" s="40" t="s">
        <v>95</v>
      </c>
      <c r="B103" s="25" t="s">
        <v>118</v>
      </c>
      <c r="C103" s="8"/>
      <c r="D103" s="8"/>
      <c r="E103" s="8"/>
      <c r="F103" s="8"/>
      <c r="G103" s="10"/>
      <c r="H103" s="26"/>
      <c r="I103" s="2"/>
      <c r="J103" s="2"/>
      <c r="K103" s="27"/>
      <c r="L103" s="44">
        <v>2</v>
      </c>
      <c r="M103" s="10"/>
      <c r="N103" s="5"/>
    </row>
    <row r="104" spans="1:14" ht="15.5" x14ac:dyDescent="0.35">
      <c r="A104" s="40" t="s">
        <v>97</v>
      </c>
      <c r="B104" s="25" t="s">
        <v>119</v>
      </c>
      <c r="C104" s="8"/>
      <c r="D104" s="8"/>
      <c r="E104" s="8"/>
      <c r="F104" s="8"/>
      <c r="G104" s="10"/>
      <c r="H104" s="26"/>
      <c r="I104" s="2"/>
      <c r="J104" s="2"/>
      <c r="K104" s="27"/>
      <c r="L104" s="44">
        <v>2</v>
      </c>
      <c r="M104" s="10"/>
      <c r="N104" s="5"/>
    </row>
    <row r="105" spans="1:14" ht="15.5" x14ac:dyDescent="0.35">
      <c r="A105" s="40" t="s">
        <v>99</v>
      </c>
      <c r="B105" s="25" t="s">
        <v>120</v>
      </c>
      <c r="C105" s="8"/>
      <c r="D105" s="8"/>
      <c r="E105" s="8"/>
      <c r="F105" s="8"/>
      <c r="G105" s="10"/>
      <c r="H105" s="26"/>
      <c r="I105" s="2"/>
      <c r="J105" s="2"/>
      <c r="K105" s="27"/>
      <c r="L105" s="44">
        <v>2</v>
      </c>
      <c r="M105" s="10"/>
      <c r="N105" s="5"/>
    </row>
    <row r="106" spans="1:14" ht="15.5" x14ac:dyDescent="0.35">
      <c r="A106" s="40" t="s">
        <v>101</v>
      </c>
      <c r="B106" s="25" t="s">
        <v>121</v>
      </c>
      <c r="C106" s="8"/>
      <c r="D106" s="8"/>
      <c r="E106" s="8"/>
      <c r="F106" s="8"/>
      <c r="G106" s="10"/>
      <c r="H106" s="24"/>
      <c r="I106" s="18"/>
      <c r="J106" s="18"/>
      <c r="K106" s="19"/>
      <c r="L106" s="44">
        <v>2</v>
      </c>
      <c r="M106" s="10"/>
      <c r="N106" s="5"/>
    </row>
    <row r="107" spans="1:14" ht="24" hidden="1" customHeight="1" x14ac:dyDescent="0.35">
      <c r="A107" s="39" t="s">
        <v>122</v>
      </c>
      <c r="B107" s="8"/>
      <c r="C107" s="8"/>
      <c r="D107" s="8"/>
      <c r="E107" s="8"/>
      <c r="F107" s="8"/>
      <c r="G107" s="10"/>
      <c r="H107" s="39" t="s">
        <v>105</v>
      </c>
      <c r="I107" s="8"/>
      <c r="J107" s="8"/>
      <c r="K107" s="10"/>
      <c r="L107" s="39" t="s">
        <v>73</v>
      </c>
      <c r="M107" s="10"/>
      <c r="N107" s="31"/>
    </row>
    <row r="108" spans="1:14" ht="15.5" hidden="1" x14ac:dyDescent="0.35">
      <c r="A108" s="40" t="s">
        <v>74</v>
      </c>
      <c r="B108" s="25"/>
      <c r="C108" s="8"/>
      <c r="D108" s="8"/>
      <c r="E108" s="8"/>
      <c r="F108" s="8"/>
      <c r="G108" s="10"/>
      <c r="H108" s="43"/>
      <c r="I108" s="14"/>
      <c r="J108" s="14"/>
      <c r="K108" s="15"/>
      <c r="L108" s="25"/>
      <c r="M108" s="10"/>
      <c r="N108" s="5"/>
    </row>
    <row r="109" spans="1:14" ht="15.5" hidden="1" x14ac:dyDescent="0.35">
      <c r="A109" s="40" t="s">
        <v>77</v>
      </c>
      <c r="B109" s="25"/>
      <c r="C109" s="8"/>
      <c r="D109" s="8"/>
      <c r="E109" s="8"/>
      <c r="F109" s="8"/>
      <c r="G109" s="10"/>
      <c r="H109" s="26"/>
      <c r="I109" s="2"/>
      <c r="J109" s="2"/>
      <c r="K109" s="27"/>
      <c r="L109" s="25"/>
      <c r="M109" s="10"/>
      <c r="N109" s="5"/>
    </row>
    <row r="110" spans="1:14" ht="15.5" hidden="1" x14ac:dyDescent="0.35">
      <c r="A110" s="40" t="s">
        <v>79</v>
      </c>
      <c r="B110" s="25"/>
      <c r="C110" s="8"/>
      <c r="D110" s="8"/>
      <c r="E110" s="8"/>
      <c r="F110" s="8"/>
      <c r="G110" s="10"/>
      <c r="H110" s="26"/>
      <c r="I110" s="2"/>
      <c r="J110" s="2"/>
      <c r="K110" s="27"/>
      <c r="L110" s="25"/>
      <c r="M110" s="10"/>
      <c r="N110" s="5"/>
    </row>
    <row r="111" spans="1:14" ht="15.5" hidden="1" x14ac:dyDescent="0.35">
      <c r="A111" s="40" t="s">
        <v>81</v>
      </c>
      <c r="B111" s="25"/>
      <c r="C111" s="8"/>
      <c r="D111" s="8"/>
      <c r="E111" s="8"/>
      <c r="F111" s="8"/>
      <c r="G111" s="10"/>
      <c r="H111" s="26"/>
      <c r="I111" s="2"/>
      <c r="J111" s="2"/>
      <c r="K111" s="27"/>
      <c r="L111" s="25"/>
      <c r="M111" s="10"/>
      <c r="N111" s="5"/>
    </row>
    <row r="112" spans="1:14" ht="15.5" hidden="1" x14ac:dyDescent="0.35">
      <c r="A112" s="40" t="s">
        <v>83</v>
      </c>
      <c r="B112" s="25"/>
      <c r="C112" s="8"/>
      <c r="D112" s="8"/>
      <c r="E112" s="8"/>
      <c r="F112" s="8"/>
      <c r="G112" s="10"/>
      <c r="H112" s="26"/>
      <c r="I112" s="2"/>
      <c r="J112" s="2"/>
      <c r="K112" s="27"/>
      <c r="L112" s="25"/>
      <c r="M112" s="10"/>
      <c r="N112" s="5"/>
    </row>
    <row r="113" spans="1:14" ht="15.5" hidden="1" x14ac:dyDescent="0.35">
      <c r="A113" s="40" t="s">
        <v>85</v>
      </c>
      <c r="B113" s="25"/>
      <c r="C113" s="8"/>
      <c r="D113" s="8"/>
      <c r="E113" s="8"/>
      <c r="F113" s="8"/>
      <c r="G113" s="10"/>
      <c r="H113" s="26"/>
      <c r="I113" s="2"/>
      <c r="J113" s="2"/>
      <c r="K113" s="27"/>
      <c r="L113" s="25"/>
      <c r="M113" s="10"/>
      <c r="N113" s="5"/>
    </row>
    <row r="114" spans="1:14" ht="15.5" hidden="1" x14ac:dyDescent="0.35">
      <c r="A114" s="40" t="s">
        <v>87</v>
      </c>
      <c r="B114" s="25"/>
      <c r="C114" s="8"/>
      <c r="D114" s="8"/>
      <c r="E114" s="8"/>
      <c r="F114" s="8"/>
      <c r="G114" s="10"/>
      <c r="H114" s="26"/>
      <c r="I114" s="2"/>
      <c r="J114" s="2"/>
      <c r="K114" s="27"/>
      <c r="L114" s="25"/>
      <c r="M114" s="10"/>
      <c r="N114" s="5"/>
    </row>
    <row r="115" spans="1:14" ht="15.5" hidden="1" x14ac:dyDescent="0.35">
      <c r="A115" s="40" t="s">
        <v>89</v>
      </c>
      <c r="B115" s="25"/>
      <c r="C115" s="8"/>
      <c r="D115" s="8"/>
      <c r="E115" s="8"/>
      <c r="F115" s="8"/>
      <c r="G115" s="10"/>
      <c r="H115" s="26"/>
      <c r="I115" s="2"/>
      <c r="J115" s="2"/>
      <c r="K115" s="27"/>
      <c r="L115" s="25"/>
      <c r="M115" s="10"/>
      <c r="N115" s="5"/>
    </row>
    <row r="116" spans="1:14" ht="15.5" hidden="1" x14ac:dyDescent="0.35">
      <c r="A116" s="40" t="s">
        <v>91</v>
      </c>
      <c r="B116" s="25"/>
      <c r="C116" s="8"/>
      <c r="D116" s="8"/>
      <c r="E116" s="8"/>
      <c r="F116" s="8"/>
      <c r="G116" s="10"/>
      <c r="H116" s="26"/>
      <c r="I116" s="2"/>
      <c r="J116" s="2"/>
      <c r="K116" s="27"/>
      <c r="L116" s="25"/>
      <c r="M116" s="10"/>
      <c r="N116" s="5"/>
    </row>
    <row r="117" spans="1:14" ht="15.5" hidden="1" x14ac:dyDescent="0.35">
      <c r="A117" s="40" t="s">
        <v>93</v>
      </c>
      <c r="B117" s="25"/>
      <c r="C117" s="8"/>
      <c r="D117" s="8"/>
      <c r="E117" s="8"/>
      <c r="F117" s="8"/>
      <c r="G117" s="10"/>
      <c r="H117" s="26"/>
      <c r="I117" s="2"/>
      <c r="J117" s="2"/>
      <c r="K117" s="27"/>
      <c r="L117" s="25"/>
      <c r="M117" s="10"/>
      <c r="N117" s="5"/>
    </row>
    <row r="118" spans="1:14" ht="15.5" hidden="1" x14ac:dyDescent="0.35">
      <c r="A118" s="40" t="s">
        <v>95</v>
      </c>
      <c r="B118" s="25"/>
      <c r="C118" s="8"/>
      <c r="D118" s="8"/>
      <c r="E118" s="8"/>
      <c r="F118" s="8"/>
      <c r="G118" s="10"/>
      <c r="H118" s="26"/>
      <c r="I118" s="2"/>
      <c r="J118" s="2"/>
      <c r="K118" s="27"/>
      <c r="L118" s="25"/>
      <c r="M118" s="10"/>
      <c r="N118" s="5"/>
    </row>
    <row r="119" spans="1:14" ht="15.5" hidden="1" x14ac:dyDescent="0.35">
      <c r="A119" s="40" t="s">
        <v>97</v>
      </c>
      <c r="B119" s="25"/>
      <c r="C119" s="8"/>
      <c r="D119" s="8"/>
      <c r="E119" s="8"/>
      <c r="F119" s="8"/>
      <c r="G119" s="10"/>
      <c r="H119" s="26"/>
      <c r="I119" s="2"/>
      <c r="J119" s="2"/>
      <c r="K119" s="27"/>
      <c r="L119" s="25"/>
      <c r="M119" s="10"/>
      <c r="N119" s="5"/>
    </row>
    <row r="120" spans="1:14" ht="15.5" hidden="1" x14ac:dyDescent="0.35">
      <c r="A120" s="40" t="s">
        <v>99</v>
      </c>
      <c r="B120" s="25"/>
      <c r="C120" s="8"/>
      <c r="D120" s="8"/>
      <c r="E120" s="8"/>
      <c r="F120" s="8"/>
      <c r="G120" s="10"/>
      <c r="H120" s="26"/>
      <c r="I120" s="2"/>
      <c r="J120" s="2"/>
      <c r="K120" s="27"/>
      <c r="L120" s="25"/>
      <c r="M120" s="10"/>
      <c r="N120" s="5"/>
    </row>
    <row r="121" spans="1:14" ht="15.5" hidden="1" x14ac:dyDescent="0.35">
      <c r="A121" s="40" t="s">
        <v>101</v>
      </c>
      <c r="B121" s="25"/>
      <c r="C121" s="8"/>
      <c r="D121" s="8"/>
      <c r="E121" s="8"/>
      <c r="F121" s="8"/>
      <c r="G121" s="10"/>
      <c r="H121" s="24"/>
      <c r="I121" s="18"/>
      <c r="J121" s="18"/>
      <c r="K121" s="19"/>
      <c r="L121" s="25"/>
      <c r="M121" s="10"/>
      <c r="N121" s="5"/>
    </row>
    <row r="122" spans="1:14" ht="115.5" customHeight="1" x14ac:dyDescent="0.35">
      <c r="A122" s="45" t="s">
        <v>123</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124</v>
      </c>
      <c r="B124" s="2"/>
      <c r="C124" s="2"/>
      <c r="D124" s="2"/>
      <c r="E124" s="2"/>
      <c r="F124" s="2"/>
      <c r="G124" s="2"/>
      <c r="H124" s="2"/>
      <c r="I124" s="2"/>
      <c r="J124" s="2"/>
      <c r="K124" s="2"/>
      <c r="L124" s="2"/>
      <c r="M124" s="2"/>
      <c r="N124" s="31"/>
    </row>
    <row r="125" spans="1:14" ht="46.5" x14ac:dyDescent="0.35">
      <c r="A125" s="46" t="s">
        <v>125</v>
      </c>
      <c r="B125" s="47" t="s">
        <v>126</v>
      </c>
      <c r="C125" s="8"/>
      <c r="D125" s="8"/>
      <c r="E125" s="8"/>
      <c r="F125" s="8"/>
      <c r="G125" s="10"/>
      <c r="H125" s="47" t="s">
        <v>127</v>
      </c>
      <c r="I125" s="8"/>
      <c r="J125" s="8"/>
      <c r="K125" s="10"/>
      <c r="L125" s="48" t="s">
        <v>128</v>
      </c>
      <c r="M125" s="10"/>
      <c r="N125" s="5"/>
    </row>
    <row r="126" spans="1:14" ht="15.5" x14ac:dyDescent="0.35">
      <c r="A126" s="49" t="s">
        <v>129</v>
      </c>
      <c r="B126" s="50" t="s">
        <v>130</v>
      </c>
      <c r="C126" s="14"/>
      <c r="D126" s="14"/>
      <c r="E126" s="14"/>
      <c r="F126" s="14"/>
      <c r="G126" s="15"/>
      <c r="H126" s="51" t="s">
        <v>131</v>
      </c>
      <c r="I126" s="8"/>
      <c r="J126" s="8"/>
      <c r="K126" s="52" t="s">
        <v>132</v>
      </c>
      <c r="L126" s="53">
        <f>1-SUM(L129:M131)</f>
        <v>0.7</v>
      </c>
      <c r="M126" s="15"/>
      <c r="N126" s="5"/>
    </row>
    <row r="127" spans="1:14" ht="15.5" x14ac:dyDescent="0.35">
      <c r="A127" s="54"/>
      <c r="B127" s="26"/>
      <c r="C127" s="2"/>
      <c r="D127" s="2"/>
      <c r="E127" s="2"/>
      <c r="F127" s="2"/>
      <c r="G127" s="27"/>
      <c r="H127" s="55" t="s">
        <v>133</v>
      </c>
      <c r="I127" s="8"/>
      <c r="J127" s="8"/>
      <c r="K127" s="52" t="s">
        <v>134</v>
      </c>
      <c r="L127" s="26"/>
      <c r="M127" s="27"/>
      <c r="N127" s="5"/>
    </row>
    <row r="128" spans="1:14" ht="15.5" x14ac:dyDescent="0.35">
      <c r="A128" s="36"/>
      <c r="B128" s="24"/>
      <c r="C128" s="18"/>
      <c r="D128" s="18"/>
      <c r="E128" s="18"/>
      <c r="F128" s="18"/>
      <c r="G128" s="19"/>
      <c r="H128" s="55" t="s">
        <v>135</v>
      </c>
      <c r="I128" s="8"/>
      <c r="J128" s="8"/>
      <c r="K128" s="52" t="s">
        <v>136</v>
      </c>
      <c r="L128" s="24"/>
      <c r="M128" s="19"/>
      <c r="N128" s="5"/>
    </row>
    <row r="129" spans="1:14" ht="68.25" hidden="1" customHeight="1" x14ac:dyDescent="0.35">
      <c r="A129" s="46" t="s">
        <v>137</v>
      </c>
      <c r="B129" s="55" t="s">
        <v>138</v>
      </c>
      <c r="C129" s="8"/>
      <c r="D129" s="8"/>
      <c r="E129" s="8"/>
      <c r="F129" s="8"/>
      <c r="G129" s="10"/>
      <c r="H129" s="55" t="s">
        <v>139</v>
      </c>
      <c r="I129" s="8"/>
      <c r="J129" s="8"/>
      <c r="K129" s="10"/>
      <c r="L129" s="56"/>
      <c r="M129" s="10"/>
      <c r="N129" s="5"/>
    </row>
    <row r="130" spans="1:14" ht="46.5" x14ac:dyDescent="0.35">
      <c r="A130" s="46" t="s">
        <v>140</v>
      </c>
      <c r="B130" s="55" t="s">
        <v>141</v>
      </c>
      <c r="C130" s="8"/>
      <c r="D130" s="8"/>
      <c r="E130" s="8"/>
      <c r="F130" s="8"/>
      <c r="G130" s="10"/>
      <c r="H130" s="55" t="s">
        <v>142</v>
      </c>
      <c r="I130" s="8"/>
      <c r="J130" s="8"/>
      <c r="K130" s="10"/>
      <c r="L130" s="56">
        <v>0.3</v>
      </c>
      <c r="M130" s="10"/>
      <c r="N130" s="5"/>
    </row>
    <row r="131" spans="1:14" ht="31" hidden="1" x14ac:dyDescent="0.35">
      <c r="A131" s="46" t="s">
        <v>143</v>
      </c>
      <c r="B131" s="57" t="s">
        <v>144</v>
      </c>
      <c r="C131" s="8"/>
      <c r="D131" s="8"/>
      <c r="E131" s="8"/>
      <c r="F131" s="8"/>
      <c r="G131" s="10"/>
      <c r="H131" s="55" t="s">
        <v>145</v>
      </c>
      <c r="I131" s="8"/>
      <c r="J131" s="8"/>
      <c r="K131" s="10"/>
      <c r="L131" s="56"/>
      <c r="M131" s="10"/>
      <c r="N131" s="5"/>
    </row>
    <row r="132" spans="1:14" ht="15.5" x14ac:dyDescent="0.35">
      <c r="A132" s="47" t="s">
        <v>146</v>
      </c>
      <c r="B132" s="8"/>
      <c r="C132" s="8"/>
      <c r="D132" s="8"/>
      <c r="E132" s="8"/>
      <c r="F132" s="8"/>
      <c r="G132" s="8"/>
      <c r="H132" s="8"/>
      <c r="I132" s="8"/>
      <c r="J132" s="8"/>
      <c r="K132" s="8"/>
      <c r="L132" s="8"/>
      <c r="M132" s="10"/>
      <c r="N132" s="5"/>
    </row>
    <row r="133" spans="1:14" ht="15.5" x14ac:dyDescent="0.35">
      <c r="A133" s="58" t="s">
        <v>147</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9" t="s">
        <v>148</v>
      </c>
      <c r="B135" s="10"/>
      <c r="C135" s="60">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9" t="s">
        <v>149</v>
      </c>
      <c r="B137" s="10"/>
      <c r="C137" s="9" t="str">
        <f>E15</f>
        <v>Prof. dr. ing. Constantin-Cătălin Dosoftei</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61" t="s">
        <v>150</v>
      </c>
      <c r="B139" s="15"/>
      <c r="C139" s="9" t="str">
        <f t="shared" ref="C139:C141" si="0">E17</f>
        <v>Drd. ing. Daniel Slătineanu</v>
      </c>
      <c r="D139" s="8"/>
      <c r="E139" s="8"/>
      <c r="F139" s="8"/>
      <c r="G139" s="10"/>
      <c r="H139" s="9" t="str">
        <f t="shared" ref="H139:H141" si="1">E20</f>
        <v>Dr. ing. George Mihalache</v>
      </c>
      <c r="I139" s="8"/>
      <c r="J139" s="8"/>
      <c r="K139" s="8"/>
      <c r="L139" s="8"/>
      <c r="M139" s="10"/>
      <c r="N139" s="5"/>
    </row>
    <row r="140" spans="1:14" ht="32.25" customHeight="1" x14ac:dyDescent="0.35">
      <c r="A140" s="26"/>
      <c r="B140" s="27"/>
      <c r="C140" s="9" t="str">
        <f t="shared" si="0"/>
        <v>Prof. dr. ing. Constantin-Cătălin Dosoftei</v>
      </c>
      <c r="D140" s="8"/>
      <c r="E140" s="8"/>
      <c r="F140" s="8"/>
      <c r="G140" s="10"/>
      <c r="H140" s="9">
        <f t="shared" si="1"/>
        <v>0</v>
      </c>
      <c r="I140" s="8"/>
      <c r="J140" s="8"/>
      <c r="K140" s="8"/>
      <c r="L140" s="8"/>
      <c r="M140" s="10"/>
      <c r="N140" s="5"/>
    </row>
    <row r="141" spans="1:14" ht="32.25" customHeight="1" x14ac:dyDescent="0.35">
      <c r="A141" s="24"/>
      <c r="B141" s="19"/>
      <c r="C141" s="9" t="str">
        <f t="shared" si="0"/>
        <v>Drd. ing. Andrei Iancu</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9" t="s">
        <v>151</v>
      </c>
      <c r="B143" s="10"/>
      <c r="C143" s="62">
        <f>[1]Date!C29</f>
        <v>45915</v>
      </c>
      <c r="D143" s="10"/>
      <c r="E143" s="59" t="s">
        <v>152</v>
      </c>
      <c r="F143" s="8"/>
      <c r="G143" s="10"/>
      <c r="H143" s="63" t="str">
        <f>[1]Date!C31</f>
        <v>Conf.dr.ing. Mihai POSTOLACHE</v>
      </c>
      <c r="I143" s="8"/>
      <c r="J143" s="8"/>
      <c r="K143" s="8"/>
      <c r="L143" s="8"/>
      <c r="M143" s="10"/>
      <c r="N143" s="5"/>
    </row>
    <row r="144" spans="1:14" ht="21.75" customHeight="1" x14ac:dyDescent="0.35">
      <c r="A144" s="64"/>
      <c r="B144" s="64"/>
      <c r="C144" s="65"/>
      <c r="D144" s="65"/>
      <c r="E144" s="64"/>
      <c r="F144" s="64"/>
      <c r="G144" s="64"/>
      <c r="H144" s="65"/>
      <c r="I144" s="65"/>
      <c r="J144" s="65"/>
      <c r="K144" s="65"/>
      <c r="L144" s="65"/>
      <c r="M144" s="65"/>
      <c r="N144" s="5"/>
    </row>
    <row r="145" spans="1:14" ht="28.5" customHeight="1" x14ac:dyDescent="0.35">
      <c r="A145" s="59" t="s">
        <v>153</v>
      </c>
      <c r="B145" s="10"/>
      <c r="C145" s="62">
        <f>[1]Date!C30</f>
        <v>45918</v>
      </c>
      <c r="D145" s="10"/>
      <c r="E145" s="59" t="s">
        <v>154</v>
      </c>
      <c r="F145" s="8"/>
      <c r="G145" s="10"/>
      <c r="H145" s="63" t="str">
        <f>[1]Date!C32</f>
        <v>Prof.univ.dr.ing. Adrian BURLACU</v>
      </c>
      <c r="I145" s="8"/>
      <c r="J145" s="8"/>
      <c r="K145" s="8"/>
      <c r="L145" s="8"/>
      <c r="M145" s="10"/>
      <c r="N145" s="5"/>
    </row>
  </sheetData>
  <mergeCells count="254">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B67:G67"/>
    <mergeCell ref="L67:M67"/>
    <mergeCell ref="B68:G68"/>
    <mergeCell ref="L68:M68"/>
    <mergeCell ref="B69:G69"/>
    <mergeCell ref="L69:M69"/>
    <mergeCell ref="B64:G64"/>
    <mergeCell ref="L64:M64"/>
    <mergeCell ref="B65:G65"/>
    <mergeCell ref="L65:M65"/>
    <mergeCell ref="B66:G66"/>
    <mergeCell ref="L66:M66"/>
    <mergeCell ref="A57:M57"/>
    <mergeCell ref="A60:M60"/>
    <mergeCell ref="A61:G61"/>
    <mergeCell ref="H61:K61"/>
    <mergeCell ref="L61:M61"/>
    <mergeCell ref="B62:G62"/>
    <mergeCell ref="H62:K75"/>
    <mergeCell ref="L62:M62"/>
    <mergeCell ref="B63:G63"/>
    <mergeCell ref="L63:M63"/>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122" r:id="rId1" xr:uid="{1AAF99DA-62E2-4E8D-8014-A561FDFAEC24}"/>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2026-03-01T09:10:46Z</dcterms:created>
  <dcterms:modified xsi:type="dcterms:W3CDTF">2026-03-01T09:10:48Z</dcterms:modified>
</cp:coreProperties>
</file>