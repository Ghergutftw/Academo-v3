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6AA855D5-2985-461A-A2C0-292758BA2C39}" xr6:coauthVersionLast="47" xr6:coauthVersionMax="47" xr10:uidLastSave="{00000000-0000-0000-0000-000000000000}"/>
  <bookViews>
    <workbookView xWindow="-110" yWindow="-110" windowWidth="25820" windowHeight="15500" xr2:uid="{91F44258-BB79-4CAF-B854-193ACC08A410}"/>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K26" i="1" a="1"/>
  <c r="K26" i="1" s="1"/>
  <c r="K27" i="1" s="1"/>
  <c r="E23" i="1" a="1"/>
  <c r="E23" i="1" s="1"/>
  <c r="E13" i="1" l="1" a="1"/>
  <c r="E13" i="1" s="1"/>
  <c r="G26" i="1" a="1"/>
  <c r="G26" i="1" s="1"/>
  <c r="G27" i="1" s="1"/>
  <c r="C36" i="1" a="1"/>
  <c r="C36" i="1" s="1"/>
  <c r="E14" i="1" a="1"/>
  <c r="E14" i="1" s="1"/>
  <c r="I26" i="1" a="1"/>
  <c r="I26" i="1" s="1"/>
  <c r="I27" i="1" s="1"/>
  <c r="I23" i="1" a="1"/>
  <c r="I23" i="1" s="1"/>
  <c r="M23" i="1" a="1"/>
  <c r="M23" i="1" s="1"/>
  <c r="M32" i="1" a="1"/>
  <c r="M32" i="1" s="1"/>
  <c r="M14" i="1" a="1"/>
  <c r="M14"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A7E30BFB-8656-4E2A-BFCE-3A38C3E74374}">
      <text>
        <r>
          <rPr>
            <sz val="10"/>
            <color rgb="FF000000"/>
            <rFont val="Aptos Narrow"/>
            <scheme val="minor"/>
          </rPr>
          <t>Pondere din nota de la E / V</t>
        </r>
      </text>
    </comment>
    <comment ref="K127" authorId="0" shapeId="0" xr:uid="{35AA706A-6D61-4244-BC78-BD1E862230A4}">
      <text>
        <r>
          <rPr>
            <sz val="10"/>
            <color rgb="FF000000"/>
            <rFont val="Aptos Narrow"/>
            <scheme val="minor"/>
          </rPr>
          <t>Pondere din nota de la E / V</t>
        </r>
      </text>
    </comment>
    <comment ref="K128" authorId="0" shapeId="0" xr:uid="{406C3A64-2B1A-4403-B1D8-CDA8AA1F8205}">
      <text>
        <r>
          <rPr>
            <sz val="10"/>
            <color rgb="FF000000"/>
            <rFont val="Aptos Narrow"/>
            <scheme val="minor"/>
          </rPr>
          <t>Pondere din nota de la E / V</t>
        </r>
      </text>
    </comment>
  </commentList>
</comments>
</file>

<file path=xl/sharedStrings.xml><?xml version="1.0" encoding="utf-8"?>
<sst xmlns="http://schemas.openxmlformats.org/spreadsheetml/2006/main" count="202" uniqueCount="140">
  <si>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</si>
  <si>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</si>
  <si>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</si>
  <si>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</si>
  <si>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</si>
  <si>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</si>
  <si>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</si>
  <si>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</si>
  <si>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</si>
  <si>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</si>
  <si>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</si>
  <si>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</si>
  <si>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</si>
  <si>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Complemente de matematică I</t>
  </si>
  <si>
    <t>(în limba engleză, conform Suplimentului la diplomă)</t>
  </si>
  <si>
    <t>2.1.2. Codul disciplinei</t>
  </si>
  <si>
    <t xml:space="preserve">2.1.3. Categoria formativă </t>
  </si>
  <si>
    <t>2.2 Titularul / titularii activităţilor de curs</t>
  </si>
  <si>
    <t>lect. dr. mat. Grosu Gabriela</t>
  </si>
  <si>
    <t>2.3 Titularul / titularii activităţilor de aplicaţii (S, L, P, Pr)</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</si>
  <si>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</si>
  <si>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</si>
  <si>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</si>
  <si>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</si>
  <si>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</si>
  <si>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</si>
  <si>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</si>
  <si>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</si>
  <si>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</si>
  <si>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</si>
  <si>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</si>
  <si>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</si>
  <si>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</si>
  <si>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</si>
  <si>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</si>
  <si>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</si>
  <si>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</si>
  <si>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</si>
  <si>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</si>
  <si>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</si>
  <si>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</si>
  <si>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</si>
  <si>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</si>
  <si>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</si>
  <si>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</si>
  <si>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</si>
  <si>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</si>
  <si>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</si>
  <si>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</si>
  <si>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</si>
  <si>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</si>
  <si>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 Să cunoască noţiuni, enunţuri, algoritmi şi rezolvări de exerciţii din Analiza Matematică şi Algebră Liceu, programa M_mate-info</t>
  </si>
  <si>
    <t>5. Condiţii</t>
  </si>
  <si>
    <t>5.1 de desfăşurare a cursului</t>
  </si>
  <si>
    <t>- Sală amfiteatru cu table magnetice, videoproiector, cameră video, tabletă, etc.</t>
  </si>
  <si>
    <t>5.2 de desfăşurare a seminarului / laboratorului / proiectului</t>
  </si>
  <si>
    <t>6. Obiectivul general al disciplinei</t>
  </si>
  <si>
    <t xml:space="preserve">Însuşirea şi aprofundarea de către studenţi a noţiunilor, conceptelor şi tehnicilor fundamentale de analiză matematică şi algebră. Familiarizarea studenţilor cu tehnici de bază de analiză a funcțiilor reale de mai multe  variabile reale, cât şi din teoria matricelor, spaţiilor liniare şi transformărilor liniare. Dezvoltarea capacității studenților de a modela, formula și soluționa probleme concrete ce se pot interpreta în limbajul analizei matematice şi algebrei, însuşirea de algoritmi de calcul. </t>
  </si>
  <si>
    <t>7. Rezultatele învățării</t>
  </si>
  <si>
    <t>Cunoștințe</t>
  </si>
  <si>
    <t>Studentul / Absolventul:</t>
  </si>
  <si>
    <t xml:space="preserve">- Defineşte, interpretează şi reprezintă grafic funcţiile sin, cos, tg, ctg, sec, cosec, arcsin, arccos, arctg, arcctg; recunoaşte şi aplică formule trigonometrice; rezolvă ecuaţii şi inecuaţii cu funcţii trigonometrice.
- Identifică funcţiile elementele reale cu valori reale prin domeniu, codomeniu, lege de asociere; trasează graficele; precizează monotonia, mărginirea; rezolvă ecuaţii şi inecuaţii algebrice ataşate; aplică algoritmul de descompunere în fracţii simple.
- Calculează limite de şiruri definite prin descriere, termenul general, relaţii de recurenţă; folosind limite standard şi criterii.
- Calculează sume finite provenind din progresii geometrice sau sume telescopice; recunoaşte seriile ca sume cu un număr infinit de termeni; determină natura unei serii.
- Recunoaşte o bază unui spaţiu liniar; determină liniar dependenţa sau independenţa unui sistem de vectori; identifică un sistem de generatori pentru un spaţiu liniar; calculează apelând la calcul matriceal şi rezolvare de sisteme de ecuaţii algebrice liniare; descrie şi aplică algoritmul Gramm- Schmidt
- Descrie şi aplică algoritmul de determinare pentru valorile şi vectorii proprii corespunzători unui endomorfism, unei matrice
- Descrie şi aplică algoritmul de aducere a unei forme pătratice reale la forma canonică; identifică natura şi tipul formei
- Operează cu noţiunile de limită, continuitate, derivabilitate, diferenţiabilitate pentru funcţii reale de o variabilă reală; calculează limite şi derivate de funcţii, inclusiv a celor cu lege de asociere cu ramuri. Interpretează grafic asimptotele, tangentele la o curbă.
-  Aplică definiţiile şi enunţurile teoretice pentru stabilirea naturii (convergentă, divergentă) şi sumei pentru o serie de puteri, respectiv serie Taylor.
- Operează în calcul noţiunile de derivate după o direcţie, derivate parţiale, diferenţială, jacobiană, hessiană.
- Descrie algoritmul de calcul şi determină punctele critice şi de extrem pentru o funcţie în cazul p=1.
- Calculează primitive, integrale nedefinite, integrale Riemann.
- Identifică şi trasează grafice pentru drepte, conice, plane, cuadrice. Rezolvă exerciţii cu drepte, conice, plane, cuadrice date prin ecuaţii carteziene implicite sau explicite, parametrice, vectoriale
- Descrie algoritmul de calcul şi determină integrale curbilinii, integrale duble
</t>
  </si>
  <si>
    <t>Aptitudini</t>
  </si>
  <si>
    <t xml:space="preserve">- Calculează limite de şiruri, sume de serii, limite şi derivate pentru funcţii reale cu valori reale C3, C4, 
- Calculează limite şi derivate parţiale, diferenţiala, matrice jacobiană, laplacean, matrice hessiană pentru funcţii specifice C12, C14
- Aplică algoritmul de determinare a unor puncte de extrem C10
- Calculează integrale nedefinite, Riemann, curbilinii, duble C12, C14
- Reprezintă grafic funcţiile reale cu valori reale elementare şi interpretează grafic noţiunile de limită, continuitate, derivabilitate C1, C2,
- Desenează drepte şi conice în plan C13
- Aplică algoritmul Gramm- Schmidt C5
- Aplică algoritmul de determinare pentru valorile şi vectorii proprii corespunzători unui endomorfism, unei matrice C6
- Aplică algoritmul de aducere a unei forme pătratice reale la forma canonică; identifică natura şi tipul formei C7 </t>
  </si>
  <si>
    <t>Responsabilitate și autonomie</t>
  </si>
  <si>
    <t>- Studiază individual reprezentarea grafică a funcţiilor reale elementare C1, C2.
- Îşi însuşeşte limbajul legat de calcul diferenţial şi integral, cât şi de algebra liniară şi geometria analitică, limbaj necesar în ingineria hardware și software C1-C14.
- Urmărește cerinţele precizate ca necesare pentru abordarea evaluării C1-C14.
- Iese la tablă pentru rezolvarea exerciţiilor, se alătură unei echipe sau rezolvă individual solicitările în cadrul cursului, intervine şi răspunde în cadrul activităţilor interactive C1-C14.
- Selectează și raportează surse de informaţii respectând criteriile etice și de confidențialitate în prelucrarea seturilor de informaţii C1-C14
- Recunoaște importanța formării continue în domeniul analizei matematice, cât şi a algebrei şi geometriei analitice și studiază critic metodele prezentate. C1-C14</t>
  </si>
  <si>
    <t xml:space="preserve">8. Metode de predare </t>
  </si>
  <si>
    <t>Metode de predare: presupunerea apriorică, feedback-ul, asumarea de către studenţi a obiectivelor învăţării (scopul), sprijinirea pe cunoştinţele anterioare (conform teoriei schemelor a lui Piaget), transferul de cunoaştere, metoda scaffolding (a schelelor)</t>
  </si>
  <si>
    <t>9. Conţinuturi</t>
  </si>
  <si>
    <t>9.1. Curs</t>
  </si>
  <si>
    <t>Metode de predare</t>
  </si>
  <si>
    <t>Timp alocat</t>
  </si>
  <si>
    <t>1</t>
  </si>
  <si>
    <t>Trigonometrie</t>
  </si>
  <si>
    <t xml:space="preserve">   Cursul se predă sub formă de prelegeri, prin prezentarea orală şi scrisă (la tablă), precum şi cu videoproiector (a formatului electronic) a noţiunilor, exemplelor, enunţurilor. Se vor menţiona iniţial modele matematice care conduc la noţiune, iar pe parcurs noţiunile vor  fi asociate cu ilustraţii grafice şi filmuleţe didactice de pe platforme matematice.  
   Exemplele vor fi legate de cursurile de specialitate şi actualizate în acest sens. Strategii de predare-învăţare: presupunerea apriorică, feedback-ul, asumarea de către studenţi a obiectivelor învăţării (scopul), sprijinirea pe cunoştinţele anterioare (conform teoriei schemelor a lui Piaget), transferul de cunoaştere, metoda scaffolding (a schelelor), metoda mozaicului (jigsaw method), instruirea mutuală (peer instruction), practica deliberată (deliberate practice).</t>
  </si>
  <si>
    <t>2 ore</t>
  </si>
  <si>
    <t>2</t>
  </si>
  <si>
    <t>Funcţii reale de o variabilă reală elementare</t>
  </si>
  <si>
    <t>3</t>
  </si>
  <si>
    <t>Şiruri de numere reale. Serii de numere reale. Completare AM</t>
  </si>
  <si>
    <t>4</t>
  </si>
  <si>
    <t>Matrice. Determinanţi. Sisteme de ecuaţii liniare. Completare ALGA</t>
  </si>
  <si>
    <t>5</t>
  </si>
  <si>
    <t>Spaţii liniare. Spaţii euclidiene. Completare ALGA</t>
  </si>
  <si>
    <t>6</t>
  </si>
  <si>
    <t>Valori şi vectori proprii. Completare ALGA</t>
  </si>
  <si>
    <t>7</t>
  </si>
  <si>
    <t>Forme pătratice reale. Completare ALGA</t>
  </si>
  <si>
    <t>8</t>
  </si>
  <si>
    <t>Funcţii reale de o variabilă reală: limite, continuitate, derivabilitate şi diferenţiabilitate. Completare AM</t>
  </si>
  <si>
    <t>9</t>
  </si>
  <si>
    <t>Serii de puterii. Serii Taylor. Completare AM</t>
  </si>
  <si>
    <t xml:space="preserve">2 ore	</t>
  </si>
  <si>
    <t>10</t>
  </si>
  <si>
    <t>Funcţii definite pe submulţimi de n-uple cu valori în mulţimea p-uplelor :derivate după  direcţie, derivate parţiale, diferenţiabilitate, laplacean, matrice Jacobiană, matrice Hessiană, puncte de extrem. Completare AM</t>
  </si>
  <si>
    <t>11</t>
  </si>
  <si>
    <t>Primitive. Completare AM</t>
  </si>
  <si>
    <t>12</t>
  </si>
  <si>
    <t>Integrale Riemann. Completare AM</t>
  </si>
  <si>
    <t>13</t>
  </si>
  <si>
    <t>Geometrie analitică. Completare ALGA</t>
  </si>
  <si>
    <t>14</t>
  </si>
  <si>
    <t xml:space="preserve"> Integrale curbilinii. Integrale duble. Completare AM</t>
  </si>
  <si>
    <r>
      <rPr>
        <sz val="12"/>
        <rFont val="Arial"/>
      </rPr>
      <t xml:space="preserve">Bibliografie curs:
1. Resurse internet: </t>
    </r>
    <r>
      <rPr>
        <u/>
        <sz val="12"/>
        <color rgb="FF1155CC"/>
        <rFont val="Arial"/>
      </rPr>
      <t>http://math.etti.tuiasi.ro/ggrosu/</t>
    </r>
    <r>
      <rPr>
        <sz val="12"/>
        <rFont val="Arial"/>
      </rPr>
      <t xml:space="preserve">  şi materiale în format electronic disponibile pe moodle, email.
2. Physics Videos by Eugene Khutoryansky: </t>
    </r>
    <r>
      <rPr>
        <u/>
        <sz val="12"/>
        <color rgb="FF1155CC"/>
        <rFont val="Arial"/>
      </rPr>
      <t>https://www.youtube.com/user/EugeneKhutoryansky</t>
    </r>
    <r>
      <rPr>
        <sz val="12"/>
        <rFont val="Arial"/>
      </rPr>
      <t xml:space="preserve">  
3. 3Blue1Brown: </t>
    </r>
    <r>
      <rPr>
        <u/>
        <sz val="12"/>
        <color rgb="FF1155CC"/>
        <rFont val="Arial"/>
      </rPr>
      <t>https://www.youtube.com/c/3blue1brown</t>
    </r>
    <r>
      <rPr>
        <sz val="12"/>
        <rFont val="Arial"/>
      </rPr>
      <t xml:space="preserve">  
4. J. Stewart, Calculus, Brooks/Cole, 2011
5. J. Bird, Higher Engineering Mathematics, Elsevier, 2006
6. M. Attenborough, Mathematics for Electrical Engineering and Computing, Elsevier, 2003
7. B. Cox, Understanding Engineering Mathematics, Elsevier, 2001
8. S. Chiriţă:Probleme de matematici superioare, E.D.P., Bucureşti, 1989
9. N. Donciu, D. Flondor: Algebră şi analiză matematică, culegere de probleme, Editura Didactică şi Pedagogică, Bucureşti, 1978
10. A. Halanay, R. Gologan, D. Timotin: Elemente de analiză matematică, Matrix Rom, Bucureşti, 1997
11. M. Nicolescu, S. Dinculeanu, S. Marcus: Analiză matematică. Vol. I.
12. M. Roşculeţ: Analiză matematică, Editura Didactică şi Pedagogică, Bucureşti, 1984
13. V. Rudner, C. Nicolescu, Probleme de matematici speciale, Editura Didactică şi Pedagogică, Bucureşti, 1992
14. O. Stănăşilă: Analiză matematică. Editura Didactică şi Pedagogică, Bucureşti, 1981
15. R. Trandafir: Matematici superioare, Editura FACLA, Timişoara, 1976
</t>
    </r>
  </si>
  <si>
    <t>9.2a Seminar</t>
  </si>
  <si>
    <t>Metode de lucru</t>
  </si>
  <si>
    <t>9.2b Laborator</t>
  </si>
  <si>
    <t>9.2c Proiect</t>
  </si>
  <si>
    <t xml:space="preserve">Bibliografie aplicaţii (seminar / laborator / proiect):
</t>
  </si>
  <si>
    <t>10. Evaluare</t>
  </si>
  <si>
    <t>Tip activitate</t>
  </si>
  <si>
    <t>10.1 Criterii de evaluare</t>
  </si>
  <si>
    <t>10.2 Metode de evaluare</t>
  </si>
  <si>
    <t>10.3 Pondere din nota finală [%]</t>
  </si>
  <si>
    <t>10.4 Examen / Verificare</t>
  </si>
  <si>
    <t>Completitudinea şi corectitudinea cunoştinţelor. 
Capacitatea de analiză, de interpretare personală, originalitatea, creativitatea. 
Gradul de asimilare a limbajului matematic şi capacitatea de comunicare.</t>
  </si>
  <si>
    <t>- observarea sistematică a studenţilor (teme individuale/ de echipă - temele trebuie efectuate în săptămâna dintre cursuri, pregătirea unui referat - studiu de caz).</t>
  </si>
  <si>
    <t>10%</t>
  </si>
  <si>
    <t>- test de evaluare formativ (verificări pe parcursul semestrului).</t>
  </si>
  <si>
    <t>20%</t>
  </si>
  <si>
    <t>- test de evaluare sumativ (verificare finală).</t>
  </si>
  <si>
    <t>70%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</si>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</sst>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u/>
      <sz val="12"/>
      <color rgb="FF0000FF"/>
      <name val="Arial"/>
    </font>
    <font>
      <sz val="12"/>
      <name val="Arial"/>
    </font>
    <font>
      <u/>
      <sz val="12"/>
      <color rgb="FF1155CC"/>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1">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7" fillId="3" borderId="1" xfId="0" applyFont="1" applyFill="1" applyBorder="1" applyAlignment="1">
      <alignment vertical="top"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0" borderId="1" xfId="0" applyNumberFormat="1" applyFont="1" applyBorder="1" applyAlignment="1">
      <alignment vertical="center" wrapText="1"/>
    </xf>
    <xf numFmtId="9" fontId="2" fillId="3" borderId="1" xfId="0" applyNumberFormat="1" applyFont="1" applyFill="1" applyBorder="1" applyAlignment="1">
      <alignment horizontal="center"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1.xlsx" TargetMode="External"/><Relationship Id="rId1" Type="http://schemas.openxmlformats.org/officeDocument/2006/relationships/externalLinkPath" Target="/Users/Madalin/Downloads/FD%20AIA%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ALGA"/>
      <sheetName val="AM"/>
      <sheetName val="PC I"/>
      <sheetName val="FIZ"/>
      <sheetName val="BFC"/>
      <sheetName val="SP I"/>
      <sheetName val="MAI"/>
      <sheetName val="SPD"/>
      <sheetName val="DCE"/>
      <sheetName val="PC II"/>
      <sheetName val="ETH"/>
      <sheetName val="SP II"/>
      <sheetName val="CM I"/>
      <sheetName val="CM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C1" t="str">
            <v>Anul universitar: 2025-2026</v>
          </cell>
        </row>
        <row r="2">
          <cell r="B2" t="str">
            <v>Automatică, Informatică Aplicată și Sisteme Inteligente</v>
          </cell>
        </row>
        <row r="3">
          <cell r="B3" t="str">
            <v>Licență</v>
          </cell>
        </row>
        <row r="4">
          <cell r="B4">
            <v>1</v>
          </cell>
        </row>
        <row r="5">
          <cell r="C5" t="str">
            <v>Automatică și Informatică Aplicată</v>
          </cell>
        </row>
        <row r="8">
          <cell r="A8">
            <v>1</v>
          </cell>
          <cell r="C8" t="str">
            <v>Algebră liniară și geometrie analitică</v>
          </cell>
          <cell r="D8" t="str">
            <v xml:space="preserve">Linear Algebra and Analytic Geometry  </v>
          </cell>
          <cell r="E8" t="str">
            <v>AIA.ALGA.101</v>
          </cell>
          <cell r="F8" t="str">
            <v>DOB</v>
          </cell>
          <cell r="G8" t="str">
            <v>DF</v>
          </cell>
          <cell r="H8">
            <v>2</v>
          </cell>
          <cell r="I8">
            <v>3</v>
          </cell>
          <cell r="J8">
            <v>0</v>
          </cell>
          <cell r="K8">
            <v>0</v>
          </cell>
          <cell r="L8">
            <v>89</v>
          </cell>
          <cell r="M8" t="str">
            <v>E</v>
          </cell>
          <cell r="N8">
            <v>6</v>
          </cell>
        </row>
        <row r="9">
          <cell r="A9">
            <v>1</v>
          </cell>
          <cell r="C9" t="str">
            <v>Analiză matematică</v>
          </cell>
          <cell r="D9" t="str">
            <v>Calculus</v>
          </cell>
          <cell r="E9" t="str">
            <v>AIA.AM.102</v>
          </cell>
          <cell r="F9" t="str">
            <v>DOB</v>
          </cell>
          <cell r="G9" t="str">
            <v>DF</v>
          </cell>
          <cell r="H9">
            <v>2</v>
          </cell>
          <cell r="I9">
            <v>3</v>
          </cell>
          <cell r="J9">
            <v>0</v>
          </cell>
          <cell r="K9">
            <v>0</v>
          </cell>
          <cell r="L9">
            <v>89</v>
          </cell>
          <cell r="M9" t="str">
            <v>E</v>
          </cell>
          <cell r="N9">
            <v>6</v>
          </cell>
        </row>
        <row r="10">
          <cell r="A10">
            <v>1</v>
          </cell>
          <cell r="C10" t="str">
            <v>Programarea calculatoarelor I</v>
          </cell>
          <cell r="D10" t="str">
            <v>Computer Programming I</v>
          </cell>
          <cell r="E10" t="str">
            <v>AIA.PCI.103</v>
          </cell>
          <cell r="F10" t="str">
            <v>DOB</v>
          </cell>
          <cell r="G10" t="str">
            <v>DF</v>
          </cell>
          <cell r="H10">
            <v>2</v>
          </cell>
          <cell r="I10">
            <v>0</v>
          </cell>
          <cell r="J10">
            <v>3</v>
          </cell>
          <cell r="K10">
            <v>0</v>
          </cell>
          <cell r="L10">
            <v>89</v>
          </cell>
          <cell r="M10" t="str">
            <v>E</v>
          </cell>
          <cell r="N10">
            <v>6</v>
          </cell>
        </row>
        <row r="11">
          <cell r="A11">
            <v>1</v>
          </cell>
          <cell r="C11" t="str">
            <v>Fizică</v>
          </cell>
          <cell r="D11" t="str">
            <v>Physics</v>
          </cell>
          <cell r="E11" t="str">
            <v>AIA.FIZ.104</v>
          </cell>
          <cell r="F11" t="str">
            <v>DOB</v>
          </cell>
          <cell r="G11" t="str">
            <v>DF</v>
          </cell>
          <cell r="H11">
            <v>2</v>
          </cell>
          <cell r="I11">
            <v>1</v>
          </cell>
          <cell r="J11">
            <v>2</v>
          </cell>
          <cell r="K11">
            <v>0</v>
          </cell>
          <cell r="L11">
            <v>65</v>
          </cell>
          <cell r="M11" t="str">
            <v>V</v>
          </cell>
          <cell r="N11">
            <v>5</v>
          </cell>
        </row>
        <row r="12">
          <cell r="A12">
            <v>1</v>
          </cell>
          <cell r="C12" t="str">
            <v>Bazele funcționării calculatoarelor</v>
          </cell>
          <cell r="D12" t="str">
            <v>Fundamentals of Computer Operation</v>
          </cell>
          <cell r="E12" t="str">
            <v>AIA.BFC.105</v>
          </cell>
          <cell r="F12" t="str">
            <v>DOB</v>
          </cell>
          <cell r="G12" t="str">
            <v>DF</v>
          </cell>
          <cell r="H12">
            <v>2</v>
          </cell>
          <cell r="I12">
            <v>0</v>
          </cell>
          <cell r="J12">
            <v>2</v>
          </cell>
          <cell r="K12">
            <v>0</v>
          </cell>
          <cell r="L12">
            <v>79</v>
          </cell>
          <cell r="M12" t="str">
            <v>V</v>
          </cell>
          <cell r="N12">
            <v>5</v>
          </cell>
        </row>
        <row r="13">
          <cell r="A13">
            <v>1</v>
          </cell>
          <cell r="C13" t="str">
            <v>Sport I</v>
          </cell>
          <cell r="D13" t="str">
            <v>Physical Training I</v>
          </cell>
          <cell r="E13" t="str">
            <v>AIA.SPI.106</v>
          </cell>
          <cell r="F13" t="str">
            <v>DOB</v>
          </cell>
          <cell r="G13" t="str">
            <v>DC</v>
          </cell>
          <cell r="H13">
            <v>0</v>
          </cell>
          <cell r="I13">
            <v>2</v>
          </cell>
          <cell r="J13">
            <v>0</v>
          </cell>
          <cell r="K13">
            <v>0</v>
          </cell>
          <cell r="L13">
            <v>26</v>
          </cell>
          <cell r="M13" t="str">
            <v>V
(A/R)</v>
          </cell>
          <cell r="N13">
            <v>2</v>
          </cell>
        </row>
        <row r="14">
          <cell r="A14">
            <v>2</v>
          </cell>
          <cell r="C14" t="str">
            <v>Matematici aplicate în inginerie</v>
          </cell>
          <cell r="D14" t="str">
            <v>Applied Mathematics in Engineering</v>
          </cell>
          <cell r="E14" t="str">
            <v>AIA.EDCO.107</v>
          </cell>
          <cell r="F14" t="str">
            <v>DOB</v>
          </cell>
          <cell r="G14" t="str">
            <v>DF</v>
          </cell>
          <cell r="H14">
            <v>2</v>
          </cell>
          <cell r="I14">
            <v>3</v>
          </cell>
          <cell r="J14">
            <v>0</v>
          </cell>
          <cell r="K14">
            <v>0</v>
          </cell>
          <cell r="L14">
            <v>89</v>
          </cell>
          <cell r="M14" t="str">
            <v>E</v>
          </cell>
          <cell r="N14">
            <v>6</v>
          </cell>
        </row>
        <row r="15">
          <cell r="A15">
            <v>2</v>
          </cell>
          <cell r="C15" t="str">
            <v>Statistică și prelucrarea datelor</v>
          </cell>
          <cell r="D15" t="str">
            <v>Statistics and Data Processing</v>
          </cell>
          <cell r="E15" t="str">
            <v>AIA.SPD.108</v>
          </cell>
          <cell r="F15" t="str">
            <v>DOB</v>
          </cell>
          <cell r="G15" t="str">
            <v>DF</v>
          </cell>
          <cell r="H15">
            <v>2</v>
          </cell>
          <cell r="I15">
            <v>0</v>
          </cell>
          <cell r="J15">
            <v>2</v>
          </cell>
          <cell r="K15">
            <v>0</v>
          </cell>
          <cell r="L15">
            <v>79</v>
          </cell>
          <cell r="M15" t="str">
            <v>V</v>
          </cell>
          <cell r="N15">
            <v>5</v>
          </cell>
        </row>
        <row r="16">
          <cell r="A16">
            <v>2</v>
          </cell>
          <cell r="C16" t="str">
            <v>Dispozitive și circuite electronice</v>
          </cell>
          <cell r="D16" t="str">
            <v>Electronic Devices and Circuits</v>
          </cell>
          <cell r="E16" t="str">
            <v>AIA.DCE.109</v>
          </cell>
          <cell r="F16" t="str">
            <v>DOB</v>
          </cell>
          <cell r="G16" t="str">
            <v>DF</v>
          </cell>
          <cell r="H16">
            <v>2</v>
          </cell>
          <cell r="I16">
            <v>0</v>
          </cell>
          <cell r="J16">
            <v>3</v>
          </cell>
          <cell r="K16">
            <v>0</v>
          </cell>
          <cell r="L16">
            <v>62</v>
          </cell>
          <cell r="M16" t="str">
            <v>E</v>
          </cell>
          <cell r="N16">
            <v>5</v>
          </cell>
        </row>
        <row r="17">
          <cell r="A17">
            <v>2</v>
          </cell>
          <cell r="C17" t="str">
            <v>Programarea calculatoarelor II</v>
          </cell>
          <cell r="D17" t="str">
            <v>Computer Programming II</v>
          </cell>
          <cell r="E17" t="str">
            <v>AIA.PCII.110</v>
          </cell>
          <cell r="F17" t="str">
            <v>DOB</v>
          </cell>
          <cell r="G17" t="str">
            <v>DF</v>
          </cell>
          <cell r="H17">
            <v>2</v>
          </cell>
          <cell r="I17">
            <v>0</v>
          </cell>
          <cell r="J17">
            <v>3</v>
          </cell>
          <cell r="K17">
            <v>0</v>
          </cell>
          <cell r="L17">
            <v>89</v>
          </cell>
          <cell r="M17" t="str">
            <v>E</v>
          </cell>
          <cell r="N17">
            <v>6</v>
          </cell>
        </row>
        <row r="18">
          <cell r="A18">
            <v>2</v>
          </cell>
          <cell r="C18" t="str">
            <v>Electrotehnică</v>
          </cell>
          <cell r="D18" t="str">
            <v xml:space="preserve">Fundamentals of Electrical Engineering </v>
          </cell>
          <cell r="E18" t="str">
            <v>AIA.ETH.111</v>
          </cell>
          <cell r="F18" t="str">
            <v>DOB</v>
          </cell>
          <cell r="G18" t="str">
            <v>DF</v>
          </cell>
          <cell r="H18">
            <v>2</v>
          </cell>
          <cell r="I18">
            <v>1</v>
          </cell>
          <cell r="J18">
            <v>2</v>
          </cell>
          <cell r="K18">
            <v>0</v>
          </cell>
          <cell r="L18">
            <v>89</v>
          </cell>
          <cell r="M18" t="str">
            <v>E</v>
          </cell>
          <cell r="N18">
            <v>6</v>
          </cell>
        </row>
        <row r="19">
          <cell r="A19">
            <v>2</v>
          </cell>
          <cell r="C19" t="str">
            <v>Sport II</v>
          </cell>
          <cell r="D19" t="str">
            <v>Physical Training II</v>
          </cell>
          <cell r="E19" t="str">
            <v>AIA.SPII.112</v>
          </cell>
          <cell r="F19" t="str">
            <v>DOB</v>
          </cell>
          <cell r="G19" t="str">
            <v>DC</v>
          </cell>
          <cell r="H19">
            <v>0</v>
          </cell>
          <cell r="I19">
            <v>2</v>
          </cell>
          <cell r="J19">
            <v>0</v>
          </cell>
          <cell r="K19">
            <v>0</v>
          </cell>
          <cell r="L19">
            <v>26</v>
          </cell>
          <cell r="M19" t="str">
            <v>V
(A/R)</v>
          </cell>
          <cell r="N19">
            <v>2</v>
          </cell>
        </row>
        <row r="20">
          <cell r="A20">
            <v>1</v>
          </cell>
          <cell r="C20" t="str">
            <v>Complemente de matematică I</v>
          </cell>
          <cell r="D20" t="str">
            <v>Mathematical Supplements I</v>
          </cell>
          <cell r="E20" t="str">
            <v>AIA.CMI.113</v>
          </cell>
          <cell r="F20" t="str">
            <v>DFA</v>
          </cell>
          <cell r="G20" t="str">
            <v>DF</v>
          </cell>
          <cell r="H20">
            <v>2</v>
          </cell>
          <cell r="I20">
            <v>0</v>
          </cell>
          <cell r="J20">
            <v>0</v>
          </cell>
          <cell r="K20">
            <v>0</v>
          </cell>
          <cell r="L20">
            <v>53</v>
          </cell>
          <cell r="M20" t="str">
            <v>V</v>
          </cell>
          <cell r="N20">
            <v>3</v>
          </cell>
        </row>
        <row r="21">
          <cell r="A21">
            <v>2</v>
          </cell>
          <cell r="C21" t="str">
            <v>Complemente de matematică II</v>
          </cell>
          <cell r="D21" t="str">
            <v>Mathematical Supplements II</v>
          </cell>
          <cell r="E21" t="str">
            <v>AIA.CMII.114</v>
          </cell>
          <cell r="F21" t="str">
            <v>DFA</v>
          </cell>
          <cell r="G21" t="str">
            <v>DF</v>
          </cell>
          <cell r="H21">
            <v>2</v>
          </cell>
          <cell r="I21">
            <v>0</v>
          </cell>
          <cell r="J21">
            <v>0</v>
          </cell>
          <cell r="K21">
            <v>0</v>
          </cell>
          <cell r="L21">
            <v>53</v>
          </cell>
          <cell r="M21" t="str">
            <v>V</v>
          </cell>
          <cell r="N21">
            <v>3</v>
          </cell>
        </row>
        <row r="25">
          <cell r="C25">
            <v>45915</v>
          </cell>
        </row>
        <row r="26">
          <cell r="C26">
            <v>45918</v>
          </cell>
        </row>
        <row r="27">
          <cell r="C27" t="str">
            <v>Conf.dr.ing. Mihai POSTOLACHE</v>
          </cell>
        </row>
        <row r="28">
          <cell r="C2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math.etti.tuiasi.ro/ggrosu/"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8C00B-A0DB-4B11-B916-DA67A5844F14}">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Automatică, Informatică Aplicată și Sisteme Inteligente</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Mathematical Supplements I</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AIA.CMI.113</v>
      </c>
      <c r="F14" s="18"/>
      <c r="G14" s="18"/>
      <c r="H14" s="18"/>
      <c r="I14" s="7" t="s">
        <v>16</v>
      </c>
      <c r="J14" s="8"/>
      <c r="K14" s="8"/>
      <c r="L14" s="10"/>
      <c r="M14" s="22" t="str">
        <f t="array" aca="1" ref="M14" ca="1">INDEX([1]Date!G8:G21, MATCH(E12,[1]Date!C8:C21,0),0)</f>
        <v>DF</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hidden="1" x14ac:dyDescent="0.35">
      <c r="A17" s="13" t="s">
        <v>19</v>
      </c>
      <c r="B17" s="14"/>
      <c r="C17" s="14"/>
      <c r="D17" s="15"/>
      <c r="E17" s="23"/>
      <c r="F17" s="8"/>
      <c r="G17" s="8"/>
      <c r="H17" s="8"/>
      <c r="I17" s="8"/>
      <c r="J17" s="8"/>
      <c r="K17" s="8"/>
      <c r="L17" s="8"/>
      <c r="M17" s="10"/>
      <c r="N17" s="5"/>
    </row>
    <row r="18" spans="1:14" ht="15.5" hidden="1"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20</v>
      </c>
      <c r="B23" s="10"/>
      <c r="C23" s="27">
        <f>[1]Date!B4</f>
        <v>1</v>
      </c>
      <c r="D23" s="28" t="s">
        <v>21</v>
      </c>
      <c r="E23" s="27">
        <f t="array" aca="1" ref="E23" ca="1">INDEX([1]Date!A8:A21, MATCH(E12,[1]Date!C8:C21,0),0)</f>
        <v>1</v>
      </c>
      <c r="F23" s="29" t="s">
        <v>22</v>
      </c>
      <c r="G23" s="8"/>
      <c r="H23" s="10"/>
      <c r="I23" s="22" t="str">
        <f t="array" aca="1" ref="I23" ca="1">INDEX([1]Date!M8:M21, MATCH(E12,[1]Date!C8:C21,0),0)</f>
        <v>V</v>
      </c>
      <c r="J23" s="29" t="s">
        <v>23</v>
      </c>
      <c r="K23" s="8"/>
      <c r="L23" s="10"/>
      <c r="M23" s="27" t="str">
        <f t="array" aca="1" ref="M23" ca="1">INDEX([1]Date!F8:F21, MATCH(E12,[1]Date!C8:C21,0),0)</f>
        <v>DFA</v>
      </c>
      <c r="N23" s="5"/>
    </row>
    <row r="24" spans="1:14" ht="15.5" x14ac:dyDescent="0.35">
      <c r="A24" s="12"/>
      <c r="B24" s="2"/>
      <c r="C24" s="2"/>
      <c r="D24" s="2"/>
      <c r="E24" s="2"/>
      <c r="F24" s="2"/>
      <c r="G24" s="2"/>
      <c r="H24" s="2"/>
      <c r="I24" s="2"/>
      <c r="J24" s="2"/>
      <c r="K24" s="2"/>
      <c r="L24" s="2"/>
      <c r="M24" s="2"/>
      <c r="N24" s="5"/>
    </row>
    <row r="25" spans="1:14" ht="15.5" x14ac:dyDescent="0.35">
      <c r="A25" s="6" t="s">
        <v>24</v>
      </c>
      <c r="B25" s="2"/>
      <c r="C25" s="2"/>
      <c r="D25" s="2"/>
      <c r="E25" s="2"/>
      <c r="F25" s="2"/>
      <c r="G25" s="2"/>
      <c r="H25" s="2"/>
      <c r="I25" s="2"/>
      <c r="J25" s="2"/>
      <c r="K25" s="2"/>
      <c r="L25" s="2"/>
      <c r="M25" s="2"/>
      <c r="N25" s="30"/>
    </row>
    <row r="26" spans="1:14" ht="31" x14ac:dyDescent="0.35">
      <c r="A26" s="7" t="s">
        <v>25</v>
      </c>
      <c r="B26" s="10"/>
      <c r="C26" s="27">
        <f ca="1">SUM(E26+G26+I26+K26)</f>
        <v>2</v>
      </c>
      <c r="D26" s="28" t="s">
        <v>26</v>
      </c>
      <c r="E26" s="27">
        <f t="array" aca="1" ref="E26" ca="1">INDEX([1]Date!H8:H21, MATCH(E12,[1]Date!C8:C21,0),0)</f>
        <v>2</v>
      </c>
      <c r="F26" s="28" t="s">
        <v>27</v>
      </c>
      <c r="G26" s="27">
        <f t="array" aca="1" ref="G26" ca="1">INDEX([1]Date!I8:I21, MATCH(E12,[1]Date!C8:C21,0),0)</f>
        <v>0</v>
      </c>
      <c r="H26" s="28" t="s">
        <v>28</v>
      </c>
      <c r="I26" s="27">
        <f t="array" aca="1" ref="I26" ca="1">INDEX([1]Date!J8:J21, MATCH(E12,[1]Date!C8:C21,0),0)</f>
        <v>0</v>
      </c>
      <c r="J26" s="28" t="s">
        <v>29</v>
      </c>
      <c r="K26" s="27">
        <f t="array" aca="1" ref="K26" ca="1">INDEX([1]Date!K8:K21, MATCH(E12,[1]Date!C8:C21,0),0)</f>
        <v>0</v>
      </c>
      <c r="L26" s="7" t="s">
        <v>30</v>
      </c>
      <c r="M26" s="10"/>
      <c r="N26" s="30"/>
    </row>
    <row r="27" spans="1:14" ht="31" x14ac:dyDescent="0.35">
      <c r="A27" s="7" t="s">
        <v>31</v>
      </c>
      <c r="B27" s="10"/>
      <c r="C27" s="27">
        <f ca="1">C26*14</f>
        <v>28</v>
      </c>
      <c r="D27" s="28" t="s">
        <v>32</v>
      </c>
      <c r="E27" s="27">
        <f ca="1">E26*14</f>
        <v>28</v>
      </c>
      <c r="F27" s="28" t="s">
        <v>33</v>
      </c>
      <c r="G27" s="27">
        <f ca="1">G26*14</f>
        <v>0</v>
      </c>
      <c r="H27" s="28" t="s">
        <v>34</v>
      </c>
      <c r="I27" s="27">
        <f ca="1">I26*14</f>
        <v>0</v>
      </c>
      <c r="J27" s="28" t="s">
        <v>35</v>
      </c>
      <c r="K27" s="27">
        <f ca="1">K26*14</f>
        <v>0</v>
      </c>
      <c r="L27" s="28" t="s">
        <v>36</v>
      </c>
      <c r="M27" s="27">
        <v>0</v>
      </c>
      <c r="N27" s="5"/>
    </row>
    <row r="28" spans="1:14" ht="15.5" x14ac:dyDescent="0.35">
      <c r="A28" s="7" t="s">
        <v>37</v>
      </c>
      <c r="B28" s="8"/>
      <c r="C28" s="8"/>
      <c r="D28" s="8"/>
      <c r="E28" s="8"/>
      <c r="F28" s="8"/>
      <c r="G28" s="8"/>
      <c r="H28" s="8"/>
      <c r="I28" s="8"/>
      <c r="J28" s="8"/>
      <c r="K28" s="8"/>
      <c r="L28" s="10"/>
      <c r="M28" s="27" t="s">
        <v>38</v>
      </c>
      <c r="N28" s="5"/>
    </row>
    <row r="29" spans="1:14" ht="15.5" x14ac:dyDescent="0.35">
      <c r="A29" s="7" t="s">
        <v>39</v>
      </c>
      <c r="B29" s="8"/>
      <c r="C29" s="8"/>
      <c r="D29" s="8"/>
      <c r="E29" s="8"/>
      <c r="F29" s="8"/>
      <c r="G29" s="8"/>
      <c r="H29" s="8"/>
      <c r="I29" s="8"/>
      <c r="J29" s="8"/>
      <c r="K29" s="8"/>
      <c r="L29" s="10"/>
      <c r="M29" s="31">
        <v>28</v>
      </c>
      <c r="N29" s="5"/>
    </row>
    <row r="30" spans="1:14" ht="15.5" x14ac:dyDescent="0.35">
      <c r="A30" s="7" t="s">
        <v>40</v>
      </c>
      <c r="B30" s="8"/>
      <c r="C30" s="8"/>
      <c r="D30" s="8"/>
      <c r="E30" s="8"/>
      <c r="F30" s="8"/>
      <c r="G30" s="8"/>
      <c r="H30" s="8"/>
      <c r="I30" s="8"/>
      <c r="J30" s="8"/>
      <c r="K30" s="8"/>
      <c r="L30" s="10"/>
      <c r="M30" s="31">
        <v>15</v>
      </c>
      <c r="N30" s="5"/>
    </row>
    <row r="31" spans="1:14" ht="15.5" x14ac:dyDescent="0.35">
      <c r="A31" s="7" t="s">
        <v>41</v>
      </c>
      <c r="B31" s="8"/>
      <c r="C31" s="8"/>
      <c r="D31" s="8"/>
      <c r="E31" s="8"/>
      <c r="F31" s="8"/>
      <c r="G31" s="8"/>
      <c r="H31" s="8"/>
      <c r="I31" s="8"/>
      <c r="J31" s="8"/>
      <c r="K31" s="8"/>
      <c r="L31" s="10"/>
      <c r="M31" s="31">
        <v>10</v>
      </c>
      <c r="N31" s="5"/>
    </row>
    <row r="32" spans="1:14" ht="15.5" x14ac:dyDescent="0.35">
      <c r="A32" s="7" t="s">
        <v>42</v>
      </c>
      <c r="B32" s="8"/>
      <c r="C32" s="8"/>
      <c r="D32" s="8"/>
      <c r="E32" s="8"/>
      <c r="F32" s="8"/>
      <c r="G32" s="8"/>
      <c r="H32" s="8"/>
      <c r="I32" s="8"/>
      <c r="J32" s="8"/>
      <c r="K32" s="8"/>
      <c r="L32" s="10"/>
      <c r="M32" s="27">
        <f t="array" aca="1" ref="M32" ca="1">IF(INDEX([1]Date!M8:M21, MATCH(E12,[1]Date!C8:C21,0),0)="E",3,0)</f>
        <v>0</v>
      </c>
      <c r="N32" s="5"/>
    </row>
    <row r="33" spans="1:14" ht="15.5" x14ac:dyDescent="0.35">
      <c r="A33" s="7" t="s">
        <v>43</v>
      </c>
      <c r="B33" s="8"/>
      <c r="C33" s="8"/>
      <c r="D33" s="8"/>
      <c r="E33" s="8"/>
      <c r="F33" s="8"/>
      <c r="G33" s="8"/>
      <c r="H33" s="8"/>
      <c r="I33" s="8"/>
      <c r="J33" s="8"/>
      <c r="K33" s="8"/>
      <c r="L33" s="10"/>
      <c r="M33" s="27">
        <f ca="1">C34-SUM(M29:M31)</f>
        <v>0</v>
      </c>
      <c r="N33" s="5"/>
    </row>
    <row r="34" spans="1:14" ht="15.5" x14ac:dyDescent="0.35">
      <c r="A34" s="7" t="s">
        <v>44</v>
      </c>
      <c r="B34" s="10"/>
      <c r="C34" s="27">
        <f t="array" aca="1" ref="C34" ca="1">INDEX([1]Date!L8:L21, MATCH(E12,[1]Date!C8:C21,0),0)</f>
        <v>53</v>
      </c>
      <c r="D34" s="5"/>
      <c r="E34" s="5"/>
      <c r="F34" s="5"/>
      <c r="G34" s="5"/>
      <c r="H34" s="5"/>
      <c r="I34" s="5"/>
      <c r="J34" s="5"/>
      <c r="K34" s="5"/>
      <c r="L34" s="5"/>
      <c r="M34" s="5"/>
      <c r="N34" s="5"/>
    </row>
    <row r="35" spans="1:14" ht="15.5" x14ac:dyDescent="0.35">
      <c r="A35" s="7" t="s">
        <v>45</v>
      </c>
      <c r="B35" s="10"/>
      <c r="C35" s="27">
        <f ca="1">C27+M32+C34</f>
        <v>81</v>
      </c>
      <c r="D35" s="5"/>
      <c r="E35" s="5"/>
      <c r="F35" s="5"/>
      <c r="G35" s="5"/>
      <c r="H35" s="5"/>
      <c r="I35" s="5"/>
      <c r="J35" s="5"/>
      <c r="K35" s="5"/>
      <c r="L35" s="5"/>
      <c r="M35" s="5"/>
      <c r="N35" s="5"/>
    </row>
    <row r="36" spans="1:14" ht="15.5" x14ac:dyDescent="0.35">
      <c r="A36" s="7" t="s">
        <v>46</v>
      </c>
      <c r="B36" s="10"/>
      <c r="C36" s="27">
        <f t="array" aca="1" ref="C36" ca="1">INDEX([1]Date!N8:N21, MATCH(E12,[1]Date!C8:C21,0),0)</f>
        <v>3</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47</v>
      </c>
      <c r="B38" s="2"/>
      <c r="C38" s="2"/>
      <c r="D38" s="2"/>
      <c r="E38" s="2"/>
      <c r="F38" s="2"/>
      <c r="G38" s="2"/>
      <c r="H38" s="2"/>
      <c r="I38" s="2"/>
      <c r="J38" s="2"/>
      <c r="K38" s="2"/>
      <c r="L38" s="2"/>
      <c r="M38" s="2"/>
      <c r="N38" s="30"/>
    </row>
    <row r="39" spans="1:14" ht="15.5" x14ac:dyDescent="0.35">
      <c r="A39" s="7" t="s">
        <v>48</v>
      </c>
      <c r="B39" s="10"/>
      <c r="C39" s="9" t="s">
        <v>49</v>
      </c>
      <c r="D39" s="8"/>
      <c r="E39" s="8"/>
      <c r="F39" s="8"/>
      <c r="G39" s="8"/>
      <c r="H39" s="8"/>
      <c r="I39" s="8"/>
      <c r="J39" s="8"/>
      <c r="K39" s="8"/>
      <c r="L39" s="8"/>
      <c r="M39" s="10"/>
      <c r="N39" s="30"/>
    </row>
    <row r="40" spans="1:14" ht="15.5" x14ac:dyDescent="0.35">
      <c r="A40" s="7" t="s">
        <v>50</v>
      </c>
      <c r="B40" s="10"/>
      <c r="C40" s="23" t="s">
        <v>51</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52</v>
      </c>
      <c r="B42" s="2"/>
      <c r="C42" s="2"/>
      <c r="D42" s="2"/>
      <c r="E42" s="2"/>
      <c r="F42" s="2"/>
      <c r="G42" s="2"/>
      <c r="H42" s="2"/>
      <c r="I42" s="2"/>
      <c r="J42" s="2"/>
      <c r="K42" s="2"/>
      <c r="L42" s="2"/>
      <c r="M42" s="2"/>
      <c r="N42" s="30"/>
    </row>
    <row r="43" spans="1:14" ht="15.5" x14ac:dyDescent="0.35">
      <c r="A43" s="7" t="s">
        <v>53</v>
      </c>
      <c r="B43" s="10"/>
      <c r="C43" s="23" t="s">
        <v>54</v>
      </c>
      <c r="D43" s="8"/>
      <c r="E43" s="8"/>
      <c r="F43" s="8"/>
      <c r="G43" s="8"/>
      <c r="H43" s="8"/>
      <c r="I43" s="8"/>
      <c r="J43" s="8"/>
      <c r="K43" s="8"/>
      <c r="L43" s="8"/>
      <c r="M43" s="10"/>
      <c r="N43" s="30"/>
    </row>
    <row r="44" spans="1:14" ht="15.5" x14ac:dyDescent="0.35">
      <c r="A44" s="7" t="s">
        <v>55</v>
      </c>
      <c r="B44" s="10"/>
      <c r="C44" s="23" t="s">
        <v>49</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56</v>
      </c>
      <c r="B46" s="2"/>
      <c r="C46" s="2"/>
      <c r="D46" s="2"/>
      <c r="E46" s="2"/>
      <c r="F46" s="2"/>
      <c r="G46" s="2"/>
      <c r="H46" s="2"/>
      <c r="I46" s="2"/>
      <c r="J46" s="2"/>
      <c r="K46" s="2"/>
      <c r="L46" s="2"/>
      <c r="M46" s="2"/>
      <c r="N46" s="30"/>
    </row>
    <row r="47" spans="1:14" ht="62.25" customHeight="1" x14ac:dyDescent="0.35">
      <c r="A47" s="23" t="s">
        <v>57</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58</v>
      </c>
      <c r="B49" s="2"/>
      <c r="C49" s="2"/>
      <c r="D49" s="2"/>
      <c r="E49" s="2"/>
      <c r="F49" s="2"/>
      <c r="G49" s="2"/>
      <c r="H49" s="2"/>
      <c r="I49" s="2"/>
      <c r="J49" s="2"/>
      <c r="K49" s="2"/>
      <c r="L49" s="2"/>
      <c r="M49" s="2"/>
      <c r="N49" s="30"/>
    </row>
    <row r="50" spans="1:14" ht="15.5" x14ac:dyDescent="0.35">
      <c r="A50" s="32" t="s">
        <v>59</v>
      </c>
      <c r="B50" s="33" t="s">
        <v>60</v>
      </c>
      <c r="C50" s="8"/>
      <c r="D50" s="8"/>
      <c r="E50" s="8"/>
      <c r="F50" s="8"/>
      <c r="G50" s="8"/>
      <c r="H50" s="8"/>
      <c r="I50" s="8"/>
      <c r="J50" s="8"/>
      <c r="K50" s="8"/>
      <c r="L50" s="8"/>
      <c r="M50" s="10"/>
      <c r="N50" s="5"/>
    </row>
    <row r="51" spans="1:14" ht="258.75" customHeight="1" x14ac:dyDescent="0.35">
      <c r="A51" s="34"/>
      <c r="B51" s="35" t="s">
        <v>61</v>
      </c>
      <c r="C51" s="8"/>
      <c r="D51" s="8"/>
      <c r="E51" s="8"/>
      <c r="F51" s="8"/>
      <c r="G51" s="8"/>
      <c r="H51" s="8"/>
      <c r="I51" s="8"/>
      <c r="J51" s="8"/>
      <c r="K51" s="8"/>
      <c r="L51" s="8"/>
      <c r="M51" s="10"/>
      <c r="N51" s="5"/>
    </row>
    <row r="52" spans="1:14" ht="15.5" x14ac:dyDescent="0.35">
      <c r="A52" s="32" t="s">
        <v>62</v>
      </c>
      <c r="B52" s="33" t="s">
        <v>60</v>
      </c>
      <c r="C52" s="8"/>
      <c r="D52" s="8"/>
      <c r="E52" s="8"/>
      <c r="F52" s="8"/>
      <c r="G52" s="8"/>
      <c r="H52" s="8"/>
      <c r="I52" s="8"/>
      <c r="J52" s="8"/>
      <c r="K52" s="8"/>
      <c r="L52" s="8"/>
      <c r="M52" s="10"/>
      <c r="N52" s="5"/>
    </row>
    <row r="53" spans="1:14" ht="159.75" customHeight="1" x14ac:dyDescent="0.35">
      <c r="A53" s="34"/>
      <c r="B53" s="35" t="s">
        <v>63</v>
      </c>
      <c r="C53" s="8"/>
      <c r="D53" s="8"/>
      <c r="E53" s="8"/>
      <c r="F53" s="8"/>
      <c r="G53" s="8"/>
      <c r="H53" s="8"/>
      <c r="I53" s="8"/>
      <c r="J53" s="8"/>
      <c r="K53" s="8"/>
      <c r="L53" s="8"/>
      <c r="M53" s="10"/>
      <c r="N53" s="5"/>
    </row>
    <row r="54" spans="1:14" ht="18" customHeight="1" x14ac:dyDescent="0.35">
      <c r="A54" s="32" t="s">
        <v>64</v>
      </c>
      <c r="B54" s="33" t="s">
        <v>60</v>
      </c>
      <c r="C54" s="8"/>
      <c r="D54" s="8"/>
      <c r="E54" s="8"/>
      <c r="F54" s="8"/>
      <c r="G54" s="8"/>
      <c r="H54" s="8"/>
      <c r="I54" s="8"/>
      <c r="J54" s="8"/>
      <c r="K54" s="8"/>
      <c r="L54" s="8"/>
      <c r="M54" s="10"/>
      <c r="N54" s="5"/>
    </row>
    <row r="55" spans="1:14" ht="117" customHeight="1" x14ac:dyDescent="0.35">
      <c r="A55" s="34"/>
      <c r="B55" s="36" t="s">
        <v>65</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66</v>
      </c>
      <c r="B57" s="2"/>
      <c r="C57" s="2"/>
      <c r="D57" s="2"/>
      <c r="E57" s="2"/>
      <c r="F57" s="2"/>
      <c r="G57" s="2"/>
      <c r="H57" s="2"/>
      <c r="I57" s="2"/>
      <c r="J57" s="2"/>
      <c r="K57" s="2"/>
      <c r="L57" s="2"/>
      <c r="M57" s="2"/>
      <c r="N57" s="30"/>
    </row>
    <row r="58" spans="1:14" ht="53.25" customHeight="1" x14ac:dyDescent="0.35">
      <c r="A58" s="23" t="s">
        <v>67</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68</v>
      </c>
      <c r="B60" s="2"/>
      <c r="C60" s="2"/>
      <c r="D60" s="2"/>
      <c r="E60" s="2"/>
      <c r="F60" s="2"/>
      <c r="G60" s="2"/>
      <c r="H60" s="2"/>
      <c r="I60" s="2"/>
      <c r="J60" s="2"/>
      <c r="K60" s="2"/>
      <c r="L60" s="2"/>
      <c r="M60" s="2"/>
      <c r="N60" s="30"/>
    </row>
    <row r="61" spans="1:14" ht="24.75" customHeight="1" x14ac:dyDescent="0.35">
      <c r="A61" s="37" t="s">
        <v>69</v>
      </c>
      <c r="B61" s="8"/>
      <c r="C61" s="8"/>
      <c r="D61" s="8"/>
      <c r="E61" s="8"/>
      <c r="F61" s="8"/>
      <c r="G61" s="10"/>
      <c r="H61" s="37" t="s">
        <v>70</v>
      </c>
      <c r="I61" s="8"/>
      <c r="J61" s="8"/>
      <c r="K61" s="10"/>
      <c r="L61" s="37" t="s">
        <v>71</v>
      </c>
      <c r="M61" s="10"/>
      <c r="N61" s="30"/>
    </row>
    <row r="62" spans="1:14" ht="15.5" x14ac:dyDescent="0.35">
      <c r="A62" s="38" t="s">
        <v>72</v>
      </c>
      <c r="B62" s="23" t="s">
        <v>73</v>
      </c>
      <c r="C62" s="8"/>
      <c r="D62" s="8"/>
      <c r="E62" s="8"/>
      <c r="F62" s="8"/>
      <c r="G62" s="10"/>
      <c r="H62" s="39" t="s">
        <v>74</v>
      </c>
      <c r="I62" s="14"/>
      <c r="J62" s="14"/>
      <c r="K62" s="15"/>
      <c r="L62" s="40" t="s">
        <v>75</v>
      </c>
      <c r="M62" s="10"/>
      <c r="N62" s="5"/>
    </row>
    <row r="63" spans="1:14" ht="15.5" x14ac:dyDescent="0.35">
      <c r="A63" s="38" t="s">
        <v>76</v>
      </c>
      <c r="B63" s="23" t="s">
        <v>77</v>
      </c>
      <c r="C63" s="8"/>
      <c r="D63" s="8"/>
      <c r="E63" s="8"/>
      <c r="F63" s="8"/>
      <c r="G63" s="10"/>
      <c r="H63" s="25"/>
      <c r="I63" s="2"/>
      <c r="J63" s="2"/>
      <c r="K63" s="26"/>
      <c r="L63" s="40" t="s">
        <v>75</v>
      </c>
      <c r="M63" s="10"/>
      <c r="N63" s="5"/>
    </row>
    <row r="64" spans="1:14" ht="15.5" x14ac:dyDescent="0.35">
      <c r="A64" s="38" t="s">
        <v>78</v>
      </c>
      <c r="B64" s="23" t="s">
        <v>79</v>
      </c>
      <c r="C64" s="8"/>
      <c r="D64" s="8"/>
      <c r="E64" s="8"/>
      <c r="F64" s="8"/>
      <c r="G64" s="10"/>
      <c r="H64" s="25"/>
      <c r="I64" s="2"/>
      <c r="J64" s="2"/>
      <c r="K64" s="26"/>
      <c r="L64" s="40" t="s">
        <v>75</v>
      </c>
      <c r="M64" s="10"/>
      <c r="N64" s="5"/>
    </row>
    <row r="65" spans="1:14" ht="15.5" x14ac:dyDescent="0.35">
      <c r="A65" s="38" t="s">
        <v>80</v>
      </c>
      <c r="B65" s="23" t="s">
        <v>81</v>
      </c>
      <c r="C65" s="8"/>
      <c r="D65" s="8"/>
      <c r="E65" s="8"/>
      <c r="F65" s="8"/>
      <c r="G65" s="10"/>
      <c r="H65" s="25"/>
      <c r="I65" s="2"/>
      <c r="J65" s="2"/>
      <c r="K65" s="26"/>
      <c r="L65" s="40" t="s">
        <v>75</v>
      </c>
      <c r="M65" s="10"/>
      <c r="N65" s="5"/>
    </row>
    <row r="66" spans="1:14" ht="15.5" x14ac:dyDescent="0.35">
      <c r="A66" s="38" t="s">
        <v>82</v>
      </c>
      <c r="B66" s="23" t="s">
        <v>83</v>
      </c>
      <c r="C66" s="8"/>
      <c r="D66" s="8"/>
      <c r="E66" s="8"/>
      <c r="F66" s="8"/>
      <c r="G66" s="10"/>
      <c r="H66" s="25"/>
      <c r="I66" s="2"/>
      <c r="J66" s="2"/>
      <c r="K66" s="26"/>
      <c r="L66" s="40" t="s">
        <v>75</v>
      </c>
      <c r="M66" s="10"/>
      <c r="N66" s="5"/>
    </row>
    <row r="67" spans="1:14" ht="15.5" x14ac:dyDescent="0.35">
      <c r="A67" s="38" t="s">
        <v>84</v>
      </c>
      <c r="B67" s="23" t="s">
        <v>85</v>
      </c>
      <c r="C67" s="8"/>
      <c r="D67" s="8"/>
      <c r="E67" s="8"/>
      <c r="F67" s="8"/>
      <c r="G67" s="10"/>
      <c r="H67" s="25"/>
      <c r="I67" s="2"/>
      <c r="J67" s="2"/>
      <c r="K67" s="26"/>
      <c r="L67" s="40" t="s">
        <v>75</v>
      </c>
      <c r="M67" s="10"/>
      <c r="N67" s="5"/>
    </row>
    <row r="68" spans="1:14" ht="15.5" x14ac:dyDescent="0.35">
      <c r="A68" s="38" t="s">
        <v>86</v>
      </c>
      <c r="B68" s="23" t="s">
        <v>87</v>
      </c>
      <c r="C68" s="8"/>
      <c r="D68" s="8"/>
      <c r="E68" s="8"/>
      <c r="F68" s="8"/>
      <c r="G68" s="10"/>
      <c r="H68" s="25"/>
      <c r="I68" s="2"/>
      <c r="J68" s="2"/>
      <c r="K68" s="26"/>
      <c r="L68" s="40" t="s">
        <v>75</v>
      </c>
      <c r="M68" s="10"/>
      <c r="N68" s="5"/>
    </row>
    <row r="69" spans="1:14" ht="15.5" x14ac:dyDescent="0.35">
      <c r="A69" s="38" t="s">
        <v>88</v>
      </c>
      <c r="B69" s="23" t="s">
        <v>89</v>
      </c>
      <c r="C69" s="8"/>
      <c r="D69" s="8"/>
      <c r="E69" s="8"/>
      <c r="F69" s="8"/>
      <c r="G69" s="10"/>
      <c r="H69" s="25"/>
      <c r="I69" s="2"/>
      <c r="J69" s="2"/>
      <c r="K69" s="26"/>
      <c r="L69" s="40" t="s">
        <v>75</v>
      </c>
      <c r="M69" s="10"/>
      <c r="N69" s="5"/>
    </row>
    <row r="70" spans="1:14" ht="15.5" x14ac:dyDescent="0.35">
      <c r="A70" s="38" t="s">
        <v>90</v>
      </c>
      <c r="B70" s="23" t="s">
        <v>91</v>
      </c>
      <c r="C70" s="8"/>
      <c r="D70" s="8"/>
      <c r="E70" s="8"/>
      <c r="F70" s="8"/>
      <c r="G70" s="10"/>
      <c r="H70" s="25"/>
      <c r="I70" s="2"/>
      <c r="J70" s="2"/>
      <c r="K70" s="26"/>
      <c r="L70" s="40" t="s">
        <v>92</v>
      </c>
      <c r="M70" s="10"/>
      <c r="N70" s="5"/>
    </row>
    <row r="71" spans="1:14" ht="15.5" x14ac:dyDescent="0.35">
      <c r="A71" s="38" t="s">
        <v>93</v>
      </c>
      <c r="B71" s="23" t="s">
        <v>94</v>
      </c>
      <c r="C71" s="8"/>
      <c r="D71" s="8"/>
      <c r="E71" s="8"/>
      <c r="F71" s="8"/>
      <c r="G71" s="10"/>
      <c r="H71" s="25"/>
      <c r="I71" s="2"/>
      <c r="J71" s="2"/>
      <c r="K71" s="26"/>
      <c r="L71" s="40" t="s">
        <v>75</v>
      </c>
      <c r="M71" s="10"/>
      <c r="N71" s="5"/>
    </row>
    <row r="72" spans="1:14" ht="15.5" x14ac:dyDescent="0.35">
      <c r="A72" s="38" t="s">
        <v>95</v>
      </c>
      <c r="B72" s="23" t="s">
        <v>96</v>
      </c>
      <c r="C72" s="8"/>
      <c r="D72" s="8"/>
      <c r="E72" s="8"/>
      <c r="F72" s="8"/>
      <c r="G72" s="10"/>
      <c r="H72" s="25"/>
      <c r="I72" s="2"/>
      <c r="J72" s="2"/>
      <c r="K72" s="26"/>
      <c r="L72" s="40" t="s">
        <v>75</v>
      </c>
      <c r="M72" s="10"/>
      <c r="N72" s="5"/>
    </row>
    <row r="73" spans="1:14" ht="15.5" x14ac:dyDescent="0.35">
      <c r="A73" s="38" t="s">
        <v>97</v>
      </c>
      <c r="B73" s="23" t="s">
        <v>98</v>
      </c>
      <c r="C73" s="8"/>
      <c r="D73" s="8"/>
      <c r="E73" s="8"/>
      <c r="F73" s="8"/>
      <c r="G73" s="10"/>
      <c r="H73" s="25"/>
      <c r="I73" s="2"/>
      <c r="J73" s="2"/>
      <c r="K73" s="26"/>
      <c r="L73" s="40" t="s">
        <v>75</v>
      </c>
      <c r="M73" s="10"/>
      <c r="N73" s="5"/>
    </row>
    <row r="74" spans="1:14" ht="15.5" x14ac:dyDescent="0.35">
      <c r="A74" s="38" t="s">
        <v>99</v>
      </c>
      <c r="B74" s="23" t="s">
        <v>100</v>
      </c>
      <c r="C74" s="8"/>
      <c r="D74" s="8"/>
      <c r="E74" s="8"/>
      <c r="F74" s="8"/>
      <c r="G74" s="10"/>
      <c r="H74" s="25"/>
      <c r="I74" s="2"/>
      <c r="J74" s="2"/>
      <c r="K74" s="26"/>
      <c r="L74" s="40" t="s">
        <v>75</v>
      </c>
      <c r="M74" s="10"/>
      <c r="N74" s="5"/>
    </row>
    <row r="75" spans="1:14" ht="15.5" x14ac:dyDescent="0.35">
      <c r="A75" s="38" t="s">
        <v>101</v>
      </c>
      <c r="B75" s="23" t="s">
        <v>102</v>
      </c>
      <c r="C75" s="8"/>
      <c r="D75" s="8"/>
      <c r="E75" s="8"/>
      <c r="F75" s="8"/>
      <c r="G75" s="10"/>
      <c r="H75" s="24"/>
      <c r="I75" s="18"/>
      <c r="J75" s="18"/>
      <c r="K75" s="19"/>
      <c r="L75" s="40" t="s">
        <v>75</v>
      </c>
      <c r="M75" s="10"/>
      <c r="N75" s="5"/>
    </row>
    <row r="76" spans="1:14" ht="264.75" customHeight="1" x14ac:dyDescent="0.35">
      <c r="A76" s="41" t="s">
        <v>103</v>
      </c>
      <c r="B76" s="8"/>
      <c r="C76" s="8"/>
      <c r="D76" s="8"/>
      <c r="E76" s="8"/>
      <c r="F76" s="8"/>
      <c r="G76" s="8"/>
      <c r="H76" s="8"/>
      <c r="I76" s="8"/>
      <c r="J76" s="8"/>
      <c r="K76" s="8"/>
      <c r="L76" s="8"/>
      <c r="M76" s="10"/>
      <c r="N76" s="5"/>
    </row>
    <row r="77" spans="1:14" ht="24.75" hidden="1" customHeight="1" x14ac:dyDescent="0.35">
      <c r="A77" s="37" t="s">
        <v>104</v>
      </c>
      <c r="B77" s="8"/>
      <c r="C77" s="8"/>
      <c r="D77" s="8"/>
      <c r="E77" s="8"/>
      <c r="F77" s="8"/>
      <c r="G77" s="10"/>
      <c r="H77" s="37" t="s">
        <v>105</v>
      </c>
      <c r="I77" s="8"/>
      <c r="J77" s="8"/>
      <c r="K77" s="10"/>
      <c r="L77" s="37" t="s">
        <v>71</v>
      </c>
      <c r="M77" s="10"/>
      <c r="N77" s="30"/>
    </row>
    <row r="78" spans="1:14" ht="15.5" hidden="1" x14ac:dyDescent="0.35">
      <c r="A78" s="38" t="s">
        <v>72</v>
      </c>
      <c r="B78" s="23"/>
      <c r="C78" s="8"/>
      <c r="D78" s="8"/>
      <c r="E78" s="8"/>
      <c r="F78" s="8"/>
      <c r="G78" s="10"/>
      <c r="H78" s="39"/>
      <c r="I78" s="14"/>
      <c r="J78" s="14"/>
      <c r="K78" s="15"/>
      <c r="L78" s="23"/>
      <c r="M78" s="10"/>
      <c r="N78" s="5"/>
    </row>
    <row r="79" spans="1:14" ht="15.5" hidden="1" x14ac:dyDescent="0.35">
      <c r="A79" s="38" t="s">
        <v>76</v>
      </c>
      <c r="B79" s="23"/>
      <c r="C79" s="8"/>
      <c r="D79" s="8"/>
      <c r="E79" s="8"/>
      <c r="F79" s="8"/>
      <c r="G79" s="10"/>
      <c r="H79" s="25"/>
      <c r="I79" s="2"/>
      <c r="J79" s="2"/>
      <c r="K79" s="26"/>
      <c r="L79" s="23"/>
      <c r="M79" s="10"/>
      <c r="N79" s="5"/>
    </row>
    <row r="80" spans="1:14" ht="15.5" hidden="1" x14ac:dyDescent="0.35">
      <c r="A80" s="38" t="s">
        <v>78</v>
      </c>
      <c r="B80" s="23"/>
      <c r="C80" s="8"/>
      <c r="D80" s="8"/>
      <c r="E80" s="8"/>
      <c r="F80" s="8"/>
      <c r="G80" s="10"/>
      <c r="H80" s="25"/>
      <c r="I80" s="2"/>
      <c r="J80" s="2"/>
      <c r="K80" s="26"/>
      <c r="L80" s="23"/>
      <c r="M80" s="10"/>
      <c r="N80" s="5"/>
    </row>
    <row r="81" spans="1:14" ht="15.5" hidden="1" x14ac:dyDescent="0.35">
      <c r="A81" s="38" t="s">
        <v>80</v>
      </c>
      <c r="B81" s="23"/>
      <c r="C81" s="8"/>
      <c r="D81" s="8"/>
      <c r="E81" s="8"/>
      <c r="F81" s="8"/>
      <c r="G81" s="10"/>
      <c r="H81" s="25"/>
      <c r="I81" s="2"/>
      <c r="J81" s="2"/>
      <c r="K81" s="26"/>
      <c r="L81" s="23"/>
      <c r="M81" s="10"/>
      <c r="N81" s="5"/>
    </row>
    <row r="82" spans="1:14" ht="15.5" hidden="1" x14ac:dyDescent="0.35">
      <c r="A82" s="38" t="s">
        <v>82</v>
      </c>
      <c r="B82" s="23"/>
      <c r="C82" s="8"/>
      <c r="D82" s="8"/>
      <c r="E82" s="8"/>
      <c r="F82" s="8"/>
      <c r="G82" s="10"/>
      <c r="H82" s="25"/>
      <c r="I82" s="2"/>
      <c r="J82" s="2"/>
      <c r="K82" s="26"/>
      <c r="L82" s="23"/>
      <c r="M82" s="10"/>
      <c r="N82" s="5"/>
    </row>
    <row r="83" spans="1:14" ht="15.5" hidden="1" x14ac:dyDescent="0.35">
      <c r="A83" s="38" t="s">
        <v>84</v>
      </c>
      <c r="B83" s="23"/>
      <c r="C83" s="8"/>
      <c r="D83" s="8"/>
      <c r="E83" s="8"/>
      <c r="F83" s="8"/>
      <c r="G83" s="10"/>
      <c r="H83" s="25"/>
      <c r="I83" s="2"/>
      <c r="J83" s="2"/>
      <c r="K83" s="26"/>
      <c r="L83" s="23"/>
      <c r="M83" s="10"/>
      <c r="N83" s="5"/>
    </row>
    <row r="84" spans="1:14" ht="15.5" hidden="1" x14ac:dyDescent="0.35">
      <c r="A84" s="38" t="s">
        <v>86</v>
      </c>
      <c r="B84" s="23"/>
      <c r="C84" s="8"/>
      <c r="D84" s="8"/>
      <c r="E84" s="8"/>
      <c r="F84" s="8"/>
      <c r="G84" s="10"/>
      <c r="H84" s="25"/>
      <c r="I84" s="2"/>
      <c r="J84" s="2"/>
      <c r="K84" s="26"/>
      <c r="L84" s="23"/>
      <c r="M84" s="10"/>
      <c r="N84" s="5"/>
    </row>
    <row r="85" spans="1:14" ht="15.5" hidden="1" x14ac:dyDescent="0.35">
      <c r="A85" s="38" t="s">
        <v>88</v>
      </c>
      <c r="B85" s="23"/>
      <c r="C85" s="8"/>
      <c r="D85" s="8"/>
      <c r="E85" s="8"/>
      <c r="F85" s="8"/>
      <c r="G85" s="10"/>
      <c r="H85" s="25"/>
      <c r="I85" s="2"/>
      <c r="J85" s="2"/>
      <c r="K85" s="26"/>
      <c r="L85" s="23"/>
      <c r="M85" s="10"/>
      <c r="N85" s="5"/>
    </row>
    <row r="86" spans="1:14" ht="15.5" hidden="1" x14ac:dyDescent="0.35">
      <c r="A86" s="38" t="s">
        <v>90</v>
      </c>
      <c r="B86" s="23"/>
      <c r="C86" s="8"/>
      <c r="D86" s="8"/>
      <c r="E86" s="8"/>
      <c r="F86" s="8"/>
      <c r="G86" s="10"/>
      <c r="H86" s="25"/>
      <c r="I86" s="2"/>
      <c r="J86" s="2"/>
      <c r="K86" s="26"/>
      <c r="L86" s="23"/>
      <c r="M86" s="10"/>
      <c r="N86" s="5"/>
    </row>
    <row r="87" spans="1:14" ht="15.5" hidden="1" x14ac:dyDescent="0.35">
      <c r="A87" s="38" t="s">
        <v>93</v>
      </c>
      <c r="B87" s="23"/>
      <c r="C87" s="8"/>
      <c r="D87" s="8"/>
      <c r="E87" s="8"/>
      <c r="F87" s="8"/>
      <c r="G87" s="10"/>
      <c r="H87" s="25"/>
      <c r="I87" s="2"/>
      <c r="J87" s="2"/>
      <c r="K87" s="26"/>
      <c r="L87" s="23"/>
      <c r="M87" s="10"/>
      <c r="N87" s="5"/>
    </row>
    <row r="88" spans="1:14" ht="15.5" hidden="1" x14ac:dyDescent="0.35">
      <c r="A88" s="38" t="s">
        <v>95</v>
      </c>
      <c r="B88" s="23"/>
      <c r="C88" s="8"/>
      <c r="D88" s="8"/>
      <c r="E88" s="8"/>
      <c r="F88" s="8"/>
      <c r="G88" s="10"/>
      <c r="H88" s="25"/>
      <c r="I88" s="2"/>
      <c r="J88" s="2"/>
      <c r="K88" s="26"/>
      <c r="L88" s="23"/>
      <c r="M88" s="10"/>
      <c r="N88" s="5"/>
    </row>
    <row r="89" spans="1:14" ht="15.5" hidden="1" x14ac:dyDescent="0.35">
      <c r="A89" s="38" t="s">
        <v>97</v>
      </c>
      <c r="B89" s="23"/>
      <c r="C89" s="8"/>
      <c r="D89" s="8"/>
      <c r="E89" s="8"/>
      <c r="F89" s="8"/>
      <c r="G89" s="10"/>
      <c r="H89" s="25"/>
      <c r="I89" s="2"/>
      <c r="J89" s="2"/>
      <c r="K89" s="26"/>
      <c r="L89" s="23"/>
      <c r="M89" s="10"/>
      <c r="N89" s="5"/>
    </row>
    <row r="90" spans="1:14" ht="15.5" hidden="1" x14ac:dyDescent="0.35">
      <c r="A90" s="38" t="s">
        <v>99</v>
      </c>
      <c r="B90" s="23"/>
      <c r="C90" s="8"/>
      <c r="D90" s="8"/>
      <c r="E90" s="8"/>
      <c r="F90" s="8"/>
      <c r="G90" s="10"/>
      <c r="H90" s="25"/>
      <c r="I90" s="2"/>
      <c r="J90" s="2"/>
      <c r="K90" s="26"/>
      <c r="L90" s="23"/>
      <c r="M90" s="10"/>
      <c r="N90" s="5"/>
    </row>
    <row r="91" spans="1:14" ht="15.5" hidden="1" x14ac:dyDescent="0.35">
      <c r="A91" s="38" t="s">
        <v>101</v>
      </c>
      <c r="B91" s="23"/>
      <c r="C91" s="8"/>
      <c r="D91" s="8"/>
      <c r="E91" s="8"/>
      <c r="F91" s="8"/>
      <c r="G91" s="10"/>
      <c r="H91" s="24"/>
      <c r="I91" s="18"/>
      <c r="J91" s="18"/>
      <c r="K91" s="19"/>
      <c r="L91" s="23"/>
      <c r="M91" s="10"/>
      <c r="N91" s="5"/>
    </row>
    <row r="92" spans="1:14" ht="24" hidden="1" customHeight="1" x14ac:dyDescent="0.35">
      <c r="A92" s="37" t="s">
        <v>106</v>
      </c>
      <c r="B92" s="8"/>
      <c r="C92" s="8"/>
      <c r="D92" s="8"/>
      <c r="E92" s="8"/>
      <c r="F92" s="8"/>
      <c r="G92" s="10"/>
      <c r="H92" s="37" t="s">
        <v>105</v>
      </c>
      <c r="I92" s="8"/>
      <c r="J92" s="8"/>
      <c r="K92" s="10"/>
      <c r="L92" s="37" t="s">
        <v>71</v>
      </c>
      <c r="M92" s="10"/>
      <c r="N92" s="30"/>
    </row>
    <row r="93" spans="1:14" ht="15.5" hidden="1" x14ac:dyDescent="0.35">
      <c r="A93" s="38" t="s">
        <v>72</v>
      </c>
      <c r="B93" s="23"/>
      <c r="C93" s="8"/>
      <c r="D93" s="8"/>
      <c r="E93" s="8"/>
      <c r="F93" s="8"/>
      <c r="G93" s="10"/>
      <c r="H93" s="39"/>
      <c r="I93" s="14"/>
      <c r="J93" s="14"/>
      <c r="K93" s="15"/>
      <c r="L93" s="23"/>
      <c r="M93" s="10"/>
      <c r="N93" s="5"/>
    </row>
    <row r="94" spans="1:14" ht="15.5" hidden="1" x14ac:dyDescent="0.35">
      <c r="A94" s="38" t="s">
        <v>76</v>
      </c>
      <c r="B94" s="23"/>
      <c r="C94" s="8"/>
      <c r="D94" s="8"/>
      <c r="E94" s="8"/>
      <c r="F94" s="8"/>
      <c r="G94" s="10"/>
      <c r="H94" s="25"/>
      <c r="I94" s="2"/>
      <c r="J94" s="2"/>
      <c r="K94" s="26"/>
      <c r="L94" s="23"/>
      <c r="M94" s="10"/>
      <c r="N94" s="5"/>
    </row>
    <row r="95" spans="1:14" ht="15.5" hidden="1" x14ac:dyDescent="0.35">
      <c r="A95" s="38" t="s">
        <v>78</v>
      </c>
      <c r="B95" s="23"/>
      <c r="C95" s="8"/>
      <c r="D95" s="8"/>
      <c r="E95" s="8"/>
      <c r="F95" s="8"/>
      <c r="G95" s="10"/>
      <c r="H95" s="25"/>
      <c r="I95" s="2"/>
      <c r="J95" s="2"/>
      <c r="K95" s="26"/>
      <c r="L95" s="23"/>
      <c r="M95" s="10"/>
      <c r="N95" s="5"/>
    </row>
    <row r="96" spans="1:14" ht="15.5" hidden="1" x14ac:dyDescent="0.35">
      <c r="A96" s="38" t="s">
        <v>80</v>
      </c>
      <c r="B96" s="23"/>
      <c r="C96" s="8"/>
      <c r="D96" s="8"/>
      <c r="E96" s="8"/>
      <c r="F96" s="8"/>
      <c r="G96" s="10"/>
      <c r="H96" s="25"/>
      <c r="I96" s="2"/>
      <c r="J96" s="2"/>
      <c r="K96" s="26"/>
      <c r="L96" s="23"/>
      <c r="M96" s="10"/>
      <c r="N96" s="5"/>
    </row>
    <row r="97" spans="1:14" ht="15.5" hidden="1" x14ac:dyDescent="0.35">
      <c r="A97" s="38" t="s">
        <v>82</v>
      </c>
      <c r="B97" s="23"/>
      <c r="C97" s="8"/>
      <c r="D97" s="8"/>
      <c r="E97" s="8"/>
      <c r="F97" s="8"/>
      <c r="G97" s="10"/>
      <c r="H97" s="25"/>
      <c r="I97" s="2"/>
      <c r="J97" s="2"/>
      <c r="K97" s="26"/>
      <c r="L97" s="23"/>
      <c r="M97" s="10"/>
      <c r="N97" s="5"/>
    </row>
    <row r="98" spans="1:14" ht="15.5" hidden="1" x14ac:dyDescent="0.35">
      <c r="A98" s="38" t="s">
        <v>84</v>
      </c>
      <c r="B98" s="23"/>
      <c r="C98" s="8"/>
      <c r="D98" s="8"/>
      <c r="E98" s="8"/>
      <c r="F98" s="8"/>
      <c r="G98" s="10"/>
      <c r="H98" s="25"/>
      <c r="I98" s="2"/>
      <c r="J98" s="2"/>
      <c r="K98" s="26"/>
      <c r="L98" s="23"/>
      <c r="M98" s="10"/>
      <c r="N98" s="5"/>
    </row>
    <row r="99" spans="1:14" ht="15.5" hidden="1" x14ac:dyDescent="0.35">
      <c r="A99" s="38" t="s">
        <v>86</v>
      </c>
      <c r="B99" s="23"/>
      <c r="C99" s="8"/>
      <c r="D99" s="8"/>
      <c r="E99" s="8"/>
      <c r="F99" s="8"/>
      <c r="G99" s="10"/>
      <c r="H99" s="25"/>
      <c r="I99" s="2"/>
      <c r="J99" s="2"/>
      <c r="K99" s="26"/>
      <c r="L99" s="23"/>
      <c r="M99" s="10"/>
      <c r="N99" s="5"/>
    </row>
    <row r="100" spans="1:14" ht="15.5" hidden="1" x14ac:dyDescent="0.35">
      <c r="A100" s="38" t="s">
        <v>88</v>
      </c>
      <c r="B100" s="23"/>
      <c r="C100" s="8"/>
      <c r="D100" s="8"/>
      <c r="E100" s="8"/>
      <c r="F100" s="8"/>
      <c r="G100" s="10"/>
      <c r="H100" s="25"/>
      <c r="I100" s="2"/>
      <c r="J100" s="2"/>
      <c r="K100" s="26"/>
      <c r="L100" s="23"/>
      <c r="M100" s="10"/>
      <c r="N100" s="5"/>
    </row>
    <row r="101" spans="1:14" ht="15.5" hidden="1" x14ac:dyDescent="0.35">
      <c r="A101" s="38" t="s">
        <v>90</v>
      </c>
      <c r="B101" s="23"/>
      <c r="C101" s="8"/>
      <c r="D101" s="8"/>
      <c r="E101" s="8"/>
      <c r="F101" s="8"/>
      <c r="G101" s="10"/>
      <c r="H101" s="25"/>
      <c r="I101" s="2"/>
      <c r="J101" s="2"/>
      <c r="K101" s="26"/>
      <c r="L101" s="23"/>
      <c r="M101" s="10"/>
      <c r="N101" s="5"/>
    </row>
    <row r="102" spans="1:14" ht="15.5" hidden="1" x14ac:dyDescent="0.35">
      <c r="A102" s="38" t="s">
        <v>93</v>
      </c>
      <c r="B102" s="23"/>
      <c r="C102" s="8"/>
      <c r="D102" s="8"/>
      <c r="E102" s="8"/>
      <c r="F102" s="8"/>
      <c r="G102" s="10"/>
      <c r="H102" s="25"/>
      <c r="I102" s="2"/>
      <c r="J102" s="2"/>
      <c r="K102" s="26"/>
      <c r="L102" s="23"/>
      <c r="M102" s="10"/>
      <c r="N102" s="5"/>
    </row>
    <row r="103" spans="1:14" ht="15.5" hidden="1" x14ac:dyDescent="0.35">
      <c r="A103" s="38" t="s">
        <v>95</v>
      </c>
      <c r="B103" s="23"/>
      <c r="C103" s="8"/>
      <c r="D103" s="8"/>
      <c r="E103" s="8"/>
      <c r="F103" s="8"/>
      <c r="G103" s="10"/>
      <c r="H103" s="25"/>
      <c r="I103" s="2"/>
      <c r="J103" s="2"/>
      <c r="K103" s="26"/>
      <c r="L103" s="23"/>
      <c r="M103" s="10"/>
      <c r="N103" s="5"/>
    </row>
    <row r="104" spans="1:14" ht="15.5" hidden="1" x14ac:dyDescent="0.35">
      <c r="A104" s="38" t="s">
        <v>97</v>
      </c>
      <c r="B104" s="23"/>
      <c r="C104" s="8"/>
      <c r="D104" s="8"/>
      <c r="E104" s="8"/>
      <c r="F104" s="8"/>
      <c r="G104" s="10"/>
      <c r="H104" s="25"/>
      <c r="I104" s="2"/>
      <c r="J104" s="2"/>
      <c r="K104" s="26"/>
      <c r="L104" s="23"/>
      <c r="M104" s="10"/>
      <c r="N104" s="5"/>
    </row>
    <row r="105" spans="1:14" ht="15.5" hidden="1" x14ac:dyDescent="0.35">
      <c r="A105" s="38" t="s">
        <v>99</v>
      </c>
      <c r="B105" s="23"/>
      <c r="C105" s="8"/>
      <c r="D105" s="8"/>
      <c r="E105" s="8"/>
      <c r="F105" s="8"/>
      <c r="G105" s="10"/>
      <c r="H105" s="25"/>
      <c r="I105" s="2"/>
      <c r="J105" s="2"/>
      <c r="K105" s="26"/>
      <c r="L105" s="23"/>
      <c r="M105" s="10"/>
      <c r="N105" s="5"/>
    </row>
    <row r="106" spans="1:14" ht="15.5" hidden="1" x14ac:dyDescent="0.35">
      <c r="A106" s="38" t="s">
        <v>101</v>
      </c>
      <c r="B106" s="23"/>
      <c r="C106" s="8"/>
      <c r="D106" s="8"/>
      <c r="E106" s="8"/>
      <c r="F106" s="8"/>
      <c r="G106" s="10"/>
      <c r="H106" s="24"/>
      <c r="I106" s="18"/>
      <c r="J106" s="18"/>
      <c r="K106" s="19"/>
      <c r="L106" s="23"/>
      <c r="M106" s="10"/>
      <c r="N106" s="5"/>
    </row>
    <row r="107" spans="1:14" ht="24" hidden="1" customHeight="1" x14ac:dyDescent="0.35">
      <c r="A107" s="37" t="s">
        <v>107</v>
      </c>
      <c r="B107" s="8"/>
      <c r="C107" s="8"/>
      <c r="D107" s="8"/>
      <c r="E107" s="8"/>
      <c r="F107" s="8"/>
      <c r="G107" s="10"/>
      <c r="H107" s="37" t="s">
        <v>105</v>
      </c>
      <c r="I107" s="8"/>
      <c r="J107" s="8"/>
      <c r="K107" s="10"/>
      <c r="L107" s="37" t="s">
        <v>71</v>
      </c>
      <c r="M107" s="10"/>
      <c r="N107" s="30"/>
    </row>
    <row r="108" spans="1:14" ht="15.5" hidden="1" x14ac:dyDescent="0.35">
      <c r="A108" s="38" t="s">
        <v>72</v>
      </c>
      <c r="B108" s="23"/>
      <c r="C108" s="8"/>
      <c r="D108" s="8"/>
      <c r="E108" s="8"/>
      <c r="F108" s="8"/>
      <c r="G108" s="10"/>
      <c r="H108" s="39"/>
      <c r="I108" s="14"/>
      <c r="J108" s="14"/>
      <c r="K108" s="15"/>
      <c r="L108" s="23"/>
      <c r="M108" s="10"/>
      <c r="N108" s="5"/>
    </row>
    <row r="109" spans="1:14" ht="15.5" hidden="1" x14ac:dyDescent="0.35">
      <c r="A109" s="38" t="s">
        <v>76</v>
      </c>
      <c r="B109" s="23"/>
      <c r="C109" s="8"/>
      <c r="D109" s="8"/>
      <c r="E109" s="8"/>
      <c r="F109" s="8"/>
      <c r="G109" s="10"/>
      <c r="H109" s="25"/>
      <c r="I109" s="2"/>
      <c r="J109" s="2"/>
      <c r="K109" s="26"/>
      <c r="L109" s="23"/>
      <c r="M109" s="10"/>
      <c r="N109" s="5"/>
    </row>
    <row r="110" spans="1:14" ht="15.5" hidden="1" x14ac:dyDescent="0.35">
      <c r="A110" s="38" t="s">
        <v>78</v>
      </c>
      <c r="B110" s="23"/>
      <c r="C110" s="8"/>
      <c r="D110" s="8"/>
      <c r="E110" s="8"/>
      <c r="F110" s="8"/>
      <c r="G110" s="10"/>
      <c r="H110" s="25"/>
      <c r="I110" s="2"/>
      <c r="J110" s="2"/>
      <c r="K110" s="26"/>
      <c r="L110" s="23"/>
      <c r="M110" s="10"/>
      <c r="N110" s="5"/>
    </row>
    <row r="111" spans="1:14" ht="15.5" hidden="1" x14ac:dyDescent="0.35">
      <c r="A111" s="38" t="s">
        <v>80</v>
      </c>
      <c r="B111" s="23"/>
      <c r="C111" s="8"/>
      <c r="D111" s="8"/>
      <c r="E111" s="8"/>
      <c r="F111" s="8"/>
      <c r="G111" s="10"/>
      <c r="H111" s="25"/>
      <c r="I111" s="2"/>
      <c r="J111" s="2"/>
      <c r="K111" s="26"/>
      <c r="L111" s="23"/>
      <c r="M111" s="10"/>
      <c r="N111" s="5"/>
    </row>
    <row r="112" spans="1:14" ht="15.5" hidden="1" x14ac:dyDescent="0.35">
      <c r="A112" s="38" t="s">
        <v>82</v>
      </c>
      <c r="B112" s="23"/>
      <c r="C112" s="8"/>
      <c r="D112" s="8"/>
      <c r="E112" s="8"/>
      <c r="F112" s="8"/>
      <c r="G112" s="10"/>
      <c r="H112" s="25"/>
      <c r="I112" s="2"/>
      <c r="J112" s="2"/>
      <c r="K112" s="26"/>
      <c r="L112" s="23"/>
      <c r="M112" s="10"/>
      <c r="N112" s="5"/>
    </row>
    <row r="113" spans="1:14" ht="15.5" hidden="1" x14ac:dyDescent="0.35">
      <c r="A113" s="38" t="s">
        <v>84</v>
      </c>
      <c r="B113" s="23"/>
      <c r="C113" s="8"/>
      <c r="D113" s="8"/>
      <c r="E113" s="8"/>
      <c r="F113" s="8"/>
      <c r="G113" s="10"/>
      <c r="H113" s="25"/>
      <c r="I113" s="2"/>
      <c r="J113" s="2"/>
      <c r="K113" s="26"/>
      <c r="L113" s="23"/>
      <c r="M113" s="10"/>
      <c r="N113" s="5"/>
    </row>
    <row r="114" spans="1:14" ht="15.5" hidden="1" x14ac:dyDescent="0.35">
      <c r="A114" s="38" t="s">
        <v>86</v>
      </c>
      <c r="B114" s="23"/>
      <c r="C114" s="8"/>
      <c r="D114" s="8"/>
      <c r="E114" s="8"/>
      <c r="F114" s="8"/>
      <c r="G114" s="10"/>
      <c r="H114" s="25"/>
      <c r="I114" s="2"/>
      <c r="J114" s="2"/>
      <c r="K114" s="26"/>
      <c r="L114" s="23"/>
      <c r="M114" s="10"/>
      <c r="N114" s="5"/>
    </row>
    <row r="115" spans="1:14" ht="15.5" hidden="1" x14ac:dyDescent="0.35">
      <c r="A115" s="38" t="s">
        <v>88</v>
      </c>
      <c r="B115" s="23"/>
      <c r="C115" s="8"/>
      <c r="D115" s="8"/>
      <c r="E115" s="8"/>
      <c r="F115" s="8"/>
      <c r="G115" s="10"/>
      <c r="H115" s="25"/>
      <c r="I115" s="2"/>
      <c r="J115" s="2"/>
      <c r="K115" s="26"/>
      <c r="L115" s="23"/>
      <c r="M115" s="10"/>
      <c r="N115" s="5"/>
    </row>
    <row r="116" spans="1:14" ht="15.5" hidden="1" x14ac:dyDescent="0.35">
      <c r="A116" s="38" t="s">
        <v>90</v>
      </c>
      <c r="B116" s="23"/>
      <c r="C116" s="8"/>
      <c r="D116" s="8"/>
      <c r="E116" s="8"/>
      <c r="F116" s="8"/>
      <c r="G116" s="10"/>
      <c r="H116" s="25"/>
      <c r="I116" s="2"/>
      <c r="J116" s="2"/>
      <c r="K116" s="26"/>
      <c r="L116" s="23"/>
      <c r="M116" s="10"/>
      <c r="N116" s="5"/>
    </row>
    <row r="117" spans="1:14" ht="15.5" hidden="1" x14ac:dyDescent="0.35">
      <c r="A117" s="38" t="s">
        <v>93</v>
      </c>
      <c r="B117" s="23"/>
      <c r="C117" s="8"/>
      <c r="D117" s="8"/>
      <c r="E117" s="8"/>
      <c r="F117" s="8"/>
      <c r="G117" s="10"/>
      <c r="H117" s="25"/>
      <c r="I117" s="2"/>
      <c r="J117" s="2"/>
      <c r="K117" s="26"/>
      <c r="L117" s="23"/>
      <c r="M117" s="10"/>
      <c r="N117" s="5"/>
    </row>
    <row r="118" spans="1:14" ht="15.5" hidden="1" x14ac:dyDescent="0.35">
      <c r="A118" s="38" t="s">
        <v>95</v>
      </c>
      <c r="B118" s="23"/>
      <c r="C118" s="8"/>
      <c r="D118" s="8"/>
      <c r="E118" s="8"/>
      <c r="F118" s="8"/>
      <c r="G118" s="10"/>
      <c r="H118" s="25"/>
      <c r="I118" s="2"/>
      <c r="J118" s="2"/>
      <c r="K118" s="26"/>
      <c r="L118" s="23"/>
      <c r="M118" s="10"/>
      <c r="N118" s="5"/>
    </row>
    <row r="119" spans="1:14" ht="15.5" hidden="1" x14ac:dyDescent="0.35">
      <c r="A119" s="38" t="s">
        <v>97</v>
      </c>
      <c r="B119" s="23"/>
      <c r="C119" s="8"/>
      <c r="D119" s="8"/>
      <c r="E119" s="8"/>
      <c r="F119" s="8"/>
      <c r="G119" s="10"/>
      <c r="H119" s="25"/>
      <c r="I119" s="2"/>
      <c r="J119" s="2"/>
      <c r="K119" s="26"/>
      <c r="L119" s="23"/>
      <c r="M119" s="10"/>
      <c r="N119" s="5"/>
    </row>
    <row r="120" spans="1:14" ht="15.5" hidden="1" x14ac:dyDescent="0.35">
      <c r="A120" s="38" t="s">
        <v>99</v>
      </c>
      <c r="B120" s="23"/>
      <c r="C120" s="8"/>
      <c r="D120" s="8"/>
      <c r="E120" s="8"/>
      <c r="F120" s="8"/>
      <c r="G120" s="10"/>
      <c r="H120" s="25"/>
      <c r="I120" s="2"/>
      <c r="J120" s="2"/>
      <c r="K120" s="26"/>
      <c r="L120" s="23"/>
      <c r="M120" s="10"/>
      <c r="N120" s="5"/>
    </row>
    <row r="121" spans="1:14" ht="15.5" hidden="1" x14ac:dyDescent="0.35">
      <c r="A121" s="38" t="s">
        <v>101</v>
      </c>
      <c r="B121" s="23"/>
      <c r="C121" s="8"/>
      <c r="D121" s="8"/>
      <c r="E121" s="8"/>
      <c r="F121" s="8"/>
      <c r="G121" s="10"/>
      <c r="H121" s="24"/>
      <c r="I121" s="18"/>
      <c r="J121" s="18"/>
      <c r="K121" s="19"/>
      <c r="L121" s="23"/>
      <c r="M121" s="10"/>
      <c r="N121" s="5"/>
    </row>
    <row r="122" spans="1:14" ht="115.5" hidden="1" customHeight="1" x14ac:dyDescent="0.35">
      <c r="A122" s="23" t="s">
        <v>108</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109</v>
      </c>
      <c r="B124" s="2"/>
      <c r="C124" s="2"/>
      <c r="D124" s="2"/>
      <c r="E124" s="2"/>
      <c r="F124" s="2"/>
      <c r="G124" s="2"/>
      <c r="H124" s="2"/>
      <c r="I124" s="2"/>
      <c r="J124" s="2"/>
      <c r="K124" s="2"/>
      <c r="L124" s="2"/>
      <c r="M124" s="2"/>
      <c r="N124" s="30"/>
    </row>
    <row r="125" spans="1:14" ht="46.5" x14ac:dyDescent="0.35">
      <c r="A125" s="42" t="s">
        <v>110</v>
      </c>
      <c r="B125" s="43" t="s">
        <v>111</v>
      </c>
      <c r="C125" s="8"/>
      <c r="D125" s="8"/>
      <c r="E125" s="8"/>
      <c r="F125" s="8"/>
      <c r="G125" s="10"/>
      <c r="H125" s="43" t="s">
        <v>112</v>
      </c>
      <c r="I125" s="8"/>
      <c r="J125" s="8"/>
      <c r="K125" s="10"/>
      <c r="L125" s="44" t="s">
        <v>113</v>
      </c>
      <c r="M125" s="10"/>
      <c r="N125" s="5"/>
    </row>
    <row r="126" spans="1:14" ht="15.5" x14ac:dyDescent="0.35">
      <c r="A126" s="45" t="s">
        <v>114</v>
      </c>
      <c r="B126" s="46" t="s">
        <v>115</v>
      </c>
      <c r="C126" s="14"/>
      <c r="D126" s="14"/>
      <c r="E126" s="14"/>
      <c r="F126" s="14"/>
      <c r="G126" s="15"/>
      <c r="H126" s="47" t="s">
        <v>116</v>
      </c>
      <c r="I126" s="8"/>
      <c r="J126" s="8"/>
      <c r="K126" s="48" t="s">
        <v>117</v>
      </c>
      <c r="L126" s="49">
        <f>1-SUM(L129:M131)</f>
        <v>1</v>
      </c>
      <c r="M126" s="15"/>
      <c r="N126" s="5"/>
    </row>
    <row r="127" spans="1:14" ht="15.5" x14ac:dyDescent="0.35">
      <c r="A127" s="50"/>
      <c r="B127" s="25"/>
      <c r="C127" s="2"/>
      <c r="D127" s="2"/>
      <c r="E127" s="2"/>
      <c r="F127" s="2"/>
      <c r="G127" s="26"/>
      <c r="H127" s="51" t="s">
        <v>118</v>
      </c>
      <c r="I127" s="8"/>
      <c r="J127" s="8"/>
      <c r="K127" s="48" t="s">
        <v>119</v>
      </c>
      <c r="L127" s="25"/>
      <c r="M127" s="26"/>
      <c r="N127" s="5"/>
    </row>
    <row r="128" spans="1:14" ht="15.5" x14ac:dyDescent="0.35">
      <c r="A128" s="34"/>
      <c r="B128" s="24"/>
      <c r="C128" s="18"/>
      <c r="D128" s="18"/>
      <c r="E128" s="18"/>
      <c r="F128" s="18"/>
      <c r="G128" s="19"/>
      <c r="H128" s="51" t="s">
        <v>120</v>
      </c>
      <c r="I128" s="8"/>
      <c r="J128" s="8"/>
      <c r="K128" s="48" t="s">
        <v>121</v>
      </c>
      <c r="L128" s="24"/>
      <c r="M128" s="19"/>
      <c r="N128" s="5"/>
    </row>
    <row r="129" spans="1:14" ht="68.25" hidden="1" customHeight="1" x14ac:dyDescent="0.35">
      <c r="A129" s="42" t="s">
        <v>122</v>
      </c>
      <c r="B129" s="52" t="s">
        <v>123</v>
      </c>
      <c r="C129" s="8"/>
      <c r="D129" s="8"/>
      <c r="E129" s="8"/>
      <c r="F129" s="8"/>
      <c r="G129" s="10"/>
      <c r="H129" s="51" t="s">
        <v>124</v>
      </c>
      <c r="I129" s="8"/>
      <c r="J129" s="8"/>
      <c r="K129" s="10"/>
      <c r="L129" s="53"/>
      <c r="M129" s="10"/>
      <c r="N129" s="5"/>
    </row>
    <row r="130" spans="1:14" ht="46.5" hidden="1" x14ac:dyDescent="0.35">
      <c r="A130" s="42" t="s">
        <v>125</v>
      </c>
      <c r="B130" s="52" t="s">
        <v>126</v>
      </c>
      <c r="C130" s="8"/>
      <c r="D130" s="8"/>
      <c r="E130" s="8"/>
      <c r="F130" s="8"/>
      <c r="G130" s="10"/>
      <c r="H130" s="51" t="s">
        <v>127</v>
      </c>
      <c r="I130" s="8"/>
      <c r="J130" s="8"/>
      <c r="K130" s="10"/>
      <c r="L130" s="53"/>
      <c r="M130" s="10"/>
      <c r="N130" s="5"/>
    </row>
    <row r="131" spans="1:14" ht="31" hidden="1" x14ac:dyDescent="0.35">
      <c r="A131" s="42" t="s">
        <v>128</v>
      </c>
      <c r="B131" s="52" t="s">
        <v>129</v>
      </c>
      <c r="C131" s="8"/>
      <c r="D131" s="8"/>
      <c r="E131" s="8"/>
      <c r="F131" s="8"/>
      <c r="G131" s="10"/>
      <c r="H131" s="51" t="s">
        <v>130</v>
      </c>
      <c r="I131" s="8"/>
      <c r="J131" s="8"/>
      <c r="K131" s="10"/>
      <c r="L131" s="53"/>
      <c r="M131" s="10"/>
      <c r="N131" s="5"/>
    </row>
    <row r="132" spans="1:14" ht="15.5" x14ac:dyDescent="0.35">
      <c r="A132" s="43" t="s">
        <v>131</v>
      </c>
      <c r="B132" s="8"/>
      <c r="C132" s="8"/>
      <c r="D132" s="8"/>
      <c r="E132" s="8"/>
      <c r="F132" s="8"/>
      <c r="G132" s="8"/>
      <c r="H132" s="8"/>
      <c r="I132" s="8"/>
      <c r="J132" s="8"/>
      <c r="K132" s="8"/>
      <c r="L132" s="8"/>
      <c r="M132" s="10"/>
      <c r="N132" s="5"/>
    </row>
    <row r="133" spans="1:14" ht="15.5" x14ac:dyDescent="0.35">
      <c r="A133" s="52" t="s">
        <v>132</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4" t="s">
        <v>133</v>
      </c>
      <c r="B135" s="10"/>
      <c r="C135" s="55">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4" t="s">
        <v>134</v>
      </c>
      <c r="B137" s="10"/>
      <c r="C137" s="9" t="str">
        <f>E15</f>
        <v>lect. dr. mat. Grosu Gabriela</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hidden="1" customHeight="1" x14ac:dyDescent="0.35">
      <c r="A139" s="56" t="s">
        <v>135</v>
      </c>
      <c r="B139" s="15"/>
      <c r="C139" s="9">
        <f t="shared" ref="C139:C141" si="0">E17</f>
        <v>0</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4" t="s">
        <v>136</v>
      </c>
      <c r="B143" s="10"/>
      <c r="C143" s="57">
        <f>[1]Date!C25</f>
        <v>45915</v>
      </c>
      <c r="D143" s="10"/>
      <c r="E143" s="54" t="s">
        <v>137</v>
      </c>
      <c r="F143" s="8"/>
      <c r="G143" s="10"/>
      <c r="H143" s="58" t="str">
        <f>[1]Date!C27</f>
        <v>Conf.dr.ing. Mihai POSTOLACHE</v>
      </c>
      <c r="I143" s="8"/>
      <c r="J143" s="8"/>
      <c r="K143" s="8"/>
      <c r="L143" s="8"/>
      <c r="M143" s="10"/>
      <c r="N143" s="5"/>
    </row>
    <row r="144" spans="1:14" ht="21.75" customHeight="1" x14ac:dyDescent="0.35">
      <c r="A144" s="59"/>
      <c r="B144" s="59"/>
      <c r="C144" s="60"/>
      <c r="D144" s="60"/>
      <c r="E144" s="59"/>
      <c r="F144" s="59"/>
      <c r="G144" s="59"/>
      <c r="H144" s="60"/>
      <c r="I144" s="60"/>
      <c r="J144" s="60"/>
      <c r="K144" s="60"/>
      <c r="L144" s="60"/>
      <c r="M144" s="60"/>
      <c r="N144" s="5"/>
    </row>
    <row r="145" spans="1:14" ht="28.5" customHeight="1" x14ac:dyDescent="0.35">
      <c r="A145" s="54" t="s">
        <v>138</v>
      </c>
      <c r="B145" s="10"/>
      <c r="C145" s="57">
        <f>[1]Date!C26</f>
        <v>45918</v>
      </c>
      <c r="D145" s="10"/>
      <c r="E145" s="54" t="s">
        <v>139</v>
      </c>
      <c r="F145" s="8"/>
      <c r="G145" s="10"/>
      <c r="H145" s="58" t="str">
        <f>[1]Date!C28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hyperlinks>
    <hyperlink ref="A76" r:id="rId1" xr:uid="{99FE4664-DBF6-409A-9533-E874D3A53AD8}"/>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2026-03-01T09:04:00Z</dcterms:created>
  <dcterms:modified xsi:type="dcterms:W3CDTF">2026-03-01T09:04:02Z</dcterms:modified>
</cp:coreProperties>
</file>