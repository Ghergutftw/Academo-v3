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CFADB6FE-A394-4924-AA2A-8ECCDFD1D0FD}" xr6:coauthVersionLast="47" xr6:coauthVersionMax="47" xr10:uidLastSave="{00000000-0000-0000-0000-000000000000}"/>
  <bookViews>
    <workbookView xWindow="-110" yWindow="-110" windowWidth="25820" windowHeight="15500" xr2:uid="{89E65595-4971-47CC-A80D-D051DBE2960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E13" i="1" a="1"/>
  <c r="E13" i="1" s="1"/>
  <c r="C9" i="1"/>
  <c r="C8" i="1"/>
  <c r="C7" i="1"/>
  <c r="A2" i="1"/>
  <c r="C34" i="1" a="1"/>
  <c r="C34" i="1" s="1"/>
  <c r="M33" i="1" s="1"/>
  <c r="C36" i="1" l="1" a="1"/>
  <c r="C36" i="1" s="1"/>
  <c r="E14" i="1" a="1"/>
  <c r="E14" i="1" s="1"/>
  <c r="I26" i="1" a="1"/>
  <c r="I26" i="1" s="1"/>
  <c r="I27" i="1" s="1"/>
  <c r="M14" i="1" a="1"/>
  <c r="M14" i="1" s="1"/>
  <c r="K26" i="1" a="1"/>
  <c r="K26" i="1" s="1"/>
  <c r="K27" i="1" s="1"/>
  <c r="E23" i="1" a="1"/>
  <c r="E23" i="1" s="1"/>
  <c r="I23" i="1" a="1"/>
  <c r="I23" i="1" s="1"/>
  <c r="M23" i="1" a="1"/>
  <c r="M23" i="1" s="1"/>
  <c r="M32" i="1" a="1"/>
  <c r="M32" i="1" s="1"/>
  <c r="G26" i="1" a="1"/>
  <c r="G26" i="1" s="1"/>
  <c r="G27"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794FB22F-F6FC-4715-88DD-2816FACA66B1}">
      <text>
        <r>
          <rPr>
            <sz val="10"/>
            <color rgb="FF000000"/>
            <rFont val="Aptos Narrow"/>
            <scheme val="minor"/>
          </rPr>
          <t>Pondere din nota de la E / V</t>
        </r>
      </text>
    </comment>
    <comment ref="K128" authorId="0" shapeId="0" xr:uid="{254F526A-0E1E-48C9-B76A-D936A900FD1B}">
      <text>
        <r>
          <rPr>
            <sz val="10"/>
            <color rgb="FF000000"/>
            <rFont val="Aptos Narrow"/>
            <scheme val="minor"/>
          </rPr>
          <t>Pondere din nota de la E / V</t>
        </r>
      </text>
    </comment>
  </commentList>
</comments>
</file>

<file path=xl/sharedStrings.xml><?xml version="1.0" encoding="utf-8"?>
<sst xmlns="http://schemas.openxmlformats.org/spreadsheetml/2006/main" count="202" uniqueCount="142">
  <si>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</si>
  <si>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</si>
  <si>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</si>
  <si>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</si>
  <si>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</si>
  <si>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</si>
  <si>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</si>
  <si>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</si>
  <si>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</si>
  <si>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</si>
  <si>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</si>
  <si>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</si>
  <si>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</si>
  <si>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Controlul la distanță al proceselor</t>
  </si>
  <si>
    <t>(în limba engleză, conform Suplimentului la diplomă)</t>
  </si>
  <si>
    <t>2.1.2. Codul disciplinei</t>
  </si>
  <si>
    <t xml:space="preserve">2.1.3. Categoria formativă </t>
  </si>
  <si>
    <t>2.2 Titularul / titularii activităţilor de curs</t>
  </si>
  <si>
    <t>Asist.dr.ing. Ovidiu Păucă</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</si>
  <si>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</si>
  <si>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</si>
  <si>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</si>
  <si>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</si>
  <si>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</si>
  <si>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</si>
  <si>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</si>
  <si>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</si>
  <si>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</si>
  <si>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</si>
  <si>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</si>
  <si>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</si>
  <si>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</si>
  <si>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</si>
  <si>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</si>
  <si>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</si>
  <si>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</si>
  <si>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</si>
  <si>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</si>
  <si>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</si>
  <si>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</si>
  <si>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</si>
  <si>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</si>
  <si>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</si>
  <si>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</si>
  <si>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</si>
  <si>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</si>
  <si>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</si>
  <si>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</si>
  <si>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</si>
  <si>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</si>
  <si>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</si>
  <si>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TD, CSC, IRA, TO, PATR, SAE</t>
  </si>
  <si>
    <t>5. Condiţii</t>
  </si>
  <si>
    <t>5.1 de desfăşurare a cursului</t>
  </si>
  <si>
    <t>Sală de curs cu videoproiector, tablă.</t>
  </si>
  <si>
    <t>5.2 de desfăşurare a seminarului / laboratorului / proiectului</t>
  </si>
  <si>
    <t>calculatoare cu MATLAB și pachetele TrueTime, videoproiector, tablă</t>
  </si>
  <si>
    <t>6. Obiectivul general al disciplinei</t>
  </si>
  <si>
    <t>Obiectivul disciplinei este de a oferi studenților cunoștințele teoretice și competențele practice necesare pentru proiectarea, analiza și implementarea sistemelor de reglare automată la distanță. Disciplina vizează însușirea metodelor de modelare a întârzierilor introduse de rețelele de comunicație, precum și a tehnicilor de proiectare a structurilor de control care țin cont de influența acestor rețele asupra performanțelor sistemelor.</t>
  </si>
  <si>
    <t>7. Rezultatele învățării</t>
  </si>
  <si>
    <t>Cunoștințe</t>
  </si>
  <si>
    <t>Studentul / Absolventul:</t>
  </si>
  <si>
    <t>- definește conceptele fundamentale ale sistemelor de control la distanță
- identifică principalele efecte ale utilizării unei rețele de comunicații într-o bucla de reglare
- descrie și explică principalele modele utilizate pentru întârzierile și pierderile de pachete de date introduse de rețeaua de comunicații.
- descrie metode de proiectare a regulatoarelor PID pentru sisteme de control în rețea.
- definește metode de proiectare a regulatoarelor numerice pentru sistemele de control în rețea
- descrie metode de proiectare a structurilor de control în rețea cu compensarea efectului întârzierilor.
- explică particularitățile controlului predictiv
- descrie proiectarea structurilor de control predictiv în rețea utilizând modele de tip intrare-stare-ieșire
- descrie proiectarea structurilor de control predictiv în rețea utilizând modele de tip intrare-ieșire</t>
  </si>
  <si>
    <t>Aptitudini</t>
  </si>
  <si>
    <t>- analizează efectul întârzierilor asupra structurilor de control în rețea
- clasifică modelele matematice utilizate pentru descrierea întarzierilor introduse de rețelele de comunicații- 
-  construiește o aplicație în Matlab/Simulink utilizând toolbox-ul TrueTime pentru simularea unei buclei de control
-  folosește modele matematice pentru descrierea și simularea întârzierilor introduse de rețelele de comunicații utilizând  toolbox-urile Matlab/Simulink și TrueTime
- creează structuri de control în rețea utilizâd toolbox-urile Matlab/Simulink și TrueTime pentru simularea și analiza metodelor de control
- aplică metoda Haalman pentru proiectarea unui regulator PID pentru o structura de control în rețea
- folosește metoda alocării polilor pentru proiectarea unei structuri de control în rețea
- proiectează o structură de control în rețea cu compensarea întârzierilor utilizând predictorul Smith adaptiv
-  proiectează o structură de control predictiv în rețea</t>
  </si>
  <si>
    <t>Responsabilitate și autonomie</t>
  </si>
  <si>
    <t xml:space="preserve">- 
- 
- 
- </t>
  </si>
  <si>
    <t xml:space="preserve">8. Metode de predare </t>
  </si>
  <si>
    <t>- Prezentarea cunoştinţelor aferente cursului – slide-uri prezentate cu videoproiectorul, discuții cu studenții.
- Realizarea de conexiuni cu cunoştinţele însuşite la alte discipline înrudite de la ciclul de licenţă şi verificarea modului în care noile elemente introduse au fost receptate.</t>
  </si>
  <si>
    <t>9. Conţinuturi</t>
  </si>
  <si>
    <t>9.1. Curs</t>
  </si>
  <si>
    <t>Metode de predare</t>
  </si>
  <si>
    <t>Timp alocat</t>
  </si>
  <si>
    <t>1</t>
  </si>
  <si>
    <t>Introducere în CDP (1.1 Evoluția sistemelor de CDP, 1.2 Arhitecturi de control digital, 1.3 Caracteristici ale controlului distribuit, 1.4 Topologiile sistemelor de control în rețea, 1.5 Aplicații ale sistemelor de control în rețea, 1.6 Avantaje/dezavantaje ale sistemelor de control în rețea, 1.7 Probleme și soluții pentru sistemelor de control în rețea)</t>
  </si>
  <si>
    <t>Prelegeri desfășurate integral față în față
Predarea disciplinei se bazează pe prezentarea tematicii fiecărui curs pe slide-uri utilizând videoproiectorul şi comentarea împreună cu studenţii a principalelor noţiuni din cadrul prelegerii. Cunoştinţele teoretice sunt ilustrate prin exemple care să uşureze înţelegerea. Pregătirea studenţilor este completată de activitate practică de laborator</t>
  </si>
  <si>
    <t>4 ore</t>
  </si>
  <si>
    <t>2</t>
  </si>
  <si>
    <t>Efectele introducerii unei rețele de comunicații într-o bucla de reglare (2.1 Erori de cuantizare, 2.2 Pierderi de pachete de date, 2.3 Întârzieri variabile în timp, 2.4 Date experimentale, 2.5 Efectul în buclă închisă)</t>
  </si>
  <si>
    <t>3</t>
  </si>
  <si>
    <t>Modele pentru sistemele de control în rețea (3.1 Caracteristici ale întârzierilor, 3.2 Modelare incluzând întârzierile, 3.3 Modelare incluzând pierderile de pachete de date, 3.4 Modelarea incluzând perioade de eșantioanare variabile)</t>
  </si>
  <si>
    <t>6 ore</t>
  </si>
  <si>
    <t>4</t>
  </si>
  <si>
    <t>Metodologii de control pentru sistemele de control în rețea (4.1 Regulatoare PID în rețea, 4.2 Metoda alocării polilor, 4.3 Predictor Smith adaptiv)</t>
  </si>
  <si>
    <t>5</t>
  </si>
  <si>
    <t>Controlul predictiv al sistemelor de control în rețea (5.1 Controlul predictiv al sistemelor de control în rețea utilizând modele de tip intrare-stare-ieșire, 5.2 Controlul predictiv al sistemelor de control în rețea utilizând modele de tip intrare-ieșire)</t>
  </si>
  <si>
    <t>8 ore</t>
  </si>
  <si>
    <t>6</t>
  </si>
  <si>
    <t>7</t>
  </si>
  <si>
    <t>8</t>
  </si>
  <si>
    <t>9</t>
  </si>
  <si>
    <t>10</t>
  </si>
  <si>
    <t>11</t>
  </si>
  <si>
    <t>12</t>
  </si>
  <si>
    <t>13</t>
  </si>
  <si>
    <t>14</t>
  </si>
  <si>
    <t>Bibliografie curs:
1. Lazar C., Vrabie D., Carari S. (2004). Sisteme automate cu regulatoare PID, Editura MATRIXROM, București.
2. Caruntu C.F., Controlul predictiv in retea al proceselor rapide, Teza doctorat, Universitatea Tehnica “Gheorghe Asachi” din Iasi, Iasi, 2010.
3. Lazar C., Conducerea predictiv˘a a proceselor cu model cunoscut, Editura Matrix-Rom, Bucure¸sti, 1999
4. Wang F.-Y., Liu D., Networked Control Systems: Theory and Applications, Springer, 2010.
5. Camacho E.F., Model Predictive Control, Springer Verlag, London, Corr. 2nd printing edition , 2007.
6. Kun Liu, Emilia Fridman, Yuanqing Xia, Networked Control UnderCommunication Constraints - A Time-Delay Approach, Springer, 2020.
7. Maxim A, Păucă O, Corneliu Lazăr, Ingineria Reglării Automate - Îndrumar de laborator, 2024.</t>
  </si>
  <si>
    <t>9.2a Seminar</t>
  </si>
  <si>
    <t>Metode de lucru</t>
  </si>
  <si>
    <t>9.2b Laborator</t>
  </si>
  <si>
    <t>Introducere </t>
  </si>
  <si>
    <t xml:space="preserve">Lucrările de laborator sunt în concordanţă tematică şi temporală cu cursurile predate. 
Metoda de studiu utilizată este bazată pe simulare în medii software dedicate. De asemenea, se va utiliza standul educațional LD Didactic A2.6.1.1 - Networking automotive systems: Lighting.
Pentru fiecare şedinţă de laborator sunt furnizate studenţilor atât textele în format electronic ale lucrărilor cât şi programe demonstrative, disponibile pe Moodle. 
Lucru individual și pe echipe la rezolvarea sarcinilor din referatele de laborator.
</t>
  </si>
  <si>
    <t>2 ore</t>
  </si>
  <si>
    <t>Utilizarea toolbox-ului TrueTime  </t>
  </si>
  <si>
    <t>Studiul efectului întârzierilor asupra sistemelor de control în reţea</t>
  </si>
  <si>
    <t>Testarea metodelor de modelare a întârzierilor</t>
  </si>
  <si>
    <t> Proiectarea unei structuri de reglare utilizând metoda Haalman</t>
  </si>
  <si>
    <t> Proiectarea unei structuri de reglare utilizând metoda alocării polilor  </t>
  </si>
  <si>
    <t> Proiectarea unei structuri de reglare cu predictor Smith adaptiv  </t>
  </si>
  <si>
    <t>Proiectarea şi implementarea unui regulator predictiv liniar în reţea</t>
  </si>
  <si>
    <t>9.2c Proiect</t>
  </si>
  <si>
    <t>Bibliografie aplicaţii (seminar / laborator / proiect):
1. Căruntu C. F., Networked predictive control for fast processes, PhD Thesis, Universitatea Tehnică “Gheorghe Asachi”, Iaşi, 2011.
2.  * * * Referate pentru lucrări de laborator
3. Kun Liu, Emilia Fridman, Yuanqing Xia, Networked Control UnderCommunication Constraints - A Time-Delay Approach, Springer, 2020.</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</si>
  <si>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</si>
  <si>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</si>
  <si>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</si>
  <si>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</si>
  <si>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</si>
  <si>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</si>
  <si>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 valorifica abilităţile dobândite.
Capacitatea de a prelucra datele și problemele enunțate.</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</si>
  <si>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</si>
  <si>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</si>
  <si>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</si>
  <si>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</si>
  <si>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</si>
  <si>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</si>
  <si>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</si>
  <si>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t>
  </si>
  <si>
    <t>10.5b Laborator</t>
  </si>
  <si>
    <t>Activitatea de laborator – Capacitatea de aplicare în practică, în contexte diferite, a cunoştinţelor învăţate.
Capacitatea de analiză.</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</si>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</sst>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1" xfId="0" applyFont="1" applyFill="1" applyBorder="1" applyAlignment="1">
      <alignment wrapText="1"/>
    </xf>
    <xf numFmtId="0" fontId="2" fillId="3" borderId="4" xfId="0" applyFont="1" applyFill="1" applyBorder="1" applyAlignment="1">
      <alignment horizontal="center" vertical="center" wrapText="1"/>
    </xf>
    <xf numFmtId="0" fontId="2" fillId="3" borderId="1" xfId="0" applyFont="1" applyFill="1" applyBorder="1" applyAlignment="1">
      <alignment horizontal="center" wrapText="1"/>
    </xf>
    <xf numFmtId="0" fontId="2" fillId="3" borderId="4"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0" fontId="2" fillId="3" borderId="1" xfId="0" applyFont="1" applyFill="1" applyBorder="1" applyAlignment="1">
      <alignment horizontal="center"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368A8-578C-4D5B-91F8-AE47B9C08BA9}">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Process Remote Control</v>
      </c>
      <c r="F13" s="18"/>
      <c r="G13" s="18"/>
      <c r="H13" s="18"/>
      <c r="I13" s="18"/>
      <c r="J13" s="18"/>
      <c r="K13" s="18"/>
      <c r="L13" s="18"/>
      <c r="M13" s="19"/>
      <c r="N13" s="5"/>
    </row>
    <row r="14" spans="1:14" ht="15.5" x14ac:dyDescent="0.35">
      <c r="A14" s="7" t="s">
        <v>15</v>
      </c>
      <c r="B14" s="8"/>
      <c r="C14" s="8"/>
      <c r="D14" s="10"/>
      <c r="E14" s="21" t="str">
        <f t="array" aca="1" ref="E14" ca="1">INDEX([1]Date!E8:E32, MATCH(E12,[1]Date!C8:C32,0),0)</f>
        <v>A416</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2</v>
      </c>
      <c r="F23" s="29" t="s">
        <v>22</v>
      </c>
      <c r="G23" s="8"/>
      <c r="H23" s="10"/>
      <c r="I23" s="22" t="str">
        <f t="array" aca="1" ref="I23" ca="1">INDEX([1]Date!M8:M32, MATCH(E12,[1]Date!C8:C32,0),0)</f>
        <v>E</v>
      </c>
      <c r="J23" s="29" t="s">
        <v>23</v>
      </c>
      <c r="K23" s="8"/>
      <c r="L23" s="10"/>
      <c r="M23" s="27" t="str">
        <f t="array" aca="1" ref="M23" ca="1">INDEX([1]Date!F8:F32, MATCH(E12,[1]Date!C8:C32,0),0)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4</v>
      </c>
      <c r="D26" s="28" t="s">
        <v>26</v>
      </c>
      <c r="E26" s="27">
        <f t="array" aca="1" ref="E26" ca="1">INDEX([1]Date!H8:H32, MATCH(E12,[1]Date!C8:C32,0),0)</f>
        <v>2</v>
      </c>
      <c r="F26" s="28" t="s">
        <v>27</v>
      </c>
      <c r="G26" s="27">
        <f t="array" aca="1" ref="G26" ca="1">INDEX([1]Date!I8:I32, MATCH(E12,[1]Date!C8:C32,0),0)</f>
        <v>0</v>
      </c>
      <c r="H26" s="28" t="s">
        <v>28</v>
      </c>
      <c r="I26" s="31">
        <f t="array" aca="1" ref="I26" ca="1">INDEX([1]Date!J8:J32, MATCH(E12,[1]Date!C8:C32,0),0)</f>
        <v>2</v>
      </c>
      <c r="J26" s="28" t="s">
        <v>29</v>
      </c>
      <c r="K26" s="27">
        <f t="array" aca="1" ref="K26" ca="1">INDEX([1]Date!K8:K32, MATCH(E12,[1]Date!C8:C32,0),0)</f>
        <v>0</v>
      </c>
      <c r="L26" s="7" t="s">
        <v>30</v>
      </c>
      <c r="M26" s="10"/>
      <c r="N26" s="30"/>
    </row>
    <row r="27" spans="1:14" ht="31" x14ac:dyDescent="0.35">
      <c r="A27" s="7" t="s">
        <v>31</v>
      </c>
      <c r="B27" s="10"/>
      <c r="C27" s="27">
        <f ca="1">C26*14</f>
        <v>56</v>
      </c>
      <c r="D27" s="28" t="s">
        <v>32</v>
      </c>
      <c r="E27" s="27">
        <f ca="1">E26*14</f>
        <v>28</v>
      </c>
      <c r="F27" s="28" t="s">
        <v>33</v>
      </c>
      <c r="G27" s="27">
        <f ca="1">G26*14</f>
        <v>0</v>
      </c>
      <c r="H27" s="28" t="s">
        <v>34</v>
      </c>
      <c r="I27" s="27">
        <f ca="1">I26*14</f>
        <v>28</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35</v>
      </c>
      <c r="N29" s="5"/>
    </row>
    <row r="30" spans="1:14" ht="15.5" x14ac:dyDescent="0.35">
      <c r="A30" s="7" t="s">
        <v>40</v>
      </c>
      <c r="B30" s="8"/>
      <c r="C30" s="8"/>
      <c r="D30" s="8"/>
      <c r="E30" s="8"/>
      <c r="F30" s="8"/>
      <c r="G30" s="8"/>
      <c r="H30" s="8"/>
      <c r="I30" s="8"/>
      <c r="J30" s="8"/>
      <c r="K30" s="8"/>
      <c r="L30" s="10"/>
      <c r="M30" s="32">
        <v>13</v>
      </c>
      <c r="N30" s="5"/>
    </row>
    <row r="31" spans="1:14" ht="15.5" x14ac:dyDescent="0.35">
      <c r="A31" s="7" t="s">
        <v>41</v>
      </c>
      <c r="B31" s="8"/>
      <c r="C31" s="8"/>
      <c r="D31" s="8"/>
      <c r="E31" s="8"/>
      <c r="F31" s="8"/>
      <c r="G31" s="8"/>
      <c r="H31" s="8"/>
      <c r="I31" s="8"/>
      <c r="J31" s="8"/>
      <c r="K31" s="8"/>
      <c r="L31" s="10"/>
      <c r="M31" s="32">
        <v>21</v>
      </c>
      <c r="N31" s="5"/>
    </row>
    <row r="32" spans="1:14" ht="15.5" x14ac:dyDescent="0.35">
      <c r="A32" s="7" t="s">
        <v>42</v>
      </c>
      <c r="B32" s="8"/>
      <c r="C32" s="8"/>
      <c r="D32" s="8"/>
      <c r="E32" s="8"/>
      <c r="F32" s="8"/>
      <c r="G32" s="8"/>
      <c r="H32" s="8"/>
      <c r="I32" s="8"/>
      <c r="J32" s="8"/>
      <c r="K32" s="8"/>
      <c r="L32" s="10"/>
      <c r="M32" s="27">
        <f t="array" aca="1" ref="M32" ca="1">IF(INDEX([1]Date!M8:M32, MATCH(E12,[1]Date!C8:C32,0),0)="E",3,0)</f>
        <v>3</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69</v>
      </c>
      <c r="D34" s="5"/>
      <c r="E34" s="5"/>
      <c r="F34" s="5"/>
      <c r="G34" s="5"/>
      <c r="H34" s="5"/>
      <c r="I34" s="5"/>
      <c r="J34" s="5"/>
      <c r="K34" s="5"/>
      <c r="L34" s="5"/>
      <c r="M34" s="5"/>
      <c r="N34" s="5"/>
    </row>
    <row r="35" spans="1:14" ht="15.5" x14ac:dyDescent="0.35">
      <c r="A35" s="7" t="s">
        <v>45</v>
      </c>
      <c r="B35" s="10"/>
      <c r="C35" s="27">
        <f ca="1">C27+C34</f>
        <v>125</v>
      </c>
      <c r="D35" s="5"/>
      <c r="E35" s="5"/>
      <c r="F35" s="5"/>
      <c r="G35" s="5"/>
      <c r="H35" s="5"/>
      <c r="I35" s="5"/>
      <c r="J35" s="5"/>
      <c r="K35" s="5"/>
      <c r="L35" s="5"/>
      <c r="M35" s="5"/>
      <c r="N35" s="5"/>
    </row>
    <row r="36" spans="1:14" ht="15.5" x14ac:dyDescent="0.35">
      <c r="A36" s="7" t="s">
        <v>46</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hidden="1" customHeight="1" x14ac:dyDescent="0.35">
      <c r="A54" s="33" t="s">
        <v>65</v>
      </c>
      <c r="B54" s="34" t="s">
        <v>61</v>
      </c>
      <c r="C54" s="8"/>
      <c r="D54" s="8"/>
      <c r="E54" s="8"/>
      <c r="F54" s="8"/>
      <c r="G54" s="8"/>
      <c r="H54" s="8"/>
      <c r="I54" s="8"/>
      <c r="J54" s="8"/>
      <c r="K54" s="8"/>
      <c r="L54" s="8"/>
      <c r="M54" s="10"/>
      <c r="N54" s="5"/>
    </row>
    <row r="55" spans="1:14" ht="104.25" hidden="1"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40" t="s">
        <v>74</v>
      </c>
      <c r="C62" s="8"/>
      <c r="D62" s="8"/>
      <c r="E62" s="8"/>
      <c r="F62" s="8"/>
      <c r="G62" s="10"/>
      <c r="H62" s="41" t="s">
        <v>75</v>
      </c>
      <c r="I62" s="14"/>
      <c r="J62" s="14"/>
      <c r="K62" s="15"/>
      <c r="L62" s="42" t="s">
        <v>76</v>
      </c>
      <c r="M62" s="10"/>
      <c r="N62" s="5"/>
    </row>
    <row r="63" spans="1:14" ht="15.5" x14ac:dyDescent="0.35">
      <c r="A63" s="39" t="s">
        <v>77</v>
      </c>
      <c r="B63" s="40" t="s">
        <v>78</v>
      </c>
      <c r="C63" s="8"/>
      <c r="D63" s="8"/>
      <c r="E63" s="8"/>
      <c r="F63" s="8"/>
      <c r="G63" s="10"/>
      <c r="H63" s="25"/>
      <c r="I63" s="2"/>
      <c r="J63" s="2"/>
      <c r="K63" s="26"/>
      <c r="L63" s="42" t="s">
        <v>76</v>
      </c>
      <c r="M63" s="10"/>
      <c r="N63" s="5"/>
    </row>
    <row r="64" spans="1:14" ht="15.5" x14ac:dyDescent="0.35">
      <c r="A64" s="39" t="s">
        <v>79</v>
      </c>
      <c r="B64" s="40" t="s">
        <v>80</v>
      </c>
      <c r="C64" s="8"/>
      <c r="D64" s="8"/>
      <c r="E64" s="8"/>
      <c r="F64" s="8"/>
      <c r="G64" s="10"/>
      <c r="H64" s="25"/>
      <c r="I64" s="2"/>
      <c r="J64" s="2"/>
      <c r="K64" s="26"/>
      <c r="L64" s="42" t="s">
        <v>81</v>
      </c>
      <c r="M64" s="10"/>
      <c r="N64" s="5"/>
    </row>
    <row r="65" spans="1:14" ht="15.5" x14ac:dyDescent="0.35">
      <c r="A65" s="39" t="s">
        <v>82</v>
      </c>
      <c r="B65" s="40" t="s">
        <v>83</v>
      </c>
      <c r="C65" s="8"/>
      <c r="D65" s="8"/>
      <c r="E65" s="8"/>
      <c r="F65" s="8"/>
      <c r="G65" s="10"/>
      <c r="H65" s="25"/>
      <c r="I65" s="2"/>
      <c r="J65" s="2"/>
      <c r="K65" s="26"/>
      <c r="L65" s="42" t="s">
        <v>81</v>
      </c>
      <c r="M65" s="10"/>
      <c r="N65" s="5"/>
    </row>
    <row r="66" spans="1:14" ht="15.5" x14ac:dyDescent="0.35">
      <c r="A66" s="39" t="s">
        <v>84</v>
      </c>
      <c r="B66" s="40" t="s">
        <v>85</v>
      </c>
      <c r="C66" s="8"/>
      <c r="D66" s="8"/>
      <c r="E66" s="8"/>
      <c r="F66" s="8"/>
      <c r="G66" s="10"/>
      <c r="H66" s="25"/>
      <c r="I66" s="2"/>
      <c r="J66" s="2"/>
      <c r="K66" s="26"/>
      <c r="L66" s="42" t="s">
        <v>86</v>
      </c>
      <c r="M66" s="10"/>
      <c r="N66" s="5"/>
    </row>
    <row r="67" spans="1:14" ht="15.5" x14ac:dyDescent="0.35">
      <c r="A67" s="39" t="s">
        <v>87</v>
      </c>
      <c r="B67" s="23"/>
      <c r="C67" s="8"/>
      <c r="D67" s="8"/>
      <c r="E67" s="8"/>
      <c r="F67" s="8"/>
      <c r="G67" s="10"/>
      <c r="H67" s="25"/>
      <c r="I67" s="2"/>
      <c r="J67" s="2"/>
      <c r="K67" s="26"/>
      <c r="L67" s="23"/>
      <c r="M67" s="10"/>
      <c r="N67" s="5"/>
    </row>
    <row r="68" spans="1:14" ht="15.5" hidden="1" x14ac:dyDescent="0.35">
      <c r="A68" s="39" t="s">
        <v>88</v>
      </c>
      <c r="B68" s="23"/>
      <c r="C68" s="8"/>
      <c r="D68" s="8"/>
      <c r="E68" s="8"/>
      <c r="F68" s="8"/>
      <c r="G68" s="10"/>
      <c r="H68" s="25"/>
      <c r="I68" s="2"/>
      <c r="J68" s="2"/>
      <c r="K68" s="26"/>
      <c r="L68" s="23"/>
      <c r="M68" s="10"/>
      <c r="N68" s="5"/>
    </row>
    <row r="69" spans="1:14" ht="15.5" hidden="1" x14ac:dyDescent="0.35">
      <c r="A69" s="39" t="s">
        <v>89</v>
      </c>
      <c r="B69" s="23"/>
      <c r="C69" s="8"/>
      <c r="D69" s="8"/>
      <c r="E69" s="8"/>
      <c r="F69" s="8"/>
      <c r="G69" s="10"/>
      <c r="H69" s="25"/>
      <c r="I69" s="2"/>
      <c r="J69" s="2"/>
      <c r="K69" s="26"/>
      <c r="L69" s="23"/>
      <c r="M69" s="10"/>
      <c r="N69" s="5"/>
    </row>
    <row r="70" spans="1:14" ht="15.5" hidden="1" x14ac:dyDescent="0.35">
      <c r="A70" s="39" t="s">
        <v>90</v>
      </c>
      <c r="B70" s="23"/>
      <c r="C70" s="8"/>
      <c r="D70" s="8"/>
      <c r="E70" s="8"/>
      <c r="F70" s="8"/>
      <c r="G70" s="10"/>
      <c r="H70" s="25"/>
      <c r="I70" s="2"/>
      <c r="J70" s="2"/>
      <c r="K70" s="26"/>
      <c r="L70" s="23"/>
      <c r="M70" s="10"/>
      <c r="N70" s="5"/>
    </row>
    <row r="71" spans="1:14" ht="15.5" hidden="1" x14ac:dyDescent="0.35">
      <c r="A71" s="39" t="s">
        <v>91</v>
      </c>
      <c r="B71" s="23"/>
      <c r="C71" s="8"/>
      <c r="D71" s="8"/>
      <c r="E71" s="8"/>
      <c r="F71" s="8"/>
      <c r="G71" s="10"/>
      <c r="H71" s="25"/>
      <c r="I71" s="2"/>
      <c r="J71" s="2"/>
      <c r="K71" s="26"/>
      <c r="L71" s="23"/>
      <c r="M71" s="10"/>
      <c r="N71" s="5"/>
    </row>
    <row r="72" spans="1:14" ht="15.5" hidden="1" x14ac:dyDescent="0.35">
      <c r="A72" s="39" t="s">
        <v>92</v>
      </c>
      <c r="B72" s="23"/>
      <c r="C72" s="8"/>
      <c r="D72" s="8"/>
      <c r="E72" s="8"/>
      <c r="F72" s="8"/>
      <c r="G72" s="10"/>
      <c r="H72" s="25"/>
      <c r="I72" s="2"/>
      <c r="J72" s="2"/>
      <c r="K72" s="26"/>
      <c r="L72" s="23"/>
      <c r="M72" s="10"/>
      <c r="N72" s="5"/>
    </row>
    <row r="73" spans="1:14" ht="15.5" hidden="1" x14ac:dyDescent="0.35">
      <c r="A73" s="39" t="s">
        <v>93</v>
      </c>
      <c r="B73" s="23"/>
      <c r="C73" s="8"/>
      <c r="D73" s="8"/>
      <c r="E73" s="8"/>
      <c r="F73" s="8"/>
      <c r="G73" s="10"/>
      <c r="H73" s="25"/>
      <c r="I73" s="2"/>
      <c r="J73" s="2"/>
      <c r="K73" s="26"/>
      <c r="L73" s="23"/>
      <c r="M73" s="10"/>
      <c r="N73" s="5"/>
    </row>
    <row r="74" spans="1:14" ht="15.5" hidden="1" x14ac:dyDescent="0.35">
      <c r="A74" s="39" t="s">
        <v>94</v>
      </c>
      <c r="B74" s="23"/>
      <c r="C74" s="8"/>
      <c r="D74" s="8"/>
      <c r="E74" s="8"/>
      <c r="F74" s="8"/>
      <c r="G74" s="10"/>
      <c r="H74" s="25"/>
      <c r="I74" s="2"/>
      <c r="J74" s="2"/>
      <c r="K74" s="26"/>
      <c r="L74" s="23"/>
      <c r="M74" s="10"/>
      <c r="N74" s="5"/>
    </row>
    <row r="75" spans="1:14" ht="15.5" hidden="1" x14ac:dyDescent="0.35">
      <c r="A75" s="39" t="s">
        <v>95</v>
      </c>
      <c r="B75" s="23"/>
      <c r="C75" s="8"/>
      <c r="D75" s="8"/>
      <c r="E75" s="8"/>
      <c r="F75" s="8"/>
      <c r="G75" s="10"/>
      <c r="H75" s="24"/>
      <c r="I75" s="18"/>
      <c r="J75" s="18"/>
      <c r="K75" s="19"/>
      <c r="L75" s="23"/>
      <c r="M75" s="10"/>
      <c r="N75" s="5"/>
    </row>
    <row r="76" spans="1:14" ht="15.5" x14ac:dyDescent="0.35">
      <c r="A76" s="37" t="s">
        <v>96</v>
      </c>
      <c r="B76" s="8"/>
      <c r="C76" s="8"/>
      <c r="D76" s="8"/>
      <c r="E76" s="8"/>
      <c r="F76" s="8"/>
      <c r="G76" s="8"/>
      <c r="H76" s="8"/>
      <c r="I76" s="8"/>
      <c r="J76" s="8"/>
      <c r="K76" s="8"/>
      <c r="L76" s="8"/>
      <c r="M76" s="10"/>
      <c r="N76" s="5"/>
    </row>
    <row r="77" spans="1:14" ht="24.75" hidden="1" customHeight="1" x14ac:dyDescent="0.35">
      <c r="A77" s="38" t="s">
        <v>97</v>
      </c>
      <c r="B77" s="8"/>
      <c r="C77" s="8"/>
      <c r="D77" s="8"/>
      <c r="E77" s="8"/>
      <c r="F77" s="8"/>
      <c r="G77" s="10"/>
      <c r="H77" s="38" t="s">
        <v>98</v>
      </c>
      <c r="I77" s="8"/>
      <c r="J77" s="8"/>
      <c r="K77" s="10"/>
      <c r="L77" s="38" t="s">
        <v>72</v>
      </c>
      <c r="M77" s="10"/>
      <c r="N77" s="30"/>
    </row>
    <row r="78" spans="1:14" ht="15.5" hidden="1" x14ac:dyDescent="0.35">
      <c r="A78" s="39" t="s">
        <v>73</v>
      </c>
      <c r="B78" s="23"/>
      <c r="C78" s="8"/>
      <c r="D78" s="8"/>
      <c r="E78" s="8"/>
      <c r="F78" s="8"/>
      <c r="G78" s="10"/>
      <c r="H78" s="43"/>
      <c r="I78" s="14"/>
      <c r="J78" s="14"/>
      <c r="K78" s="15"/>
      <c r="L78" s="23"/>
      <c r="M78" s="10"/>
      <c r="N78" s="5"/>
    </row>
    <row r="79" spans="1:14" ht="15.5" hidden="1" x14ac:dyDescent="0.35">
      <c r="A79" s="39" t="s">
        <v>77</v>
      </c>
      <c r="B79" s="23"/>
      <c r="C79" s="8"/>
      <c r="D79" s="8"/>
      <c r="E79" s="8"/>
      <c r="F79" s="8"/>
      <c r="G79" s="10"/>
      <c r="H79" s="25"/>
      <c r="I79" s="2"/>
      <c r="J79" s="2"/>
      <c r="K79" s="26"/>
      <c r="L79" s="23"/>
      <c r="M79" s="10"/>
      <c r="N79" s="5"/>
    </row>
    <row r="80" spans="1:14" ht="15.5" hidden="1" x14ac:dyDescent="0.35">
      <c r="A80" s="39" t="s">
        <v>79</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87</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89</v>
      </c>
      <c r="B85" s="23"/>
      <c r="C85" s="8"/>
      <c r="D85" s="8"/>
      <c r="E85" s="8"/>
      <c r="F85" s="8"/>
      <c r="G85" s="10"/>
      <c r="H85" s="25"/>
      <c r="I85" s="2"/>
      <c r="J85" s="2"/>
      <c r="K85" s="26"/>
      <c r="L85" s="23"/>
      <c r="M85" s="10"/>
      <c r="N85" s="5"/>
    </row>
    <row r="86" spans="1:14" ht="15.5" hidden="1" x14ac:dyDescent="0.35">
      <c r="A86" s="39" t="s">
        <v>90</v>
      </c>
      <c r="B86" s="23"/>
      <c r="C86" s="8"/>
      <c r="D86" s="8"/>
      <c r="E86" s="8"/>
      <c r="F86" s="8"/>
      <c r="G86" s="10"/>
      <c r="H86" s="25"/>
      <c r="I86" s="2"/>
      <c r="J86" s="2"/>
      <c r="K86" s="26"/>
      <c r="L86" s="23"/>
      <c r="M86" s="10"/>
      <c r="N86" s="5"/>
    </row>
    <row r="87" spans="1:14" ht="15.5" hidden="1" x14ac:dyDescent="0.35">
      <c r="A87" s="39" t="s">
        <v>91</v>
      </c>
      <c r="B87" s="23"/>
      <c r="C87" s="8"/>
      <c r="D87" s="8"/>
      <c r="E87" s="8"/>
      <c r="F87" s="8"/>
      <c r="G87" s="10"/>
      <c r="H87" s="25"/>
      <c r="I87" s="2"/>
      <c r="J87" s="2"/>
      <c r="K87" s="26"/>
      <c r="L87" s="23"/>
      <c r="M87" s="10"/>
      <c r="N87" s="5"/>
    </row>
    <row r="88" spans="1:14" ht="15.5" hidden="1" x14ac:dyDescent="0.35">
      <c r="A88" s="39" t="s">
        <v>92</v>
      </c>
      <c r="B88" s="23"/>
      <c r="C88" s="8"/>
      <c r="D88" s="8"/>
      <c r="E88" s="8"/>
      <c r="F88" s="8"/>
      <c r="G88" s="10"/>
      <c r="H88" s="25"/>
      <c r="I88" s="2"/>
      <c r="J88" s="2"/>
      <c r="K88" s="26"/>
      <c r="L88" s="23"/>
      <c r="M88" s="10"/>
      <c r="N88" s="5"/>
    </row>
    <row r="89" spans="1:14" ht="15.5" hidden="1" x14ac:dyDescent="0.35">
      <c r="A89" s="39" t="s">
        <v>93</v>
      </c>
      <c r="B89" s="23"/>
      <c r="C89" s="8"/>
      <c r="D89" s="8"/>
      <c r="E89" s="8"/>
      <c r="F89" s="8"/>
      <c r="G89" s="10"/>
      <c r="H89" s="25"/>
      <c r="I89" s="2"/>
      <c r="J89" s="2"/>
      <c r="K89" s="26"/>
      <c r="L89" s="23"/>
      <c r="M89" s="10"/>
      <c r="N89" s="5"/>
    </row>
    <row r="90" spans="1:14" ht="15.5" hidden="1" x14ac:dyDescent="0.35">
      <c r="A90" s="39" t="s">
        <v>94</v>
      </c>
      <c r="B90" s="23"/>
      <c r="C90" s="8"/>
      <c r="D90" s="8"/>
      <c r="E90" s="8"/>
      <c r="F90" s="8"/>
      <c r="G90" s="10"/>
      <c r="H90" s="25"/>
      <c r="I90" s="2"/>
      <c r="J90" s="2"/>
      <c r="K90" s="26"/>
      <c r="L90" s="23"/>
      <c r="M90" s="10"/>
      <c r="N90" s="5"/>
    </row>
    <row r="91" spans="1:14" ht="15.5" hidden="1" x14ac:dyDescent="0.35">
      <c r="A91" s="39" t="s">
        <v>95</v>
      </c>
      <c r="B91" s="23"/>
      <c r="C91" s="8"/>
      <c r="D91" s="8"/>
      <c r="E91" s="8"/>
      <c r="F91" s="8"/>
      <c r="G91" s="10"/>
      <c r="H91" s="24"/>
      <c r="I91" s="18"/>
      <c r="J91" s="18"/>
      <c r="K91" s="19"/>
      <c r="L91" s="23"/>
      <c r="M91" s="10"/>
      <c r="N91" s="5"/>
    </row>
    <row r="92" spans="1:14" ht="24" customHeight="1" x14ac:dyDescent="0.35">
      <c r="A92" s="38" t="s">
        <v>99</v>
      </c>
      <c r="B92" s="8"/>
      <c r="C92" s="8"/>
      <c r="D92" s="8"/>
      <c r="E92" s="8"/>
      <c r="F92" s="8"/>
      <c r="G92" s="10"/>
      <c r="H92" s="38" t="s">
        <v>98</v>
      </c>
      <c r="I92" s="8"/>
      <c r="J92" s="8"/>
      <c r="K92" s="10"/>
      <c r="L92" s="38" t="s">
        <v>72</v>
      </c>
      <c r="M92" s="10"/>
      <c r="N92" s="30"/>
    </row>
    <row r="93" spans="1:14" ht="15.5" x14ac:dyDescent="0.35">
      <c r="A93" s="39" t="s">
        <v>73</v>
      </c>
      <c r="B93" s="40" t="s">
        <v>100</v>
      </c>
      <c r="C93" s="8"/>
      <c r="D93" s="8"/>
      <c r="E93" s="8"/>
      <c r="F93" s="8"/>
      <c r="G93" s="10"/>
      <c r="H93" s="43" t="s">
        <v>101</v>
      </c>
      <c r="I93" s="14"/>
      <c r="J93" s="14"/>
      <c r="K93" s="15"/>
      <c r="L93" s="42" t="s">
        <v>102</v>
      </c>
      <c r="M93" s="10"/>
      <c r="N93" s="5"/>
    </row>
    <row r="94" spans="1:14" ht="15.5" x14ac:dyDescent="0.35">
      <c r="A94" s="39" t="s">
        <v>77</v>
      </c>
      <c r="B94" s="40" t="s">
        <v>103</v>
      </c>
      <c r="C94" s="8"/>
      <c r="D94" s="8"/>
      <c r="E94" s="8"/>
      <c r="F94" s="8"/>
      <c r="G94" s="10"/>
      <c r="H94" s="25"/>
      <c r="I94" s="2"/>
      <c r="J94" s="2"/>
      <c r="K94" s="26"/>
      <c r="L94" s="42" t="s">
        <v>102</v>
      </c>
      <c r="M94" s="10"/>
      <c r="N94" s="5"/>
    </row>
    <row r="95" spans="1:14" ht="15.5" x14ac:dyDescent="0.35">
      <c r="A95" s="39" t="s">
        <v>79</v>
      </c>
      <c r="B95" s="40" t="s">
        <v>104</v>
      </c>
      <c r="C95" s="8"/>
      <c r="D95" s="8"/>
      <c r="E95" s="8"/>
      <c r="F95" s="8"/>
      <c r="G95" s="10"/>
      <c r="H95" s="25"/>
      <c r="I95" s="2"/>
      <c r="J95" s="2"/>
      <c r="K95" s="26"/>
      <c r="L95" s="42" t="s">
        <v>102</v>
      </c>
      <c r="M95" s="10"/>
      <c r="N95" s="5"/>
    </row>
    <row r="96" spans="1:14" ht="15.5" x14ac:dyDescent="0.35">
      <c r="A96" s="39" t="s">
        <v>82</v>
      </c>
      <c r="B96" s="40" t="s">
        <v>105</v>
      </c>
      <c r="C96" s="8"/>
      <c r="D96" s="8"/>
      <c r="E96" s="8"/>
      <c r="F96" s="8"/>
      <c r="G96" s="10"/>
      <c r="H96" s="25"/>
      <c r="I96" s="2"/>
      <c r="J96" s="2"/>
      <c r="K96" s="26"/>
      <c r="L96" s="42" t="s">
        <v>102</v>
      </c>
      <c r="M96" s="10"/>
      <c r="N96" s="5"/>
    </row>
    <row r="97" spans="1:14" ht="15.5" x14ac:dyDescent="0.35">
      <c r="A97" s="39" t="s">
        <v>84</v>
      </c>
      <c r="B97" s="40" t="s">
        <v>106</v>
      </c>
      <c r="C97" s="8"/>
      <c r="D97" s="8"/>
      <c r="E97" s="8"/>
      <c r="F97" s="8"/>
      <c r="G97" s="10"/>
      <c r="H97" s="25"/>
      <c r="I97" s="2"/>
      <c r="J97" s="2"/>
      <c r="K97" s="26"/>
      <c r="L97" s="42" t="s">
        <v>76</v>
      </c>
      <c r="M97" s="10"/>
      <c r="N97" s="5"/>
    </row>
    <row r="98" spans="1:14" ht="15.5" x14ac:dyDescent="0.35">
      <c r="A98" s="39" t="s">
        <v>87</v>
      </c>
      <c r="B98" s="40" t="s">
        <v>107</v>
      </c>
      <c r="C98" s="8"/>
      <c r="D98" s="8"/>
      <c r="E98" s="8"/>
      <c r="F98" s="8"/>
      <c r="G98" s="10"/>
      <c r="H98" s="25"/>
      <c r="I98" s="2"/>
      <c r="J98" s="2"/>
      <c r="K98" s="26"/>
      <c r="L98" s="42" t="s">
        <v>76</v>
      </c>
      <c r="M98" s="10"/>
      <c r="N98" s="5"/>
    </row>
    <row r="99" spans="1:14" ht="15.5" x14ac:dyDescent="0.35">
      <c r="A99" s="39" t="s">
        <v>88</v>
      </c>
      <c r="B99" s="40" t="s">
        <v>108</v>
      </c>
      <c r="C99" s="8"/>
      <c r="D99" s="8"/>
      <c r="E99" s="8"/>
      <c r="F99" s="8"/>
      <c r="G99" s="10"/>
      <c r="H99" s="25"/>
      <c r="I99" s="2"/>
      <c r="J99" s="2"/>
      <c r="K99" s="26"/>
      <c r="L99" s="42" t="s">
        <v>76</v>
      </c>
      <c r="M99" s="10"/>
      <c r="N99" s="5"/>
    </row>
    <row r="100" spans="1:14" ht="15.5" x14ac:dyDescent="0.35">
      <c r="A100" s="39" t="s">
        <v>89</v>
      </c>
      <c r="B100" s="40" t="s">
        <v>109</v>
      </c>
      <c r="C100" s="8"/>
      <c r="D100" s="8"/>
      <c r="E100" s="8"/>
      <c r="F100" s="8"/>
      <c r="G100" s="10"/>
      <c r="H100" s="25"/>
      <c r="I100" s="2"/>
      <c r="J100" s="2"/>
      <c r="K100" s="26"/>
      <c r="L100" s="42" t="s">
        <v>86</v>
      </c>
      <c r="M100" s="10"/>
      <c r="N100" s="5"/>
    </row>
    <row r="101" spans="1:14" ht="15.5" x14ac:dyDescent="0.35">
      <c r="A101" s="39" t="s">
        <v>90</v>
      </c>
      <c r="B101" s="23"/>
      <c r="C101" s="8"/>
      <c r="D101" s="8"/>
      <c r="E101" s="8"/>
      <c r="F101" s="8"/>
      <c r="G101" s="10"/>
      <c r="H101" s="25"/>
      <c r="I101" s="2"/>
      <c r="J101" s="2"/>
      <c r="K101" s="26"/>
      <c r="L101" s="23"/>
      <c r="M101" s="10"/>
      <c r="N101" s="5"/>
    </row>
    <row r="102" spans="1:14" ht="15.5" x14ac:dyDescent="0.35">
      <c r="A102" s="39" t="s">
        <v>91</v>
      </c>
      <c r="B102" s="23"/>
      <c r="C102" s="8"/>
      <c r="D102" s="8"/>
      <c r="E102" s="8"/>
      <c r="F102" s="8"/>
      <c r="G102" s="10"/>
      <c r="H102" s="25"/>
      <c r="I102" s="2"/>
      <c r="J102" s="2"/>
      <c r="K102" s="26"/>
      <c r="L102" s="23"/>
      <c r="M102" s="10"/>
      <c r="N102" s="5"/>
    </row>
    <row r="103" spans="1:14" ht="15.5" x14ac:dyDescent="0.35">
      <c r="A103" s="39" t="s">
        <v>92</v>
      </c>
      <c r="B103" s="23"/>
      <c r="C103" s="8"/>
      <c r="D103" s="8"/>
      <c r="E103" s="8"/>
      <c r="F103" s="8"/>
      <c r="G103" s="10"/>
      <c r="H103" s="25"/>
      <c r="I103" s="2"/>
      <c r="J103" s="2"/>
      <c r="K103" s="26"/>
      <c r="L103" s="23"/>
      <c r="M103" s="10"/>
      <c r="N103" s="5"/>
    </row>
    <row r="104" spans="1:14" ht="15.5" x14ac:dyDescent="0.35">
      <c r="A104" s="39" t="s">
        <v>93</v>
      </c>
      <c r="B104" s="23"/>
      <c r="C104" s="8"/>
      <c r="D104" s="8"/>
      <c r="E104" s="8"/>
      <c r="F104" s="8"/>
      <c r="G104" s="10"/>
      <c r="H104" s="25"/>
      <c r="I104" s="2"/>
      <c r="J104" s="2"/>
      <c r="K104" s="26"/>
      <c r="L104" s="23"/>
      <c r="M104" s="10"/>
      <c r="N104" s="5"/>
    </row>
    <row r="105" spans="1:14" ht="15.5" x14ac:dyDescent="0.35">
      <c r="A105" s="39" t="s">
        <v>94</v>
      </c>
      <c r="B105" s="23"/>
      <c r="C105" s="8"/>
      <c r="D105" s="8"/>
      <c r="E105" s="8"/>
      <c r="F105" s="8"/>
      <c r="G105" s="10"/>
      <c r="H105" s="25"/>
      <c r="I105" s="2"/>
      <c r="J105" s="2"/>
      <c r="K105" s="26"/>
      <c r="L105" s="23"/>
      <c r="M105" s="10"/>
      <c r="N105" s="5"/>
    </row>
    <row r="106" spans="1:14" ht="15.5" x14ac:dyDescent="0.35">
      <c r="A106" s="39" t="s">
        <v>95</v>
      </c>
      <c r="B106" s="23"/>
      <c r="C106" s="8"/>
      <c r="D106" s="8"/>
      <c r="E106" s="8"/>
      <c r="F106" s="8"/>
      <c r="G106" s="10"/>
      <c r="H106" s="24"/>
      <c r="I106" s="18"/>
      <c r="J106" s="18"/>
      <c r="K106" s="19"/>
      <c r="L106" s="23"/>
      <c r="M106" s="10"/>
      <c r="N106" s="5"/>
    </row>
    <row r="107" spans="1:14" ht="24" hidden="1" customHeight="1" x14ac:dyDescent="0.35">
      <c r="A107" s="38" t="s">
        <v>110</v>
      </c>
      <c r="B107" s="8"/>
      <c r="C107" s="8"/>
      <c r="D107" s="8"/>
      <c r="E107" s="8"/>
      <c r="F107" s="8"/>
      <c r="G107" s="10"/>
      <c r="H107" s="38" t="s">
        <v>98</v>
      </c>
      <c r="I107" s="8"/>
      <c r="J107" s="8"/>
      <c r="K107" s="10"/>
      <c r="L107" s="38" t="s">
        <v>72</v>
      </c>
      <c r="M107" s="10"/>
      <c r="N107" s="30"/>
    </row>
    <row r="108" spans="1:14" ht="15.5" hidden="1" x14ac:dyDescent="0.35">
      <c r="A108" s="39" t="s">
        <v>73</v>
      </c>
      <c r="B108" s="23"/>
      <c r="C108" s="8"/>
      <c r="D108" s="8"/>
      <c r="E108" s="8"/>
      <c r="F108" s="8"/>
      <c r="G108" s="10"/>
      <c r="H108" s="43"/>
      <c r="I108" s="14"/>
      <c r="J108" s="14"/>
      <c r="K108" s="15"/>
      <c r="L108" s="23"/>
      <c r="M108" s="10"/>
      <c r="N108" s="5"/>
    </row>
    <row r="109" spans="1:14" ht="15.5" hidden="1" x14ac:dyDescent="0.35">
      <c r="A109" s="39" t="s">
        <v>77</v>
      </c>
      <c r="B109" s="23"/>
      <c r="C109" s="8"/>
      <c r="D109" s="8"/>
      <c r="E109" s="8"/>
      <c r="F109" s="8"/>
      <c r="G109" s="10"/>
      <c r="H109" s="25"/>
      <c r="I109" s="2"/>
      <c r="J109" s="2"/>
      <c r="K109" s="26"/>
      <c r="L109" s="23"/>
      <c r="M109" s="10"/>
      <c r="N109" s="5"/>
    </row>
    <row r="110" spans="1:14" ht="15.5" hidden="1" x14ac:dyDescent="0.35">
      <c r="A110" s="39" t="s">
        <v>79</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87</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89</v>
      </c>
      <c r="B115" s="23"/>
      <c r="C115" s="8"/>
      <c r="D115" s="8"/>
      <c r="E115" s="8"/>
      <c r="F115" s="8"/>
      <c r="G115" s="10"/>
      <c r="H115" s="25"/>
      <c r="I115" s="2"/>
      <c r="J115" s="2"/>
      <c r="K115" s="26"/>
      <c r="L115" s="23"/>
      <c r="M115" s="10"/>
      <c r="N115" s="5"/>
    </row>
    <row r="116" spans="1:14" ht="15.5" hidden="1" x14ac:dyDescent="0.35">
      <c r="A116" s="39" t="s">
        <v>90</v>
      </c>
      <c r="B116" s="23"/>
      <c r="C116" s="8"/>
      <c r="D116" s="8"/>
      <c r="E116" s="8"/>
      <c r="F116" s="8"/>
      <c r="G116" s="10"/>
      <c r="H116" s="25"/>
      <c r="I116" s="2"/>
      <c r="J116" s="2"/>
      <c r="K116" s="26"/>
      <c r="L116" s="23"/>
      <c r="M116" s="10"/>
      <c r="N116" s="5"/>
    </row>
    <row r="117" spans="1:14" ht="15.5" hidden="1" x14ac:dyDescent="0.35">
      <c r="A117" s="39" t="s">
        <v>91</v>
      </c>
      <c r="B117" s="23"/>
      <c r="C117" s="8"/>
      <c r="D117" s="8"/>
      <c r="E117" s="8"/>
      <c r="F117" s="8"/>
      <c r="G117" s="10"/>
      <c r="H117" s="25"/>
      <c r="I117" s="2"/>
      <c r="J117" s="2"/>
      <c r="K117" s="26"/>
      <c r="L117" s="23"/>
      <c r="M117" s="10"/>
      <c r="N117" s="5"/>
    </row>
    <row r="118" spans="1:14" ht="15.5" hidden="1" x14ac:dyDescent="0.35">
      <c r="A118" s="39" t="s">
        <v>92</v>
      </c>
      <c r="B118" s="23"/>
      <c r="C118" s="8"/>
      <c r="D118" s="8"/>
      <c r="E118" s="8"/>
      <c r="F118" s="8"/>
      <c r="G118" s="10"/>
      <c r="H118" s="25"/>
      <c r="I118" s="2"/>
      <c r="J118" s="2"/>
      <c r="K118" s="26"/>
      <c r="L118" s="23"/>
      <c r="M118" s="10"/>
      <c r="N118" s="5"/>
    </row>
    <row r="119" spans="1:14" ht="15.5" hidden="1" x14ac:dyDescent="0.35">
      <c r="A119" s="39" t="s">
        <v>93</v>
      </c>
      <c r="B119" s="23"/>
      <c r="C119" s="8"/>
      <c r="D119" s="8"/>
      <c r="E119" s="8"/>
      <c r="F119" s="8"/>
      <c r="G119" s="10"/>
      <c r="H119" s="25"/>
      <c r="I119" s="2"/>
      <c r="J119" s="2"/>
      <c r="K119" s="26"/>
      <c r="L119" s="23"/>
      <c r="M119" s="10"/>
      <c r="N119" s="5"/>
    </row>
    <row r="120" spans="1:14" ht="15.5" hidden="1" x14ac:dyDescent="0.35">
      <c r="A120" s="39" t="s">
        <v>94</v>
      </c>
      <c r="B120" s="23"/>
      <c r="C120" s="8"/>
      <c r="D120" s="8"/>
      <c r="E120" s="8"/>
      <c r="F120" s="8"/>
      <c r="G120" s="10"/>
      <c r="H120" s="25"/>
      <c r="I120" s="2"/>
      <c r="J120" s="2"/>
      <c r="K120" s="26"/>
      <c r="L120" s="23"/>
      <c r="M120" s="10"/>
      <c r="N120" s="5"/>
    </row>
    <row r="121" spans="1:14" ht="15.5" hidden="1" x14ac:dyDescent="0.35">
      <c r="A121" s="39" t="s">
        <v>95</v>
      </c>
      <c r="B121" s="23"/>
      <c r="C121" s="8"/>
      <c r="D121" s="8"/>
      <c r="E121" s="8"/>
      <c r="F121" s="8"/>
      <c r="G121" s="10"/>
      <c r="H121" s="24"/>
      <c r="I121" s="18"/>
      <c r="J121" s="18"/>
      <c r="K121" s="19"/>
      <c r="L121" s="23"/>
      <c r="M121" s="10"/>
      <c r="N121" s="5"/>
    </row>
    <row r="122" spans="1:14" ht="15.5" x14ac:dyDescent="0.35">
      <c r="A122" s="23" t="s">
        <v>111</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112</v>
      </c>
      <c r="B124" s="2"/>
      <c r="C124" s="2"/>
      <c r="D124" s="2"/>
      <c r="E124" s="2"/>
      <c r="F124" s="2"/>
      <c r="G124" s="2"/>
      <c r="H124" s="2"/>
      <c r="I124" s="2"/>
      <c r="J124" s="2"/>
      <c r="K124" s="2"/>
      <c r="L124" s="2"/>
      <c r="M124" s="2"/>
      <c r="N124" s="30"/>
    </row>
    <row r="125" spans="1:14" ht="46.5" x14ac:dyDescent="0.35">
      <c r="A125" s="44" t="s">
        <v>113</v>
      </c>
      <c r="B125" s="45" t="s">
        <v>114</v>
      </c>
      <c r="C125" s="8"/>
      <c r="D125" s="8"/>
      <c r="E125" s="8"/>
      <c r="F125" s="8"/>
      <c r="G125" s="10"/>
      <c r="H125" s="45" t="s">
        <v>115</v>
      </c>
      <c r="I125" s="8"/>
      <c r="J125" s="8"/>
      <c r="K125" s="10"/>
      <c r="L125" s="46" t="s">
        <v>116</v>
      </c>
      <c r="M125" s="10"/>
      <c r="N125" s="5"/>
    </row>
    <row r="126" spans="1:14" ht="15.5" x14ac:dyDescent="0.35">
      <c r="A126" s="47" t="s">
        <v>117</v>
      </c>
      <c r="B126" s="48" t="s">
        <v>118</v>
      </c>
      <c r="C126" s="14"/>
      <c r="D126" s="14"/>
      <c r="E126" s="14"/>
      <c r="F126" s="14"/>
      <c r="G126" s="15"/>
      <c r="H126" s="49" t="s">
        <v>119</v>
      </c>
      <c r="I126" s="14"/>
      <c r="J126" s="14"/>
      <c r="K126" s="50" t="s">
        <v>120</v>
      </c>
      <c r="L126" s="51">
        <f>1-SUM(L129:M131)</f>
        <v>0.75</v>
      </c>
      <c r="M126" s="15"/>
      <c r="N126" s="5"/>
    </row>
    <row r="127" spans="1:14" ht="15.5" x14ac:dyDescent="0.35">
      <c r="A127" s="52"/>
      <c r="B127" s="25"/>
      <c r="C127" s="2"/>
      <c r="D127" s="2"/>
      <c r="E127" s="2"/>
      <c r="F127" s="2"/>
      <c r="G127" s="26"/>
      <c r="H127" s="24"/>
      <c r="I127" s="18"/>
      <c r="J127" s="18"/>
      <c r="K127" s="35"/>
      <c r="L127" s="25"/>
      <c r="M127" s="26"/>
      <c r="N127" s="5"/>
    </row>
    <row r="128" spans="1:14" ht="15.5" x14ac:dyDescent="0.35">
      <c r="A128" s="35"/>
      <c r="B128" s="24"/>
      <c r="C128" s="18"/>
      <c r="D128" s="18"/>
      <c r="E128" s="18"/>
      <c r="F128" s="18"/>
      <c r="G128" s="19"/>
      <c r="H128" s="53" t="s">
        <v>121</v>
      </c>
      <c r="I128" s="8"/>
      <c r="J128" s="8"/>
      <c r="K128" s="39" t="s">
        <v>122</v>
      </c>
      <c r="L128" s="24"/>
      <c r="M128" s="19"/>
      <c r="N128" s="5"/>
    </row>
    <row r="129" spans="1:14" ht="68.25" hidden="1" customHeight="1" x14ac:dyDescent="0.35">
      <c r="A129" s="44" t="s">
        <v>123</v>
      </c>
      <c r="B129" s="53" t="s">
        <v>124</v>
      </c>
      <c r="C129" s="8"/>
      <c r="D129" s="8"/>
      <c r="E129" s="8"/>
      <c r="F129" s="8"/>
      <c r="G129" s="10"/>
      <c r="H129" s="53" t="s">
        <v>125</v>
      </c>
      <c r="I129" s="8"/>
      <c r="J129" s="8"/>
      <c r="K129" s="10"/>
      <c r="L129" s="54" t="s">
        <v>126</v>
      </c>
      <c r="M129" s="10"/>
      <c r="N129" s="5"/>
    </row>
    <row r="130" spans="1:14" ht="46.5" x14ac:dyDescent="0.35">
      <c r="A130" s="44" t="s">
        <v>127</v>
      </c>
      <c r="B130" s="53" t="s">
        <v>128</v>
      </c>
      <c r="C130" s="8"/>
      <c r="D130" s="8"/>
      <c r="E130" s="8"/>
      <c r="F130" s="8"/>
      <c r="G130" s="10"/>
      <c r="H130" s="53" t="s">
        <v>129</v>
      </c>
      <c r="I130" s="8"/>
      <c r="J130" s="8"/>
      <c r="K130" s="10"/>
      <c r="L130" s="55">
        <v>0.25</v>
      </c>
      <c r="M130" s="10"/>
      <c r="N130" s="5"/>
    </row>
    <row r="131" spans="1:14" ht="31" hidden="1" x14ac:dyDescent="0.35">
      <c r="A131" s="44" t="s">
        <v>130</v>
      </c>
      <c r="B131" s="56" t="s">
        <v>131</v>
      </c>
      <c r="C131" s="8"/>
      <c r="D131" s="8"/>
      <c r="E131" s="8"/>
      <c r="F131" s="8"/>
      <c r="G131" s="10"/>
      <c r="H131" s="53" t="s">
        <v>132</v>
      </c>
      <c r="I131" s="8"/>
      <c r="J131" s="8"/>
      <c r="K131" s="10"/>
      <c r="L131" s="54" t="s">
        <v>126</v>
      </c>
      <c r="M131" s="10"/>
      <c r="N131" s="5"/>
    </row>
    <row r="132" spans="1:14" ht="15.5" x14ac:dyDescent="0.35">
      <c r="A132" s="45" t="s">
        <v>133</v>
      </c>
      <c r="B132" s="8"/>
      <c r="C132" s="8"/>
      <c r="D132" s="8"/>
      <c r="E132" s="8"/>
      <c r="F132" s="8"/>
      <c r="G132" s="8"/>
      <c r="H132" s="8"/>
      <c r="I132" s="8"/>
      <c r="J132" s="8"/>
      <c r="K132" s="8"/>
      <c r="L132" s="8"/>
      <c r="M132" s="10"/>
      <c r="N132" s="5"/>
    </row>
    <row r="133" spans="1:14" ht="15.5" x14ac:dyDescent="0.35">
      <c r="A133" s="57" t="s">
        <v>134</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135</v>
      </c>
      <c r="B135" s="10"/>
      <c r="C135" s="59">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136</v>
      </c>
      <c r="B137" s="10"/>
      <c r="C137" s="9" t="str">
        <f>E15</f>
        <v>Asist.dr.ing. Ovidiu Păucă</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137</v>
      </c>
      <c r="B139" s="15"/>
      <c r="C139" s="9" t="str">
        <f t="shared" ref="C139:C141" si="0">E17</f>
        <v>Asist.dr.ing. Ovidiu Păucă</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138</v>
      </c>
      <c r="B143" s="10"/>
      <c r="C143" s="61">
        <f>[1]Date!C35</f>
        <v>45915</v>
      </c>
      <c r="D143" s="10"/>
      <c r="E143" s="58" t="s">
        <v>139</v>
      </c>
      <c r="F143" s="8"/>
      <c r="G143" s="10"/>
      <c r="H143" s="62" t="str">
        <f>[1]Date!C37</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140</v>
      </c>
      <c r="B145" s="10"/>
      <c r="C145" s="61">
        <f>[1]Date!C36</f>
        <v>45918</v>
      </c>
      <c r="D145" s="10"/>
      <c r="E145" s="58" t="s">
        <v>141</v>
      </c>
      <c r="F145" s="8"/>
      <c r="G145" s="10"/>
      <c r="H145" s="62"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2026-03-01T09:16:32Z</dcterms:created>
  <dcterms:modified xsi:type="dcterms:W3CDTF">2026-03-01T09:16:35Z</dcterms:modified>
</cp:coreProperties>
</file>