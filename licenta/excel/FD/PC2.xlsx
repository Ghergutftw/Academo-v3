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A55A4C42-7C9F-447B-950E-A388154C9B52}" xr6:coauthVersionLast="47" xr6:coauthVersionMax="47" xr10:uidLastSave="{00000000-0000-0000-0000-000000000000}"/>
  <bookViews>
    <workbookView xWindow="-110" yWindow="-110" windowWidth="25820" windowHeight="15500" xr2:uid="{82F4194C-B1D1-4DF6-BD78-571C38AB534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3" i="1" a="1"/>
  <c r="E13" i="1" s="1"/>
  <c r="M14" i="1" a="1"/>
  <c r="M14" i="1" s="1"/>
  <c r="G26" i="1" l="1" a="1"/>
  <c r="G26" i="1" s="1"/>
  <c r="G27" i="1" s="1"/>
  <c r="E14" i="1" a="1"/>
  <c r="E14" i="1" s="1"/>
  <c r="I26" i="1" a="1"/>
  <c r="I26" i="1" s="1"/>
  <c r="I27" i="1" s="1"/>
  <c r="K26" i="1" a="1"/>
  <c r="K26" i="1" s="1"/>
  <c r="K27" i="1" s="1"/>
  <c r="E23" i="1" a="1"/>
  <c r="E23" i="1" s="1"/>
  <c r="I23" i="1" a="1"/>
  <c r="I23" i="1" s="1"/>
  <c r="M23" i="1" a="1"/>
  <c r="M23" i="1" s="1"/>
  <c r="M32" i="1" a="1"/>
  <c r="M32" i="1" s="1"/>
  <c r="C34" i="1" a="1"/>
  <c r="C34" i="1" s="1"/>
  <c r="M33"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6544BE3D-733E-4C30-82D0-45180649657C}">
      <text>
        <r>
          <rPr>
            <sz val="10"/>
            <color rgb="FF000000"/>
            <rFont val="Aptos Narrow"/>
            <scheme val="minor"/>
          </rPr>
          <t>Pondere din nota de la E / V</t>
        </r>
      </text>
    </comment>
    <comment ref="K127" authorId="0" shapeId="0" xr:uid="{6199CA83-EDBC-418B-B75F-9144BC1DA2E7}">
      <text>
        <r>
          <rPr>
            <sz val="10"/>
            <color rgb="FF000000"/>
            <rFont val="Aptos Narrow"/>
            <scheme val="minor"/>
          </rPr>
          <t>Pondere din nota de la E / V</t>
        </r>
      </text>
    </comment>
    <comment ref="K128" authorId="0" shapeId="0" xr:uid="{9DDA4AEC-9BDA-4A03-B240-86C666480E65}">
      <text>
        <r>
          <rPr>
            <sz val="10"/>
            <color rgb="FF000000"/>
            <rFont val="Aptos Narrow"/>
            <scheme val="minor"/>
          </rPr>
          <t>Pondere din nota de la E / V</t>
        </r>
      </text>
    </comment>
  </commentList>
</comments>
</file>

<file path=xl/sharedStrings.xml><?xml version="1.0" encoding="utf-8"?>
<sst xmlns="http://schemas.openxmlformats.org/spreadsheetml/2006/main" count="202" uniqueCount="152">
  <si>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</si>
  <si>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</si>
  <si>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</si>
  <si>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</si>
  <si>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</si>
  <si>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</si>
  <si>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</si>
  <si>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</si>
  <si>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</si>
  <si>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</si>
  <si>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</si>
  <si>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</si>
  <si>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</si>
  <si>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Programarea calculatoarelor II</t>
  </si>
  <si>
    <t>(în limba engleză, conform Suplimentului la diplomă)</t>
  </si>
  <si>
    <t>2.1.2. Codul disciplinei</t>
  </si>
  <si>
    <t xml:space="preserve">2.1.3. Categoria formativă </t>
  </si>
  <si>
    <t>2.2 Titularul / titularii activităţilor de curs</t>
  </si>
  <si>
    <t>Paul-Corneliu Herghelegiu</t>
  </si>
  <si>
    <t>2.3 Titularul / titularii activităţilor de aplicaţii (S, L, P, Pr)</t>
  </si>
  <si>
    <t>Codruț - Georgian Artene</t>
  </si>
  <si>
    <t>Delia - Elena Bărbuță</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</si>
  <si>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</si>
  <si>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</si>
  <si>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</si>
  <si>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</si>
  <si>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</si>
  <si>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</si>
  <si>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</si>
  <si>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</si>
  <si>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</si>
  <si>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</si>
  <si>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</si>
  <si>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</si>
  <si>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</si>
  <si>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</si>
  <si>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</si>
  <si>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</si>
  <si>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</si>
  <si>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</si>
  <si>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</si>
  <si>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</si>
  <si>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</si>
  <si>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</si>
  <si>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</si>
  <si>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</si>
  <si>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</si>
  <si>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</si>
  <si>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</si>
  <si>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</si>
  <si>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</si>
  <si>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</si>
  <si>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</si>
  <si>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</si>
  <si>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</si>
  <si>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Tablă, videoproiector</t>
  </si>
  <si>
    <t>5.2 de desfăşurare a seminarului / laboratorului / proiectului</t>
  </si>
  <si>
    <t>Calculatoare dotate cu Visual Studio Code și extensia de C++ și Python</t>
  </si>
  <si>
    <t>6. Obiectivul general al disciplinei</t>
  </si>
  <si>
    <t>Însușirea unor elemente de programare în C++ și Python, precum și a principiilor de bază ale Programării orientate pe obiecte și implementarea eficientă a acestora în C++ și Python.</t>
  </si>
  <si>
    <t>7. Rezultatele învățării</t>
  </si>
  <si>
    <t>Cunoștințe</t>
  </si>
  <si>
    <t>Studentul / Absolventul:</t>
  </si>
  <si>
    <t>- Definește elementele de bază ale limbajului C++ față de C
- Identifică elementele necesare rezolvării unei probleme prin paradigma POO
- Recunoaște necesitatea supraîncărcării operatorilor pentru tipurile proprii de date
- Identifică elementele bibliotecii standard necesare rezolvării problemelor întâlnite
- Recunoaște tipul de probleme ce pot fi rezolvate prin utilizarea polimorfismului
- Indică elementele de bază ale limbajului Python, cu accent pe diferențele față de C++
- Numește diferențele dintre programarea POO în python față de C++
- Identifică șablonul de proiectare necesar rezolvării unor probleme standard
- Distinge diferența dintre compoziție și agregare. Descrie algoritmul de rezolvare al problemelor ce implică compoziție și agregare
- Recunoaște problemele ce necesită implementarea conceptului de moștenire
- Compară elementele de bază ale POO în Python cu cele din C++</t>
  </si>
  <si>
    <t>Aptitudini</t>
  </si>
  <si>
    <t>-Testează diferiți algoritmi simpli pentru exemplificarea elementelor de limbaj învățate, precum tipul referință sau funcții cu parametri impliciți
- Identifică modul de rezolvare al unor probleme simple utilizând paradigma POO, în comparație cu programarea modulară folosită anterior
- Determină necesitatea utilizării operatorilor supraîncărcați pe tipurile proprii de date
- Diferențiază conceptele de compoziție și agregare folosite în POO
- Cercetează elementele bibliotecii standard pentru a identifica funcțiile sau structurile de date necesare rezolvării problemelor întâlnite
- Analizează posibilitatea rezolvării problemelor prin implementarea conceptelor de POO avansate precum moștenirea sau polimorfismul. Experimentează cu cele două concepte pentru a maximiza reutilizarea codului scris.
- Determină elementele limbajului Python pentru a identifica diferențele dintre Python și C++. Rezolvă probleme de complexitate medie în limbajul Python</t>
  </si>
  <si>
    <t>Responsabilitate și autonomie</t>
  </si>
  <si>
    <t>- Propune un algoritm (o serie de pași) pentru a rezolva o problemă. Urmărește în practică pașii logici ai algoritmului dezvoltat pentru a rezolva problemele propuse. 
- Împărtășește metoda de rezolvare a problemelor propuse cu colegii</t>
  </si>
  <si>
    <t xml:space="preserve">8. Metode de predare </t>
  </si>
  <si>
    <t>- Prezentare orală a conceptelor teoretice la curs
- Exemple rulate în Visual Studio Code pentru exemplificare și însușirea conceptelor teoretice predate
- La laborator, o scurtă trecere în revistă a conceptelor teoretice necesare rezolvării problemelor propuse</t>
  </si>
  <si>
    <t>9. Conţinuturi</t>
  </si>
  <si>
    <t>9.1. Curs</t>
  </si>
  <si>
    <t>Metode de predare</t>
  </si>
  <si>
    <t>Timp alocat</t>
  </si>
  <si>
    <t>1</t>
  </si>
  <si>
    <t>Particularități ale limbajului C++. Tipul referință, alocarea și dealocarea dinamică de memorie, funcții cu parametri impliciți, supraîncărcarea funcțiilor, namespace-uri. Principiile de bază ale POO. Tipul abstract de dată – Clasa.</t>
  </si>
  <si>
    <t>Prezentare prelegere la tablă și cu ajutorul videoproiectorului.</t>
  </si>
  <si>
    <t>2</t>
  </si>
  <si>
    <t>Abstractizarea și incapsularea datelor. Clase. Specificatori de acces. Paradigma POO.</t>
  </si>
  <si>
    <t>3</t>
  </si>
  <si>
    <t>Constructorul implicit și constructorul cu parametri. Constructor de copiere. Constructor de mutare. Destructor.</t>
  </si>
  <si>
    <t>4</t>
  </si>
  <si>
    <t>Liste de inițializare. Pointerul this. Supraîncărcarea operatorilor. Operatori Standard și operatorul = de copiere și mutare</t>
  </si>
  <si>
    <t>5</t>
  </si>
  <si>
    <t>Cuvântul cheie static. Prietenie. Compoziția și agregarea. Template-uri (Șabloane) de funcții și de clase.</t>
  </si>
  <si>
    <t>6</t>
  </si>
  <si>
    <t>Biblioteca C++ standard. String. Vector.</t>
  </si>
  <si>
    <t>7</t>
  </si>
  <si>
    <t>Biblioteca C++ standard. Sort. Smart pointers.</t>
  </si>
  <si>
    <t>8</t>
  </si>
  <si>
    <t>Moștenirea. Ierarhii de tipuri. Specificatori de acces. Suprascrierea metodelor din clasa de bază. Ordinea de apelare a constructorilor și a destructorilor. Constructori apelați implicit. Rescrierea funcțiilor din clasa de bază. Moștenirea multiplă.</t>
  </si>
  <si>
    <t>9</t>
  </si>
  <si>
    <t>Polimorfism. Pointeri la clasa de bază. Operatorul de referențiere &amp;. Tip declarat / tip real. Apelarea unei funcții suprascrise. Funcții virtuale. Tabela virtuală. Apelare constructori si destructori in cazul polimorfismului. Constructori virtuali. Destructori virtuali.</t>
  </si>
  <si>
    <t>10</t>
  </si>
  <si>
    <t>Polimorfism – exemplu. Funcții virtuale pure. Type casting. Excepții în C++.</t>
  </si>
  <si>
    <t>11</t>
  </si>
  <si>
    <t>Introducere în Python 
Context: unde se folosește Python (AI, web, scripting, automatizări).
Sintaxă de bază: variabile, tipuri dinamice, indentare.
Tipuri de date: int, float, bool, str, list, dict, tuple, set.
Diferențe majore față de C++ (tipare dinamice, lipsa pointerilor expliciți, garbage collector).</t>
  </si>
  <si>
    <t>12</t>
  </si>
  <si>
    <t>Funcții și modularizare în Python / Biblioteca standard și colecții avansate în Python
Definirea funcțiilor (def, parametri impliciți, *args, **kwargs).
Lambda expressions, funcții de ordin superior (map, filter, reduce).
Importuri, organizarea codului pe module/pachete.</t>
  </si>
  <si>
    <t>13</t>
  </si>
  <si>
    <t>OOP în Python
Clase și obiecte: __init__, atribute, metode.
Specificatori de acces (convenție, nu restrictiv ca în C++).
Moștenire simplă și multiplă.
Polimorfism (metode suprascrise, duck typing).
Clase abstracte (abc.ABC), metode abstracte.
Decoratori de clase și metode (@classmethod, @staticmethod, @property).</t>
  </si>
  <si>
    <t>14</t>
  </si>
  <si>
    <t>Design patterns in C++ și Python. Factory Method, Adapter, Chain of Responsability. 2 – ore
Cum se implementează pattern-uri clasice în Python (Factory, Adapter).
Diferențe față de C++ (folosirea duck typing, funcții de ordin superior).
Exemple în C++ / Python</t>
  </si>
  <si>
    <t xml:space="preserve">Bibliografie curs:
1.  Bjarne Stroustrup – Programming: Principles and Practice Using C++ (2nd Edition, Addison-Wesley, 2014)
2.  Stanley B. Lippman, José Lajoie, Barbara E. Moo – C++ Primer
3. Scott Meyers – Effective C++ (3rd Edition, Addison-Wesley, 2005)
4. Mark Lutz – Learning Python (5th Edition, O’Reilly, 2013)
5. Eric Matthes – Python Crash Course (2nd Edition, No Starch Press, 2019)
</t>
  </si>
  <si>
    <t>9.2a Seminar</t>
  </si>
  <si>
    <t>Metode de lucru</t>
  </si>
  <si>
    <t>9.2b Laborator</t>
  </si>
  <si>
    <t>Laborator 1 - Introducere în Visual Studio Code. Debug. Noțiuni introductive C++</t>
  </si>
  <si>
    <t>Partea teoretică și temele de laborator sunt puse la dispoziția studenților la începutul semestrului. In timpul laboratorului, se discută cerințele si soluțiile posibile pentru temele solicitate. Studenții rezolvă problemele individual sau în echipă, primesc asistență și sunt evaluați.</t>
  </si>
  <si>
    <t>Laborator 2 - Tipul referință. Funcții cu parametri impliciți. Namespace-uri.</t>
  </si>
  <si>
    <t>Laborator 3 - Clase, constructori.</t>
  </si>
  <si>
    <t>Laborator 4 - Constructorul de copiere. Constructor de mutare. Liste de initializare. Pointerul this.</t>
  </si>
  <si>
    <t>Laborator 5 - Supraîncărcarea operatorilor. Template-uri</t>
  </si>
  <si>
    <t>Laborator 6 - Compoziția și agregarea. Prietenie. Membrii statici.</t>
  </si>
  <si>
    <t>Laborator 7 - Biblioteca standard C++ (STD)</t>
  </si>
  <si>
    <t>Laborator 8 - Moștenire</t>
  </si>
  <si>
    <t>Laborator 9 - Polimorfism</t>
  </si>
  <si>
    <t>Laborator 10 - Continuare Polimorfism. Excepții</t>
  </si>
  <si>
    <t>Laborator 11 - Introducere în Python. exerciții simple de manipulare șiruri, liste, dicționare, comprehensions</t>
  </si>
  <si>
    <t>Laborator 12 - Implementare de mici biblioteci (ex: mini-math utils, operatii pe texte).</t>
  </si>
  <si>
    <t>Laborator 13 - Implementare ierarhie de clase (ex: Figuri geometrice, Vehicule), folosirea polimorfismului.</t>
  </si>
  <si>
    <t>Laborator 14 - Proiect orientat pe design pattern.</t>
  </si>
  <si>
    <t>9.2c Proiect</t>
  </si>
  <si>
    <t xml:space="preserve">Bibliografie aplicaţii (seminar / laborator / proiect):
1.  Bjarne Stroustrup – Programming: Principles and Practice Using C++ (2nd Edition, Addison-Wesley, 2014)
2.  Stanley B. Lippman, José Lajoie, Barbara E. Moo – C++ Primer
3. Scott Meyers – Effective C++ (3rd Edition, Addison-Wesley, 2005)
4. Mark Lutz – Learning Python (5th Edition, O’Reilly, 2013)
5. Eric Matthes – Python Crash Course (2nd Edition, No Starch Press, 2019)
</t>
  </si>
  <si>
    <t>10. Evaluare</t>
  </si>
  <si>
    <t>Tip activitate</t>
  </si>
  <si>
    <t>10.1 Criterii de evaluare</t>
  </si>
  <si>
    <t>10.2 Metode de evaluare</t>
  </si>
  <si>
    <t>10.3 Pondere din nota finală [%]</t>
  </si>
  <si>
    <t>10.4 Examen / Verificare</t>
  </si>
  <si>
    <t>Coerenţa logică pentru a putea urmări un cod și pentru a enunța păreri asupra corectitudinii acestuia. 
Gradul de înțelegere a limbajelor C++ și Python sau a particularităților acestor limbaje pentru rezolvarea unor probleme OOP
Capacitatea de abstractizare a unor probleme simple reale și transformarea lor în limbaj specific programării în C++ și / sau Python</t>
  </si>
  <si>
    <t>- observarea sistematică a studenţilor (teme individuale/ de echipă - temele trebuie efectuate în săptămâna dintre cursuri, pregătirea unui referat - studiu de caz).</t>
  </si>
  <si>
    <t>- test de evaluare formativ (verificăre pe parcursul semestrului - în săptâmăna 11).</t>
  </si>
  <si>
    <t>40</t>
  </si>
  <si>
    <t>- test de evaluare sumativ (verificare finală - test grilă din materia predată la curs și la laborator).</t>
  </si>
  <si>
    <t>60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</si>
  <si>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</si>
  <si>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</si>
  <si>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</si>
  <si>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</si>
  <si>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 rezolvarea problemelor propuse la laborator (toate lucrările de laborator trebuie efectuate);
 - test de evaluare (colocviu de laborator).</t>
  </si>
  <si>
    <t>10.5c Proiect</t>
  </si>
  <si>
    <t>Participarea la activitatea de proiectare,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</si>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</sst>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0">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495D-2854-49C3-A231-80DBB64037BB}">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Computer Programming II</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AIA.PCII.110</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t="s">
        <v>21</v>
      </c>
      <c r="F19" s="8"/>
      <c r="G19" s="8"/>
      <c r="H19" s="8"/>
      <c r="I19" s="8"/>
      <c r="J19" s="8"/>
      <c r="K19" s="8"/>
      <c r="L19" s="8"/>
      <c r="M19" s="10"/>
      <c r="N19" s="5"/>
    </row>
    <row r="20" spans="1:14" ht="15.5"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1</v>
      </c>
      <c r="D23" s="28" t="s">
        <v>23</v>
      </c>
      <c r="E23" s="27">
        <f t="array" aca="1" ref="E23" ca="1">INDEX([1]Date!A8:A21, MATCH(E12,[1]Date!C8:C21,0),0)</f>
        <v>2</v>
      </c>
      <c r="F23" s="29" t="s">
        <v>24</v>
      </c>
      <c r="G23" s="8"/>
      <c r="H23" s="10"/>
      <c r="I23" s="22" t="str">
        <f t="array" aca="1" ref="I23" ca="1">INDEX([1]Date!M8:M21, MATCH(E12,[1]Date!C8:C21,0),0)</f>
        <v>E</v>
      </c>
      <c r="J23" s="29" t="s">
        <v>25</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27">
        <f ca="1">SUM(E26+G26+I26+K26)</f>
        <v>5</v>
      </c>
      <c r="D26" s="28" t="s">
        <v>28</v>
      </c>
      <c r="E26" s="27">
        <f t="array" aca="1" ref="E26" ca="1">INDEX([1]Date!H8:H21, MATCH(E12,[1]Date!C8:C21,0),0)</f>
        <v>2</v>
      </c>
      <c r="F26" s="28" t="s">
        <v>29</v>
      </c>
      <c r="G26" s="27">
        <f t="array" aca="1" ref="G26" ca="1">INDEX([1]Date!I8:I21, MATCH(E12,[1]Date!C8:C21,0),0)</f>
        <v>0</v>
      </c>
      <c r="H26" s="28" t="s">
        <v>30</v>
      </c>
      <c r="I26" s="27">
        <f t="array" aca="1" ref="I26" ca="1">INDEX([1]Date!J8:J21, MATCH(E12,[1]Date!C8:C21,0),0)</f>
        <v>3</v>
      </c>
      <c r="J26" s="28" t="s">
        <v>31</v>
      </c>
      <c r="K26" s="27">
        <f t="array" aca="1" ref="K26" ca="1">INDEX([1]Date!K8:K21, MATCH(E12,[1]Date!C8:C21,0),0)</f>
        <v>0</v>
      </c>
      <c r="L26" s="7" t="s">
        <v>32</v>
      </c>
      <c r="M26" s="10"/>
      <c r="N26" s="30"/>
    </row>
    <row r="27" spans="1:14" ht="31" x14ac:dyDescent="0.35">
      <c r="A27" s="7" t="s">
        <v>33</v>
      </c>
      <c r="B27" s="10"/>
      <c r="C27" s="27">
        <f ca="1">C26*14</f>
        <v>70</v>
      </c>
      <c r="D27" s="28" t="s">
        <v>34</v>
      </c>
      <c r="E27" s="27">
        <f ca="1">E26*14</f>
        <v>28</v>
      </c>
      <c r="F27" s="28" t="s">
        <v>35</v>
      </c>
      <c r="G27" s="27">
        <f ca="1">G26*14</f>
        <v>0</v>
      </c>
      <c r="H27" s="28" t="s">
        <v>36</v>
      </c>
      <c r="I27" s="27">
        <f ca="1">I26*14</f>
        <v>42</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1">
        <v>50</v>
      </c>
      <c r="N29" s="5"/>
    </row>
    <row r="30" spans="1:14" ht="15.5" x14ac:dyDescent="0.35">
      <c r="A30" s="7" t="s">
        <v>42</v>
      </c>
      <c r="B30" s="8"/>
      <c r="C30" s="8"/>
      <c r="D30" s="8"/>
      <c r="E30" s="8"/>
      <c r="F30" s="8"/>
      <c r="G30" s="8"/>
      <c r="H30" s="8"/>
      <c r="I30" s="8"/>
      <c r="J30" s="8"/>
      <c r="K30" s="8"/>
      <c r="L30" s="10"/>
      <c r="M30" s="31">
        <v>8</v>
      </c>
      <c r="N30" s="5"/>
    </row>
    <row r="31" spans="1:14" ht="15.5" x14ac:dyDescent="0.35">
      <c r="A31" s="7" t="s">
        <v>43</v>
      </c>
      <c r="B31" s="8"/>
      <c r="C31" s="8"/>
      <c r="D31" s="8"/>
      <c r="E31" s="8"/>
      <c r="F31" s="8"/>
      <c r="G31" s="8"/>
      <c r="H31" s="8"/>
      <c r="I31" s="8"/>
      <c r="J31" s="8"/>
      <c r="K31" s="8"/>
      <c r="L31" s="10"/>
      <c r="M31" s="31">
        <v>31</v>
      </c>
      <c r="N31" s="5"/>
    </row>
    <row r="32" spans="1:14" ht="15.5" x14ac:dyDescent="0.35">
      <c r="A32" s="7" t="s">
        <v>44</v>
      </c>
      <c r="B32" s="8"/>
      <c r="C32" s="8"/>
      <c r="D32" s="8"/>
      <c r="E32" s="8"/>
      <c r="F32" s="8"/>
      <c r="G32" s="8"/>
      <c r="H32" s="8"/>
      <c r="I32" s="8"/>
      <c r="J32" s="8"/>
      <c r="K32" s="8"/>
      <c r="L32" s="10"/>
      <c r="M32" s="27">
        <f t="array" aca="1" ref="M32" ca="1">IF(INDEX([1]Date!M8:M21, MATCH(E12,[1]Date!C8:C21,0),0)="E",3,0)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89</v>
      </c>
      <c r="D34" s="5"/>
      <c r="E34" s="5"/>
      <c r="F34" s="5"/>
      <c r="G34" s="5"/>
      <c r="H34" s="5"/>
      <c r="I34" s="5"/>
      <c r="J34" s="5"/>
      <c r="K34" s="5"/>
      <c r="L34" s="5"/>
      <c r="M34" s="5"/>
      <c r="N34" s="5"/>
    </row>
    <row r="35" spans="1:14" ht="15.5" x14ac:dyDescent="0.35">
      <c r="A35" s="7" t="s">
        <v>47</v>
      </c>
      <c r="B35" s="10"/>
      <c r="C35" s="27">
        <f ca="1">C27+M32+C34</f>
        <v>162</v>
      </c>
      <c r="D35" s="5"/>
      <c r="E35" s="5"/>
      <c r="F35" s="5"/>
      <c r="G35" s="5"/>
      <c r="H35" s="5"/>
      <c r="I35" s="5"/>
      <c r="J35" s="5"/>
      <c r="K35" s="5"/>
      <c r="L35" s="5"/>
      <c r="M35" s="5"/>
      <c r="N35" s="5"/>
    </row>
    <row r="36" spans="1:14" ht="15.5" x14ac:dyDescent="0.35">
      <c r="A36" s="7" t="s">
        <v>48</v>
      </c>
      <c r="B36" s="10"/>
      <c r="C36" s="27">
        <f t="array" aca="1" ref="C36" ca="1">INDEX([1]Date!N8:N21, MATCH(E12,[1]Date!C8:C21,0),0)</f>
        <v>6</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53</v>
      </c>
      <c r="B42" s="2"/>
      <c r="C42" s="2"/>
      <c r="D42" s="2"/>
      <c r="E42" s="2"/>
      <c r="F42" s="2"/>
      <c r="G42" s="2"/>
      <c r="H42" s="2"/>
      <c r="I42" s="2"/>
      <c r="J42" s="2"/>
      <c r="K42" s="2"/>
      <c r="L42" s="2"/>
      <c r="M42" s="2"/>
      <c r="N42" s="30"/>
    </row>
    <row r="43" spans="1:14" ht="15.5" x14ac:dyDescent="0.35">
      <c r="A43" s="7" t="s">
        <v>54</v>
      </c>
      <c r="B43" s="10"/>
      <c r="C43" s="23" t="s">
        <v>55</v>
      </c>
      <c r="D43" s="8"/>
      <c r="E43" s="8"/>
      <c r="F43" s="8"/>
      <c r="G43" s="8"/>
      <c r="H43" s="8"/>
      <c r="I43" s="8"/>
      <c r="J43" s="8"/>
      <c r="K43" s="8"/>
      <c r="L43" s="8"/>
      <c r="M43" s="10"/>
      <c r="N43" s="30"/>
    </row>
    <row r="44" spans="1:14" ht="15.5" x14ac:dyDescent="0.35">
      <c r="A44" s="7" t="s">
        <v>56</v>
      </c>
      <c r="B44" s="10"/>
      <c r="C44" s="23" t="s">
        <v>57</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58</v>
      </c>
      <c r="B46" s="2"/>
      <c r="C46" s="2"/>
      <c r="D46" s="2"/>
      <c r="E46" s="2"/>
      <c r="F46" s="2"/>
      <c r="G46" s="2"/>
      <c r="H46" s="2"/>
      <c r="I46" s="2"/>
      <c r="J46" s="2"/>
      <c r="K46" s="2"/>
      <c r="L46" s="2"/>
      <c r="M46" s="2"/>
      <c r="N46" s="30"/>
    </row>
    <row r="47" spans="1:14" ht="62.25" customHeight="1" x14ac:dyDescent="0.35">
      <c r="A47" s="23" t="s">
        <v>59</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60</v>
      </c>
      <c r="B49" s="2"/>
      <c r="C49" s="2"/>
      <c r="D49" s="2"/>
      <c r="E49" s="2"/>
      <c r="F49" s="2"/>
      <c r="G49" s="2"/>
      <c r="H49" s="2"/>
      <c r="I49" s="2"/>
      <c r="J49" s="2"/>
      <c r="K49" s="2"/>
      <c r="L49" s="2"/>
      <c r="M49" s="2"/>
      <c r="N49" s="30"/>
    </row>
    <row r="50" spans="1:14" ht="15.5" x14ac:dyDescent="0.35">
      <c r="A50" s="32" t="s">
        <v>61</v>
      </c>
      <c r="B50" s="33" t="s">
        <v>62</v>
      </c>
      <c r="C50" s="8"/>
      <c r="D50" s="8"/>
      <c r="E50" s="8"/>
      <c r="F50" s="8"/>
      <c r="G50" s="8"/>
      <c r="H50" s="8"/>
      <c r="I50" s="8"/>
      <c r="J50" s="8"/>
      <c r="K50" s="8"/>
      <c r="L50" s="8"/>
      <c r="M50" s="10"/>
      <c r="N50" s="5"/>
    </row>
    <row r="51" spans="1:14" ht="15.5" x14ac:dyDescent="0.35">
      <c r="A51" s="34"/>
      <c r="B51" s="35" t="s">
        <v>63</v>
      </c>
      <c r="C51" s="8"/>
      <c r="D51" s="8"/>
      <c r="E51" s="8"/>
      <c r="F51" s="8"/>
      <c r="G51" s="8"/>
      <c r="H51" s="8"/>
      <c r="I51" s="8"/>
      <c r="J51" s="8"/>
      <c r="K51" s="8"/>
      <c r="L51" s="8"/>
      <c r="M51" s="10"/>
      <c r="N51" s="5"/>
    </row>
    <row r="52" spans="1:14" ht="15.5" x14ac:dyDescent="0.35">
      <c r="A52" s="32" t="s">
        <v>64</v>
      </c>
      <c r="B52" s="33" t="s">
        <v>62</v>
      </c>
      <c r="C52" s="8"/>
      <c r="D52" s="8"/>
      <c r="E52" s="8"/>
      <c r="F52" s="8"/>
      <c r="G52" s="8"/>
      <c r="H52" s="8"/>
      <c r="I52" s="8"/>
      <c r="J52" s="8"/>
      <c r="K52" s="8"/>
      <c r="L52" s="8"/>
      <c r="M52" s="10"/>
      <c r="N52" s="5"/>
    </row>
    <row r="53" spans="1:14" ht="15.5" x14ac:dyDescent="0.35">
      <c r="A53" s="34"/>
      <c r="B53" s="35" t="s">
        <v>65</v>
      </c>
      <c r="C53" s="8"/>
      <c r="D53" s="8"/>
      <c r="E53" s="8"/>
      <c r="F53" s="8"/>
      <c r="G53" s="8"/>
      <c r="H53" s="8"/>
      <c r="I53" s="8"/>
      <c r="J53" s="8"/>
      <c r="K53" s="8"/>
      <c r="L53" s="8"/>
      <c r="M53" s="10"/>
      <c r="N53" s="5"/>
    </row>
    <row r="54" spans="1:14" ht="18" customHeight="1" x14ac:dyDescent="0.35">
      <c r="A54" s="32" t="s">
        <v>66</v>
      </c>
      <c r="B54" s="33" t="s">
        <v>62</v>
      </c>
      <c r="C54" s="8"/>
      <c r="D54" s="8"/>
      <c r="E54" s="8"/>
      <c r="F54" s="8"/>
      <c r="G54" s="8"/>
      <c r="H54" s="8"/>
      <c r="I54" s="8"/>
      <c r="J54" s="8"/>
      <c r="K54" s="8"/>
      <c r="L54" s="8"/>
      <c r="M54" s="10"/>
      <c r="N54" s="5"/>
    </row>
    <row r="55" spans="1:14" ht="117" customHeight="1" x14ac:dyDescent="0.35">
      <c r="A55" s="34"/>
      <c r="B55" s="36" t="s">
        <v>67</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68</v>
      </c>
      <c r="B57" s="2"/>
      <c r="C57" s="2"/>
      <c r="D57" s="2"/>
      <c r="E57" s="2"/>
      <c r="F57" s="2"/>
      <c r="G57" s="2"/>
      <c r="H57" s="2"/>
      <c r="I57" s="2"/>
      <c r="J57" s="2"/>
      <c r="K57" s="2"/>
      <c r="L57" s="2"/>
      <c r="M57" s="2"/>
      <c r="N57" s="30"/>
    </row>
    <row r="58" spans="1:14" ht="53.25" customHeight="1" x14ac:dyDescent="0.35">
      <c r="A58" s="23" t="s">
        <v>69</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70</v>
      </c>
      <c r="B60" s="2"/>
      <c r="C60" s="2"/>
      <c r="D60" s="2"/>
      <c r="E60" s="2"/>
      <c r="F60" s="2"/>
      <c r="G60" s="2"/>
      <c r="H60" s="2"/>
      <c r="I60" s="2"/>
      <c r="J60" s="2"/>
      <c r="K60" s="2"/>
      <c r="L60" s="2"/>
      <c r="M60" s="2"/>
      <c r="N60" s="30"/>
    </row>
    <row r="61" spans="1:14" ht="24.75" customHeight="1" x14ac:dyDescent="0.35">
      <c r="A61" s="37" t="s">
        <v>71</v>
      </c>
      <c r="B61" s="8"/>
      <c r="C61" s="8"/>
      <c r="D61" s="8"/>
      <c r="E61" s="8"/>
      <c r="F61" s="8"/>
      <c r="G61" s="10"/>
      <c r="H61" s="37" t="s">
        <v>72</v>
      </c>
      <c r="I61" s="8"/>
      <c r="J61" s="8"/>
      <c r="K61" s="10"/>
      <c r="L61" s="37" t="s">
        <v>73</v>
      </c>
      <c r="M61" s="10"/>
      <c r="N61" s="30"/>
    </row>
    <row r="62" spans="1:14" ht="15.5" x14ac:dyDescent="0.35">
      <c r="A62" s="38" t="s">
        <v>74</v>
      </c>
      <c r="B62" s="23" t="s">
        <v>75</v>
      </c>
      <c r="C62" s="8"/>
      <c r="D62" s="8"/>
      <c r="E62" s="8"/>
      <c r="F62" s="8"/>
      <c r="G62" s="10"/>
      <c r="H62" s="39" t="s">
        <v>76</v>
      </c>
      <c r="I62" s="14"/>
      <c r="J62" s="14"/>
      <c r="K62" s="15"/>
      <c r="L62" s="40">
        <v>2</v>
      </c>
      <c r="M62" s="10"/>
      <c r="N62" s="5"/>
    </row>
    <row r="63" spans="1:14" ht="15.5" x14ac:dyDescent="0.35">
      <c r="A63" s="38" t="s">
        <v>77</v>
      </c>
      <c r="B63" s="23" t="s">
        <v>78</v>
      </c>
      <c r="C63" s="8"/>
      <c r="D63" s="8"/>
      <c r="E63" s="8"/>
      <c r="F63" s="8"/>
      <c r="G63" s="10"/>
      <c r="H63" s="25"/>
      <c r="I63" s="2"/>
      <c r="J63" s="2"/>
      <c r="K63" s="26"/>
      <c r="L63" s="40">
        <v>2</v>
      </c>
      <c r="M63" s="10"/>
      <c r="N63" s="5"/>
    </row>
    <row r="64" spans="1:14" ht="15.5" x14ac:dyDescent="0.35">
      <c r="A64" s="38" t="s">
        <v>79</v>
      </c>
      <c r="B64" s="23" t="s">
        <v>80</v>
      </c>
      <c r="C64" s="8"/>
      <c r="D64" s="8"/>
      <c r="E64" s="8"/>
      <c r="F64" s="8"/>
      <c r="G64" s="10"/>
      <c r="H64" s="25"/>
      <c r="I64" s="2"/>
      <c r="J64" s="2"/>
      <c r="K64" s="26"/>
      <c r="L64" s="40">
        <v>2</v>
      </c>
      <c r="M64" s="10"/>
      <c r="N64" s="5"/>
    </row>
    <row r="65" spans="1:14" ht="15.5" x14ac:dyDescent="0.35">
      <c r="A65" s="38" t="s">
        <v>81</v>
      </c>
      <c r="B65" s="23" t="s">
        <v>82</v>
      </c>
      <c r="C65" s="8"/>
      <c r="D65" s="8"/>
      <c r="E65" s="8"/>
      <c r="F65" s="8"/>
      <c r="G65" s="10"/>
      <c r="H65" s="25"/>
      <c r="I65" s="2"/>
      <c r="J65" s="2"/>
      <c r="K65" s="26"/>
      <c r="L65" s="40">
        <v>2</v>
      </c>
      <c r="M65" s="10"/>
      <c r="N65" s="5"/>
    </row>
    <row r="66" spans="1:14" ht="15.5" x14ac:dyDescent="0.35">
      <c r="A66" s="38" t="s">
        <v>83</v>
      </c>
      <c r="B66" s="23" t="s">
        <v>84</v>
      </c>
      <c r="C66" s="8"/>
      <c r="D66" s="8"/>
      <c r="E66" s="8"/>
      <c r="F66" s="8"/>
      <c r="G66" s="10"/>
      <c r="H66" s="25"/>
      <c r="I66" s="2"/>
      <c r="J66" s="2"/>
      <c r="K66" s="26"/>
      <c r="L66" s="40">
        <v>2</v>
      </c>
      <c r="M66" s="10"/>
      <c r="N66" s="5"/>
    </row>
    <row r="67" spans="1:14" ht="15.5" x14ac:dyDescent="0.35">
      <c r="A67" s="38" t="s">
        <v>85</v>
      </c>
      <c r="B67" s="23" t="s">
        <v>86</v>
      </c>
      <c r="C67" s="8"/>
      <c r="D67" s="8"/>
      <c r="E67" s="8"/>
      <c r="F67" s="8"/>
      <c r="G67" s="10"/>
      <c r="H67" s="25"/>
      <c r="I67" s="2"/>
      <c r="J67" s="2"/>
      <c r="K67" s="26"/>
      <c r="L67" s="40">
        <v>2</v>
      </c>
      <c r="M67" s="10"/>
      <c r="N67" s="5"/>
    </row>
    <row r="68" spans="1:14" ht="15.5" x14ac:dyDescent="0.35">
      <c r="A68" s="38" t="s">
        <v>87</v>
      </c>
      <c r="B68" s="23" t="s">
        <v>88</v>
      </c>
      <c r="C68" s="8"/>
      <c r="D68" s="8"/>
      <c r="E68" s="8"/>
      <c r="F68" s="8"/>
      <c r="G68" s="10"/>
      <c r="H68" s="25"/>
      <c r="I68" s="2"/>
      <c r="J68" s="2"/>
      <c r="K68" s="26"/>
      <c r="L68" s="40">
        <v>2</v>
      </c>
      <c r="M68" s="10"/>
      <c r="N68" s="5"/>
    </row>
    <row r="69" spans="1:14" ht="15.5" x14ac:dyDescent="0.35">
      <c r="A69" s="38" t="s">
        <v>89</v>
      </c>
      <c r="B69" s="23" t="s">
        <v>90</v>
      </c>
      <c r="C69" s="8"/>
      <c r="D69" s="8"/>
      <c r="E69" s="8"/>
      <c r="F69" s="8"/>
      <c r="G69" s="10"/>
      <c r="H69" s="25"/>
      <c r="I69" s="2"/>
      <c r="J69" s="2"/>
      <c r="K69" s="26"/>
      <c r="L69" s="40">
        <v>2</v>
      </c>
      <c r="M69" s="10"/>
      <c r="N69" s="5"/>
    </row>
    <row r="70" spans="1:14" ht="15.5" x14ac:dyDescent="0.35">
      <c r="A70" s="38" t="s">
        <v>91</v>
      </c>
      <c r="B70" s="23" t="s">
        <v>92</v>
      </c>
      <c r="C70" s="8"/>
      <c r="D70" s="8"/>
      <c r="E70" s="8"/>
      <c r="F70" s="8"/>
      <c r="G70" s="10"/>
      <c r="H70" s="25"/>
      <c r="I70" s="2"/>
      <c r="J70" s="2"/>
      <c r="K70" s="26"/>
      <c r="L70" s="40">
        <v>2</v>
      </c>
      <c r="M70" s="10"/>
      <c r="N70" s="5"/>
    </row>
    <row r="71" spans="1:14" ht="15.5" x14ac:dyDescent="0.35">
      <c r="A71" s="38" t="s">
        <v>93</v>
      </c>
      <c r="B71" s="23" t="s">
        <v>94</v>
      </c>
      <c r="C71" s="8"/>
      <c r="D71" s="8"/>
      <c r="E71" s="8"/>
      <c r="F71" s="8"/>
      <c r="G71" s="10"/>
      <c r="H71" s="25"/>
      <c r="I71" s="2"/>
      <c r="J71" s="2"/>
      <c r="K71" s="26"/>
      <c r="L71" s="40">
        <v>2</v>
      </c>
      <c r="M71" s="10"/>
      <c r="N71" s="5"/>
    </row>
    <row r="72" spans="1:14" ht="15.5" x14ac:dyDescent="0.35">
      <c r="A72" s="38" t="s">
        <v>95</v>
      </c>
      <c r="B72" s="23" t="s">
        <v>96</v>
      </c>
      <c r="C72" s="8"/>
      <c r="D72" s="8"/>
      <c r="E72" s="8"/>
      <c r="F72" s="8"/>
      <c r="G72" s="10"/>
      <c r="H72" s="25"/>
      <c r="I72" s="2"/>
      <c r="J72" s="2"/>
      <c r="K72" s="26"/>
      <c r="L72" s="40">
        <v>2</v>
      </c>
      <c r="M72" s="10"/>
      <c r="N72" s="5"/>
    </row>
    <row r="73" spans="1:14" ht="15.5" x14ac:dyDescent="0.35">
      <c r="A73" s="38" t="s">
        <v>97</v>
      </c>
      <c r="B73" s="23" t="s">
        <v>98</v>
      </c>
      <c r="C73" s="8"/>
      <c r="D73" s="8"/>
      <c r="E73" s="8"/>
      <c r="F73" s="8"/>
      <c r="G73" s="10"/>
      <c r="H73" s="25"/>
      <c r="I73" s="2"/>
      <c r="J73" s="2"/>
      <c r="K73" s="26"/>
      <c r="L73" s="40">
        <v>2</v>
      </c>
      <c r="M73" s="10"/>
      <c r="N73" s="5"/>
    </row>
    <row r="74" spans="1:14" ht="15.5" x14ac:dyDescent="0.35">
      <c r="A74" s="38" t="s">
        <v>99</v>
      </c>
      <c r="B74" s="23" t="s">
        <v>100</v>
      </c>
      <c r="C74" s="8"/>
      <c r="D74" s="8"/>
      <c r="E74" s="8"/>
      <c r="F74" s="8"/>
      <c r="G74" s="10"/>
      <c r="H74" s="25"/>
      <c r="I74" s="2"/>
      <c r="J74" s="2"/>
      <c r="K74" s="26"/>
      <c r="L74" s="40">
        <v>2</v>
      </c>
      <c r="M74" s="10"/>
      <c r="N74" s="5"/>
    </row>
    <row r="75" spans="1:14" ht="15.5" x14ac:dyDescent="0.35">
      <c r="A75" s="38" t="s">
        <v>101</v>
      </c>
      <c r="B75" s="23" t="s">
        <v>102</v>
      </c>
      <c r="C75" s="8"/>
      <c r="D75" s="8"/>
      <c r="E75" s="8"/>
      <c r="F75" s="8"/>
      <c r="G75" s="10"/>
      <c r="H75" s="24"/>
      <c r="I75" s="18"/>
      <c r="J75" s="18"/>
      <c r="K75" s="19"/>
      <c r="L75" s="40">
        <v>2</v>
      </c>
      <c r="M75" s="10"/>
      <c r="N75" s="5"/>
    </row>
    <row r="76" spans="1:14" ht="93.75" customHeight="1" x14ac:dyDescent="0.35">
      <c r="A76" s="36" t="s">
        <v>103</v>
      </c>
      <c r="B76" s="8"/>
      <c r="C76" s="8"/>
      <c r="D76" s="8"/>
      <c r="E76" s="8"/>
      <c r="F76" s="8"/>
      <c r="G76" s="8"/>
      <c r="H76" s="8"/>
      <c r="I76" s="8"/>
      <c r="J76" s="8"/>
      <c r="K76" s="8"/>
      <c r="L76" s="8"/>
      <c r="M76" s="10"/>
      <c r="N76" s="5"/>
    </row>
    <row r="77" spans="1:14" ht="24.75" hidden="1" customHeight="1" x14ac:dyDescent="0.35">
      <c r="A77" s="37" t="s">
        <v>104</v>
      </c>
      <c r="B77" s="8"/>
      <c r="C77" s="8"/>
      <c r="D77" s="8"/>
      <c r="E77" s="8"/>
      <c r="F77" s="8"/>
      <c r="G77" s="10"/>
      <c r="H77" s="37" t="s">
        <v>105</v>
      </c>
      <c r="I77" s="8"/>
      <c r="J77" s="8"/>
      <c r="K77" s="10"/>
      <c r="L77" s="37" t="s">
        <v>73</v>
      </c>
      <c r="M77" s="10"/>
      <c r="N77" s="30"/>
    </row>
    <row r="78" spans="1:14" ht="15.5" hidden="1" x14ac:dyDescent="0.35">
      <c r="A78" s="38" t="s">
        <v>74</v>
      </c>
      <c r="B78" s="23"/>
      <c r="C78" s="8"/>
      <c r="D78" s="8"/>
      <c r="E78" s="8"/>
      <c r="F78" s="8"/>
      <c r="G78" s="10"/>
      <c r="H78" s="39"/>
      <c r="I78" s="14"/>
      <c r="J78" s="14"/>
      <c r="K78" s="15"/>
      <c r="L78" s="23"/>
      <c r="M78" s="10"/>
      <c r="N78" s="5"/>
    </row>
    <row r="79" spans="1:14" ht="15.5" hidden="1" x14ac:dyDescent="0.35">
      <c r="A79" s="38" t="s">
        <v>77</v>
      </c>
      <c r="B79" s="23"/>
      <c r="C79" s="8"/>
      <c r="D79" s="8"/>
      <c r="E79" s="8"/>
      <c r="F79" s="8"/>
      <c r="G79" s="10"/>
      <c r="H79" s="25"/>
      <c r="I79" s="2"/>
      <c r="J79" s="2"/>
      <c r="K79" s="26"/>
      <c r="L79" s="23"/>
      <c r="M79" s="10"/>
      <c r="N79" s="5"/>
    </row>
    <row r="80" spans="1:14" ht="15.5" hidden="1" x14ac:dyDescent="0.35">
      <c r="A80" s="38" t="s">
        <v>79</v>
      </c>
      <c r="B80" s="23"/>
      <c r="C80" s="8"/>
      <c r="D80" s="8"/>
      <c r="E80" s="8"/>
      <c r="F80" s="8"/>
      <c r="G80" s="10"/>
      <c r="H80" s="25"/>
      <c r="I80" s="2"/>
      <c r="J80" s="2"/>
      <c r="K80" s="26"/>
      <c r="L80" s="23"/>
      <c r="M80" s="10"/>
      <c r="N80" s="5"/>
    </row>
    <row r="81" spans="1:14" ht="15.5" hidden="1" x14ac:dyDescent="0.35">
      <c r="A81" s="38" t="s">
        <v>81</v>
      </c>
      <c r="B81" s="23"/>
      <c r="C81" s="8"/>
      <c r="D81" s="8"/>
      <c r="E81" s="8"/>
      <c r="F81" s="8"/>
      <c r="G81" s="10"/>
      <c r="H81" s="25"/>
      <c r="I81" s="2"/>
      <c r="J81" s="2"/>
      <c r="K81" s="26"/>
      <c r="L81" s="23"/>
      <c r="M81" s="10"/>
      <c r="N81" s="5"/>
    </row>
    <row r="82" spans="1:14" ht="15.5" hidden="1" x14ac:dyDescent="0.35">
      <c r="A82" s="38" t="s">
        <v>83</v>
      </c>
      <c r="B82" s="23"/>
      <c r="C82" s="8"/>
      <c r="D82" s="8"/>
      <c r="E82" s="8"/>
      <c r="F82" s="8"/>
      <c r="G82" s="10"/>
      <c r="H82" s="25"/>
      <c r="I82" s="2"/>
      <c r="J82" s="2"/>
      <c r="K82" s="26"/>
      <c r="L82" s="23"/>
      <c r="M82" s="10"/>
      <c r="N82" s="5"/>
    </row>
    <row r="83" spans="1:14" ht="15.5" hidden="1" x14ac:dyDescent="0.35">
      <c r="A83" s="38" t="s">
        <v>85</v>
      </c>
      <c r="B83" s="23"/>
      <c r="C83" s="8"/>
      <c r="D83" s="8"/>
      <c r="E83" s="8"/>
      <c r="F83" s="8"/>
      <c r="G83" s="10"/>
      <c r="H83" s="25"/>
      <c r="I83" s="2"/>
      <c r="J83" s="2"/>
      <c r="K83" s="26"/>
      <c r="L83" s="23"/>
      <c r="M83" s="10"/>
      <c r="N83" s="5"/>
    </row>
    <row r="84" spans="1:14" ht="15.5" hidden="1" x14ac:dyDescent="0.35">
      <c r="A84" s="38" t="s">
        <v>87</v>
      </c>
      <c r="B84" s="23"/>
      <c r="C84" s="8"/>
      <c r="D84" s="8"/>
      <c r="E84" s="8"/>
      <c r="F84" s="8"/>
      <c r="G84" s="10"/>
      <c r="H84" s="25"/>
      <c r="I84" s="2"/>
      <c r="J84" s="2"/>
      <c r="K84" s="26"/>
      <c r="L84" s="23"/>
      <c r="M84" s="10"/>
      <c r="N84" s="5"/>
    </row>
    <row r="85" spans="1:14" ht="15.5" hidden="1" x14ac:dyDescent="0.35">
      <c r="A85" s="38" t="s">
        <v>89</v>
      </c>
      <c r="B85" s="23"/>
      <c r="C85" s="8"/>
      <c r="D85" s="8"/>
      <c r="E85" s="8"/>
      <c r="F85" s="8"/>
      <c r="G85" s="10"/>
      <c r="H85" s="25"/>
      <c r="I85" s="2"/>
      <c r="J85" s="2"/>
      <c r="K85" s="26"/>
      <c r="L85" s="23"/>
      <c r="M85" s="10"/>
      <c r="N85" s="5"/>
    </row>
    <row r="86" spans="1:14" ht="15.5" hidden="1" x14ac:dyDescent="0.35">
      <c r="A86" s="38" t="s">
        <v>91</v>
      </c>
      <c r="B86" s="23"/>
      <c r="C86" s="8"/>
      <c r="D86" s="8"/>
      <c r="E86" s="8"/>
      <c r="F86" s="8"/>
      <c r="G86" s="10"/>
      <c r="H86" s="25"/>
      <c r="I86" s="2"/>
      <c r="J86" s="2"/>
      <c r="K86" s="26"/>
      <c r="L86" s="23"/>
      <c r="M86" s="10"/>
      <c r="N86" s="5"/>
    </row>
    <row r="87" spans="1:14" ht="15.5" hidden="1" x14ac:dyDescent="0.35">
      <c r="A87" s="38" t="s">
        <v>93</v>
      </c>
      <c r="B87" s="23"/>
      <c r="C87" s="8"/>
      <c r="D87" s="8"/>
      <c r="E87" s="8"/>
      <c r="F87" s="8"/>
      <c r="G87" s="10"/>
      <c r="H87" s="25"/>
      <c r="I87" s="2"/>
      <c r="J87" s="2"/>
      <c r="K87" s="26"/>
      <c r="L87" s="23"/>
      <c r="M87" s="10"/>
      <c r="N87" s="5"/>
    </row>
    <row r="88" spans="1:14" ht="15.5" hidden="1" x14ac:dyDescent="0.35">
      <c r="A88" s="38" t="s">
        <v>95</v>
      </c>
      <c r="B88" s="23"/>
      <c r="C88" s="8"/>
      <c r="D88" s="8"/>
      <c r="E88" s="8"/>
      <c r="F88" s="8"/>
      <c r="G88" s="10"/>
      <c r="H88" s="25"/>
      <c r="I88" s="2"/>
      <c r="J88" s="2"/>
      <c r="K88" s="26"/>
      <c r="L88" s="23"/>
      <c r="M88" s="10"/>
      <c r="N88" s="5"/>
    </row>
    <row r="89" spans="1:14" ht="15.5" hidden="1" x14ac:dyDescent="0.35">
      <c r="A89" s="38" t="s">
        <v>97</v>
      </c>
      <c r="B89" s="23"/>
      <c r="C89" s="8"/>
      <c r="D89" s="8"/>
      <c r="E89" s="8"/>
      <c r="F89" s="8"/>
      <c r="G89" s="10"/>
      <c r="H89" s="25"/>
      <c r="I89" s="2"/>
      <c r="J89" s="2"/>
      <c r="K89" s="26"/>
      <c r="L89" s="23"/>
      <c r="M89" s="10"/>
      <c r="N89" s="5"/>
    </row>
    <row r="90" spans="1:14" ht="15.5" hidden="1" x14ac:dyDescent="0.35">
      <c r="A90" s="38" t="s">
        <v>99</v>
      </c>
      <c r="B90" s="23"/>
      <c r="C90" s="8"/>
      <c r="D90" s="8"/>
      <c r="E90" s="8"/>
      <c r="F90" s="8"/>
      <c r="G90" s="10"/>
      <c r="H90" s="25"/>
      <c r="I90" s="2"/>
      <c r="J90" s="2"/>
      <c r="K90" s="26"/>
      <c r="L90" s="23"/>
      <c r="M90" s="10"/>
      <c r="N90" s="5"/>
    </row>
    <row r="91" spans="1:14" ht="15.5" hidden="1" x14ac:dyDescent="0.35">
      <c r="A91" s="38" t="s">
        <v>101</v>
      </c>
      <c r="B91" s="23"/>
      <c r="C91" s="8"/>
      <c r="D91" s="8"/>
      <c r="E91" s="8"/>
      <c r="F91" s="8"/>
      <c r="G91" s="10"/>
      <c r="H91" s="24"/>
      <c r="I91" s="18"/>
      <c r="J91" s="18"/>
      <c r="K91" s="19"/>
      <c r="L91" s="23"/>
      <c r="M91" s="10"/>
      <c r="N91" s="5"/>
    </row>
    <row r="92" spans="1:14" ht="24" customHeight="1" x14ac:dyDescent="0.35">
      <c r="A92" s="37" t="s">
        <v>106</v>
      </c>
      <c r="B92" s="8"/>
      <c r="C92" s="8"/>
      <c r="D92" s="8"/>
      <c r="E92" s="8"/>
      <c r="F92" s="8"/>
      <c r="G92" s="10"/>
      <c r="H92" s="37" t="s">
        <v>105</v>
      </c>
      <c r="I92" s="8"/>
      <c r="J92" s="8"/>
      <c r="K92" s="10"/>
      <c r="L92" s="37" t="s">
        <v>73</v>
      </c>
      <c r="M92" s="10"/>
      <c r="N92" s="30"/>
    </row>
    <row r="93" spans="1:14" ht="15.5" x14ac:dyDescent="0.35">
      <c r="A93" s="38" t="s">
        <v>74</v>
      </c>
      <c r="B93" s="23" t="s">
        <v>107</v>
      </c>
      <c r="C93" s="8"/>
      <c r="D93" s="8"/>
      <c r="E93" s="8"/>
      <c r="F93" s="8"/>
      <c r="G93" s="10"/>
      <c r="H93" s="39" t="s">
        <v>108</v>
      </c>
      <c r="I93" s="14"/>
      <c r="J93" s="14"/>
      <c r="K93" s="15"/>
      <c r="L93" s="40">
        <v>3</v>
      </c>
      <c r="M93" s="10"/>
      <c r="N93" s="5"/>
    </row>
    <row r="94" spans="1:14" ht="15.5" x14ac:dyDescent="0.35">
      <c r="A94" s="38" t="s">
        <v>77</v>
      </c>
      <c r="B94" s="23" t="s">
        <v>109</v>
      </c>
      <c r="C94" s="8"/>
      <c r="D94" s="8"/>
      <c r="E94" s="8"/>
      <c r="F94" s="8"/>
      <c r="G94" s="10"/>
      <c r="H94" s="25"/>
      <c r="I94" s="2"/>
      <c r="J94" s="2"/>
      <c r="K94" s="26"/>
      <c r="L94" s="40">
        <v>3</v>
      </c>
      <c r="M94" s="10"/>
      <c r="N94" s="5"/>
    </row>
    <row r="95" spans="1:14" ht="15.5" x14ac:dyDescent="0.35">
      <c r="A95" s="38" t="s">
        <v>79</v>
      </c>
      <c r="B95" s="23" t="s">
        <v>110</v>
      </c>
      <c r="C95" s="8"/>
      <c r="D95" s="8"/>
      <c r="E95" s="8"/>
      <c r="F95" s="8"/>
      <c r="G95" s="10"/>
      <c r="H95" s="25"/>
      <c r="I95" s="2"/>
      <c r="J95" s="2"/>
      <c r="K95" s="26"/>
      <c r="L95" s="40">
        <v>3</v>
      </c>
      <c r="M95" s="10"/>
      <c r="N95" s="5"/>
    </row>
    <row r="96" spans="1:14" ht="15.5" x14ac:dyDescent="0.35">
      <c r="A96" s="38" t="s">
        <v>81</v>
      </c>
      <c r="B96" s="23" t="s">
        <v>111</v>
      </c>
      <c r="C96" s="8"/>
      <c r="D96" s="8"/>
      <c r="E96" s="8"/>
      <c r="F96" s="8"/>
      <c r="G96" s="10"/>
      <c r="H96" s="25"/>
      <c r="I96" s="2"/>
      <c r="J96" s="2"/>
      <c r="K96" s="26"/>
      <c r="L96" s="40">
        <v>3</v>
      </c>
      <c r="M96" s="10"/>
      <c r="N96" s="5"/>
    </row>
    <row r="97" spans="1:14" ht="15.5" x14ac:dyDescent="0.35">
      <c r="A97" s="38" t="s">
        <v>83</v>
      </c>
      <c r="B97" s="23" t="s">
        <v>112</v>
      </c>
      <c r="C97" s="8"/>
      <c r="D97" s="8"/>
      <c r="E97" s="8"/>
      <c r="F97" s="8"/>
      <c r="G97" s="10"/>
      <c r="H97" s="25"/>
      <c r="I97" s="2"/>
      <c r="J97" s="2"/>
      <c r="K97" s="26"/>
      <c r="L97" s="40">
        <v>3</v>
      </c>
      <c r="M97" s="10"/>
      <c r="N97" s="5"/>
    </row>
    <row r="98" spans="1:14" ht="15.5" x14ac:dyDescent="0.35">
      <c r="A98" s="38" t="s">
        <v>85</v>
      </c>
      <c r="B98" s="23" t="s">
        <v>113</v>
      </c>
      <c r="C98" s="8"/>
      <c r="D98" s="8"/>
      <c r="E98" s="8"/>
      <c r="F98" s="8"/>
      <c r="G98" s="10"/>
      <c r="H98" s="25"/>
      <c r="I98" s="2"/>
      <c r="J98" s="2"/>
      <c r="K98" s="26"/>
      <c r="L98" s="40">
        <v>3</v>
      </c>
      <c r="M98" s="10"/>
      <c r="N98" s="5"/>
    </row>
    <row r="99" spans="1:14" ht="15.5" x14ac:dyDescent="0.35">
      <c r="A99" s="38" t="s">
        <v>87</v>
      </c>
      <c r="B99" s="23" t="s">
        <v>114</v>
      </c>
      <c r="C99" s="8"/>
      <c r="D99" s="8"/>
      <c r="E99" s="8"/>
      <c r="F99" s="8"/>
      <c r="G99" s="10"/>
      <c r="H99" s="25"/>
      <c r="I99" s="2"/>
      <c r="J99" s="2"/>
      <c r="K99" s="26"/>
      <c r="L99" s="40">
        <v>3</v>
      </c>
      <c r="M99" s="10"/>
      <c r="N99" s="5"/>
    </row>
    <row r="100" spans="1:14" ht="15.5" x14ac:dyDescent="0.35">
      <c r="A100" s="38" t="s">
        <v>89</v>
      </c>
      <c r="B100" s="23" t="s">
        <v>115</v>
      </c>
      <c r="C100" s="8"/>
      <c r="D100" s="8"/>
      <c r="E100" s="8"/>
      <c r="F100" s="8"/>
      <c r="G100" s="10"/>
      <c r="H100" s="25"/>
      <c r="I100" s="2"/>
      <c r="J100" s="2"/>
      <c r="K100" s="26"/>
      <c r="L100" s="40">
        <v>3</v>
      </c>
      <c r="M100" s="10"/>
      <c r="N100" s="5"/>
    </row>
    <row r="101" spans="1:14" ht="15.5" x14ac:dyDescent="0.35">
      <c r="A101" s="38" t="s">
        <v>91</v>
      </c>
      <c r="B101" s="23" t="s">
        <v>116</v>
      </c>
      <c r="C101" s="8"/>
      <c r="D101" s="8"/>
      <c r="E101" s="8"/>
      <c r="F101" s="8"/>
      <c r="G101" s="10"/>
      <c r="H101" s="25"/>
      <c r="I101" s="2"/>
      <c r="J101" s="2"/>
      <c r="K101" s="26"/>
      <c r="L101" s="40">
        <v>3</v>
      </c>
      <c r="M101" s="10"/>
      <c r="N101" s="5"/>
    </row>
    <row r="102" spans="1:14" ht="15.5" x14ac:dyDescent="0.35">
      <c r="A102" s="38" t="s">
        <v>93</v>
      </c>
      <c r="B102" s="23" t="s">
        <v>117</v>
      </c>
      <c r="C102" s="8"/>
      <c r="D102" s="8"/>
      <c r="E102" s="8"/>
      <c r="F102" s="8"/>
      <c r="G102" s="10"/>
      <c r="H102" s="25"/>
      <c r="I102" s="2"/>
      <c r="J102" s="2"/>
      <c r="K102" s="26"/>
      <c r="L102" s="40">
        <v>3</v>
      </c>
      <c r="M102" s="10"/>
      <c r="N102" s="5"/>
    </row>
    <row r="103" spans="1:14" ht="15.5" x14ac:dyDescent="0.35">
      <c r="A103" s="38" t="s">
        <v>95</v>
      </c>
      <c r="B103" s="23" t="s">
        <v>118</v>
      </c>
      <c r="C103" s="8"/>
      <c r="D103" s="8"/>
      <c r="E103" s="8"/>
      <c r="F103" s="8"/>
      <c r="G103" s="10"/>
      <c r="H103" s="25"/>
      <c r="I103" s="2"/>
      <c r="J103" s="2"/>
      <c r="K103" s="26"/>
      <c r="L103" s="40">
        <v>3</v>
      </c>
      <c r="M103" s="10"/>
      <c r="N103" s="5"/>
    </row>
    <row r="104" spans="1:14" ht="15.5" x14ac:dyDescent="0.35">
      <c r="A104" s="38" t="s">
        <v>97</v>
      </c>
      <c r="B104" s="23" t="s">
        <v>119</v>
      </c>
      <c r="C104" s="8"/>
      <c r="D104" s="8"/>
      <c r="E104" s="8"/>
      <c r="F104" s="8"/>
      <c r="G104" s="10"/>
      <c r="H104" s="25"/>
      <c r="I104" s="2"/>
      <c r="J104" s="2"/>
      <c r="K104" s="26"/>
      <c r="L104" s="40">
        <v>3</v>
      </c>
      <c r="M104" s="10"/>
      <c r="N104" s="5"/>
    </row>
    <row r="105" spans="1:14" ht="15.5" x14ac:dyDescent="0.35">
      <c r="A105" s="38" t="s">
        <v>99</v>
      </c>
      <c r="B105" s="23" t="s">
        <v>120</v>
      </c>
      <c r="C105" s="8"/>
      <c r="D105" s="8"/>
      <c r="E105" s="8"/>
      <c r="F105" s="8"/>
      <c r="G105" s="10"/>
      <c r="H105" s="25"/>
      <c r="I105" s="2"/>
      <c r="J105" s="2"/>
      <c r="K105" s="26"/>
      <c r="L105" s="40">
        <v>3</v>
      </c>
      <c r="M105" s="10"/>
      <c r="N105" s="5"/>
    </row>
    <row r="106" spans="1:14" ht="15.5" x14ac:dyDescent="0.35">
      <c r="A106" s="38" t="s">
        <v>101</v>
      </c>
      <c r="B106" s="23" t="s">
        <v>121</v>
      </c>
      <c r="C106" s="8"/>
      <c r="D106" s="8"/>
      <c r="E106" s="8"/>
      <c r="F106" s="8"/>
      <c r="G106" s="10"/>
      <c r="H106" s="24"/>
      <c r="I106" s="18"/>
      <c r="J106" s="18"/>
      <c r="K106" s="19"/>
      <c r="L106" s="40">
        <v>3</v>
      </c>
      <c r="M106" s="10"/>
      <c r="N106" s="5"/>
    </row>
    <row r="107" spans="1:14" ht="24" hidden="1" customHeight="1" x14ac:dyDescent="0.35">
      <c r="A107" s="37" t="s">
        <v>122</v>
      </c>
      <c r="B107" s="8"/>
      <c r="C107" s="8"/>
      <c r="D107" s="8"/>
      <c r="E107" s="8"/>
      <c r="F107" s="8"/>
      <c r="G107" s="10"/>
      <c r="H107" s="37" t="s">
        <v>105</v>
      </c>
      <c r="I107" s="8"/>
      <c r="J107" s="8"/>
      <c r="K107" s="10"/>
      <c r="L107" s="37" t="s">
        <v>73</v>
      </c>
      <c r="M107" s="10"/>
      <c r="N107" s="30"/>
    </row>
    <row r="108" spans="1:14" ht="15.5" hidden="1" x14ac:dyDescent="0.35">
      <c r="A108" s="38" t="s">
        <v>74</v>
      </c>
      <c r="B108" s="23"/>
      <c r="C108" s="8"/>
      <c r="D108" s="8"/>
      <c r="E108" s="8"/>
      <c r="F108" s="8"/>
      <c r="G108" s="10"/>
      <c r="H108" s="39"/>
      <c r="I108" s="14"/>
      <c r="J108" s="14"/>
      <c r="K108" s="15"/>
      <c r="L108" s="23"/>
      <c r="M108" s="10"/>
      <c r="N108" s="5"/>
    </row>
    <row r="109" spans="1:14" ht="15.5" hidden="1" x14ac:dyDescent="0.35">
      <c r="A109" s="38" t="s">
        <v>77</v>
      </c>
      <c r="B109" s="23"/>
      <c r="C109" s="8"/>
      <c r="D109" s="8"/>
      <c r="E109" s="8"/>
      <c r="F109" s="8"/>
      <c r="G109" s="10"/>
      <c r="H109" s="25"/>
      <c r="I109" s="2"/>
      <c r="J109" s="2"/>
      <c r="K109" s="26"/>
      <c r="L109" s="23"/>
      <c r="M109" s="10"/>
      <c r="N109" s="5"/>
    </row>
    <row r="110" spans="1:14" ht="15.5" hidden="1" x14ac:dyDescent="0.35">
      <c r="A110" s="38" t="s">
        <v>79</v>
      </c>
      <c r="B110" s="23"/>
      <c r="C110" s="8"/>
      <c r="D110" s="8"/>
      <c r="E110" s="8"/>
      <c r="F110" s="8"/>
      <c r="G110" s="10"/>
      <c r="H110" s="25"/>
      <c r="I110" s="2"/>
      <c r="J110" s="2"/>
      <c r="K110" s="26"/>
      <c r="L110" s="23"/>
      <c r="M110" s="10"/>
      <c r="N110" s="5"/>
    </row>
    <row r="111" spans="1:14" ht="15.5" hidden="1" x14ac:dyDescent="0.35">
      <c r="A111" s="38" t="s">
        <v>81</v>
      </c>
      <c r="B111" s="23"/>
      <c r="C111" s="8"/>
      <c r="D111" s="8"/>
      <c r="E111" s="8"/>
      <c r="F111" s="8"/>
      <c r="G111" s="10"/>
      <c r="H111" s="25"/>
      <c r="I111" s="2"/>
      <c r="J111" s="2"/>
      <c r="K111" s="26"/>
      <c r="L111" s="23"/>
      <c r="M111" s="10"/>
      <c r="N111" s="5"/>
    </row>
    <row r="112" spans="1:14" ht="15.5" hidden="1" x14ac:dyDescent="0.35">
      <c r="A112" s="38" t="s">
        <v>83</v>
      </c>
      <c r="B112" s="23"/>
      <c r="C112" s="8"/>
      <c r="D112" s="8"/>
      <c r="E112" s="8"/>
      <c r="F112" s="8"/>
      <c r="G112" s="10"/>
      <c r="H112" s="25"/>
      <c r="I112" s="2"/>
      <c r="J112" s="2"/>
      <c r="K112" s="26"/>
      <c r="L112" s="23"/>
      <c r="M112" s="10"/>
      <c r="N112" s="5"/>
    </row>
    <row r="113" spans="1:14" ht="15.5" hidden="1" x14ac:dyDescent="0.35">
      <c r="A113" s="38" t="s">
        <v>85</v>
      </c>
      <c r="B113" s="23"/>
      <c r="C113" s="8"/>
      <c r="D113" s="8"/>
      <c r="E113" s="8"/>
      <c r="F113" s="8"/>
      <c r="G113" s="10"/>
      <c r="H113" s="25"/>
      <c r="I113" s="2"/>
      <c r="J113" s="2"/>
      <c r="K113" s="26"/>
      <c r="L113" s="23"/>
      <c r="M113" s="10"/>
      <c r="N113" s="5"/>
    </row>
    <row r="114" spans="1:14" ht="15.5" hidden="1" x14ac:dyDescent="0.35">
      <c r="A114" s="38" t="s">
        <v>87</v>
      </c>
      <c r="B114" s="23"/>
      <c r="C114" s="8"/>
      <c r="D114" s="8"/>
      <c r="E114" s="8"/>
      <c r="F114" s="8"/>
      <c r="G114" s="10"/>
      <c r="H114" s="25"/>
      <c r="I114" s="2"/>
      <c r="J114" s="2"/>
      <c r="K114" s="26"/>
      <c r="L114" s="23"/>
      <c r="M114" s="10"/>
      <c r="N114" s="5"/>
    </row>
    <row r="115" spans="1:14" ht="15.5" hidden="1" x14ac:dyDescent="0.35">
      <c r="A115" s="38" t="s">
        <v>89</v>
      </c>
      <c r="B115" s="23"/>
      <c r="C115" s="8"/>
      <c r="D115" s="8"/>
      <c r="E115" s="8"/>
      <c r="F115" s="8"/>
      <c r="G115" s="10"/>
      <c r="H115" s="25"/>
      <c r="I115" s="2"/>
      <c r="J115" s="2"/>
      <c r="K115" s="26"/>
      <c r="L115" s="23"/>
      <c r="M115" s="10"/>
      <c r="N115" s="5"/>
    </row>
    <row r="116" spans="1:14" ht="15.5" hidden="1" x14ac:dyDescent="0.35">
      <c r="A116" s="38" t="s">
        <v>91</v>
      </c>
      <c r="B116" s="23"/>
      <c r="C116" s="8"/>
      <c r="D116" s="8"/>
      <c r="E116" s="8"/>
      <c r="F116" s="8"/>
      <c r="G116" s="10"/>
      <c r="H116" s="25"/>
      <c r="I116" s="2"/>
      <c r="J116" s="2"/>
      <c r="K116" s="26"/>
      <c r="L116" s="23"/>
      <c r="M116" s="10"/>
      <c r="N116" s="5"/>
    </row>
    <row r="117" spans="1:14" ht="15.5" hidden="1" x14ac:dyDescent="0.35">
      <c r="A117" s="38" t="s">
        <v>93</v>
      </c>
      <c r="B117" s="23"/>
      <c r="C117" s="8"/>
      <c r="D117" s="8"/>
      <c r="E117" s="8"/>
      <c r="F117" s="8"/>
      <c r="G117" s="10"/>
      <c r="H117" s="25"/>
      <c r="I117" s="2"/>
      <c r="J117" s="2"/>
      <c r="K117" s="26"/>
      <c r="L117" s="23"/>
      <c r="M117" s="10"/>
      <c r="N117" s="5"/>
    </row>
    <row r="118" spans="1:14" ht="15.5" hidden="1" x14ac:dyDescent="0.35">
      <c r="A118" s="38" t="s">
        <v>95</v>
      </c>
      <c r="B118" s="23"/>
      <c r="C118" s="8"/>
      <c r="D118" s="8"/>
      <c r="E118" s="8"/>
      <c r="F118" s="8"/>
      <c r="G118" s="10"/>
      <c r="H118" s="25"/>
      <c r="I118" s="2"/>
      <c r="J118" s="2"/>
      <c r="K118" s="26"/>
      <c r="L118" s="23"/>
      <c r="M118" s="10"/>
      <c r="N118" s="5"/>
    </row>
    <row r="119" spans="1:14" ht="15.5" hidden="1" x14ac:dyDescent="0.35">
      <c r="A119" s="38" t="s">
        <v>97</v>
      </c>
      <c r="B119" s="23"/>
      <c r="C119" s="8"/>
      <c r="D119" s="8"/>
      <c r="E119" s="8"/>
      <c r="F119" s="8"/>
      <c r="G119" s="10"/>
      <c r="H119" s="25"/>
      <c r="I119" s="2"/>
      <c r="J119" s="2"/>
      <c r="K119" s="26"/>
      <c r="L119" s="23"/>
      <c r="M119" s="10"/>
      <c r="N119" s="5"/>
    </row>
    <row r="120" spans="1:14" ht="15.5" hidden="1" x14ac:dyDescent="0.35">
      <c r="A120" s="38" t="s">
        <v>99</v>
      </c>
      <c r="B120" s="23"/>
      <c r="C120" s="8"/>
      <c r="D120" s="8"/>
      <c r="E120" s="8"/>
      <c r="F120" s="8"/>
      <c r="G120" s="10"/>
      <c r="H120" s="25"/>
      <c r="I120" s="2"/>
      <c r="J120" s="2"/>
      <c r="K120" s="26"/>
      <c r="L120" s="23"/>
      <c r="M120" s="10"/>
      <c r="N120" s="5"/>
    </row>
    <row r="121" spans="1:14" ht="15.5" hidden="1" x14ac:dyDescent="0.35">
      <c r="A121" s="38" t="s">
        <v>101</v>
      </c>
      <c r="B121" s="23"/>
      <c r="C121" s="8"/>
      <c r="D121" s="8"/>
      <c r="E121" s="8"/>
      <c r="F121" s="8"/>
      <c r="G121" s="10"/>
      <c r="H121" s="24"/>
      <c r="I121" s="18"/>
      <c r="J121" s="18"/>
      <c r="K121" s="19"/>
      <c r="L121" s="23"/>
      <c r="M121" s="10"/>
      <c r="N121" s="5"/>
    </row>
    <row r="122" spans="1:14" ht="115.5" customHeight="1" x14ac:dyDescent="0.35">
      <c r="A122" s="23" t="s">
        <v>123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124</v>
      </c>
      <c r="B124" s="2"/>
      <c r="C124" s="2"/>
      <c r="D124" s="2"/>
      <c r="E124" s="2"/>
      <c r="F124" s="2"/>
      <c r="G124" s="2"/>
      <c r="H124" s="2"/>
      <c r="I124" s="2"/>
      <c r="J124" s="2"/>
      <c r="K124" s="2"/>
      <c r="L124" s="2"/>
      <c r="M124" s="2"/>
      <c r="N124" s="30"/>
    </row>
    <row r="125" spans="1:14" ht="46.5" x14ac:dyDescent="0.35">
      <c r="A125" s="41" t="s">
        <v>125</v>
      </c>
      <c r="B125" s="42" t="s">
        <v>126</v>
      </c>
      <c r="C125" s="8"/>
      <c r="D125" s="8"/>
      <c r="E125" s="8"/>
      <c r="F125" s="8"/>
      <c r="G125" s="10"/>
      <c r="H125" s="42" t="s">
        <v>127</v>
      </c>
      <c r="I125" s="8"/>
      <c r="J125" s="8"/>
      <c r="K125" s="10"/>
      <c r="L125" s="43" t="s">
        <v>128</v>
      </c>
      <c r="M125" s="10"/>
      <c r="N125" s="5"/>
    </row>
    <row r="126" spans="1:14" ht="15.5" x14ac:dyDescent="0.35">
      <c r="A126" s="44" t="s">
        <v>129</v>
      </c>
      <c r="B126" s="45" t="s">
        <v>130</v>
      </c>
      <c r="C126" s="14"/>
      <c r="D126" s="14"/>
      <c r="E126" s="14"/>
      <c r="F126" s="14"/>
      <c r="G126" s="15"/>
      <c r="H126" s="46" t="s">
        <v>131</v>
      </c>
      <c r="I126" s="8"/>
      <c r="J126" s="8"/>
      <c r="K126" s="47"/>
      <c r="L126" s="48">
        <f>1-SUM(L129:M131)</f>
        <v>0.4</v>
      </c>
      <c r="M126" s="15"/>
      <c r="N126" s="5"/>
    </row>
    <row r="127" spans="1:14" ht="15.5" x14ac:dyDescent="0.35">
      <c r="A127" s="49"/>
      <c r="B127" s="25"/>
      <c r="C127" s="2"/>
      <c r="D127" s="2"/>
      <c r="E127" s="2"/>
      <c r="F127" s="2"/>
      <c r="G127" s="26"/>
      <c r="H127" s="50" t="s">
        <v>132</v>
      </c>
      <c r="I127" s="8"/>
      <c r="J127" s="8"/>
      <c r="K127" s="47" t="s">
        <v>133</v>
      </c>
      <c r="L127" s="25"/>
      <c r="M127" s="26"/>
      <c r="N127" s="5"/>
    </row>
    <row r="128" spans="1:14" ht="15.5" x14ac:dyDescent="0.35">
      <c r="A128" s="34"/>
      <c r="B128" s="24"/>
      <c r="C128" s="18"/>
      <c r="D128" s="18"/>
      <c r="E128" s="18"/>
      <c r="F128" s="18"/>
      <c r="G128" s="19"/>
      <c r="H128" s="50" t="s">
        <v>134</v>
      </c>
      <c r="I128" s="8"/>
      <c r="J128" s="8"/>
      <c r="K128" s="47" t="s">
        <v>135</v>
      </c>
      <c r="L128" s="24"/>
      <c r="M128" s="19"/>
      <c r="N128" s="5"/>
    </row>
    <row r="129" spans="1:14" ht="68.25" hidden="1" customHeight="1" x14ac:dyDescent="0.35">
      <c r="A129" s="41" t="s">
        <v>136</v>
      </c>
      <c r="B129" s="50" t="s">
        <v>137</v>
      </c>
      <c r="C129" s="8"/>
      <c r="D129" s="8"/>
      <c r="E129" s="8"/>
      <c r="F129" s="8"/>
      <c r="G129" s="10"/>
      <c r="H129" s="50"/>
      <c r="I129" s="8"/>
      <c r="J129" s="8"/>
      <c r="K129" s="10"/>
      <c r="L129" s="51"/>
      <c r="M129" s="10"/>
      <c r="N129" s="5"/>
    </row>
    <row r="130" spans="1:14" ht="46.5" x14ac:dyDescent="0.35">
      <c r="A130" s="41" t="s">
        <v>138</v>
      </c>
      <c r="B130" s="50" t="s">
        <v>139</v>
      </c>
      <c r="C130" s="8"/>
      <c r="D130" s="8"/>
      <c r="E130" s="8"/>
      <c r="F130" s="8"/>
      <c r="G130" s="10"/>
      <c r="H130" s="50" t="s">
        <v>140</v>
      </c>
      <c r="I130" s="8"/>
      <c r="J130" s="8"/>
      <c r="K130" s="10"/>
      <c r="L130" s="51">
        <v>0.6</v>
      </c>
      <c r="M130" s="10"/>
      <c r="N130" s="5"/>
    </row>
    <row r="131" spans="1:14" ht="31" hidden="1" x14ac:dyDescent="0.35">
      <c r="A131" s="41" t="s">
        <v>141</v>
      </c>
      <c r="B131" s="50" t="s">
        <v>142</v>
      </c>
      <c r="C131" s="8"/>
      <c r="D131" s="8"/>
      <c r="E131" s="8"/>
      <c r="F131" s="8"/>
      <c r="G131" s="10"/>
      <c r="H131" s="50"/>
      <c r="I131" s="8"/>
      <c r="J131" s="8"/>
      <c r="K131" s="10"/>
      <c r="L131" s="51"/>
      <c r="M131" s="10"/>
      <c r="N131" s="5"/>
    </row>
    <row r="132" spans="1:14" ht="15.5" x14ac:dyDescent="0.35">
      <c r="A132" s="42" t="s">
        <v>143</v>
      </c>
      <c r="B132" s="8"/>
      <c r="C132" s="8"/>
      <c r="D132" s="8"/>
      <c r="E132" s="8"/>
      <c r="F132" s="8"/>
      <c r="G132" s="8"/>
      <c r="H132" s="8"/>
      <c r="I132" s="8"/>
      <c r="J132" s="8"/>
      <c r="K132" s="8"/>
      <c r="L132" s="8"/>
      <c r="M132" s="10"/>
      <c r="N132" s="5"/>
    </row>
    <row r="133" spans="1:14" ht="15.5" x14ac:dyDescent="0.35">
      <c r="A133" s="52" t="s">
        <v>144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3" t="s">
        <v>145</v>
      </c>
      <c r="B135" s="10"/>
      <c r="C135" s="54">
        <v>45910</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3" t="s">
        <v>146</v>
      </c>
      <c r="B137" s="10"/>
      <c r="C137" s="9" t="str">
        <f>E15</f>
        <v>Paul-Corneliu Herghelegiu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5" t="s">
        <v>147</v>
      </c>
      <c r="B139" s="15"/>
      <c r="C139" s="9" t="str">
        <f t="shared" ref="C139:C141" si="0">E17</f>
        <v>Paul-Corneliu Herghelegiu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Codruț - Georgian Artene</v>
      </c>
      <c r="D140" s="8"/>
      <c r="E140" s="8"/>
      <c r="F140" s="8"/>
      <c r="G140" s="10"/>
      <c r="H140" s="9">
        <f t="shared" si="1"/>
        <v>0</v>
      </c>
      <c r="I140" s="8"/>
      <c r="J140" s="8"/>
      <c r="K140" s="8"/>
      <c r="L140" s="8"/>
      <c r="M140" s="10"/>
      <c r="N140" s="5"/>
    </row>
    <row r="141" spans="1:14" ht="32.25" customHeight="1" x14ac:dyDescent="0.35">
      <c r="A141" s="24"/>
      <c r="B141" s="19"/>
      <c r="C141" s="9" t="str">
        <f t="shared" si="0"/>
        <v>Delia - Elena Bărbuță</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3" t="s">
        <v>148</v>
      </c>
      <c r="B143" s="10"/>
      <c r="C143" s="56">
        <f>[1]Date!C25</f>
        <v>45915</v>
      </c>
      <c r="D143" s="10"/>
      <c r="E143" s="53" t="s">
        <v>149</v>
      </c>
      <c r="F143" s="8"/>
      <c r="G143" s="10"/>
      <c r="H143" s="57" t="str">
        <f>[1]Date!C27</f>
        <v>Conf.dr.ing. Mihai POSTOLACHE</v>
      </c>
      <c r="I143" s="8"/>
      <c r="J143" s="8"/>
      <c r="K143" s="8"/>
      <c r="L143" s="8"/>
      <c r="M143" s="10"/>
      <c r="N143" s="5"/>
    </row>
    <row r="144" spans="1:14" ht="21.75" customHeight="1" x14ac:dyDescent="0.35">
      <c r="A144" s="58"/>
      <c r="B144" s="58"/>
      <c r="C144" s="59"/>
      <c r="D144" s="59"/>
      <c r="E144" s="58"/>
      <c r="F144" s="58"/>
      <c r="G144" s="58"/>
      <c r="H144" s="59"/>
      <c r="I144" s="59"/>
      <c r="J144" s="59"/>
      <c r="K144" s="59"/>
      <c r="L144" s="59"/>
      <c r="M144" s="59"/>
      <c r="N144" s="5"/>
    </row>
    <row r="145" spans="1:14" ht="28.5" customHeight="1" x14ac:dyDescent="0.35">
      <c r="A145" s="53" t="s">
        <v>150</v>
      </c>
      <c r="B145" s="10"/>
      <c r="C145" s="56">
        <f>[1]Date!C26</f>
        <v>45918</v>
      </c>
      <c r="D145" s="10"/>
      <c r="E145" s="53" t="s">
        <v>151</v>
      </c>
      <c r="F145" s="8"/>
      <c r="G145" s="10"/>
      <c r="H145" s="57"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2026-03-01T09:03:09Z</dcterms:created>
  <dcterms:modified xsi:type="dcterms:W3CDTF">2026-03-01T09:03:18Z</dcterms:modified>
</cp:coreProperties>
</file>