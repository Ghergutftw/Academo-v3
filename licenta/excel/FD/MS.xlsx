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1C1ED651-D3CA-4D9D-9B00-CD2E5891D44D}" xr6:coauthVersionLast="47" xr6:coauthVersionMax="47" xr10:uidLastSave="{00000000-0000-0000-0000-000000000000}"/>
  <bookViews>
    <workbookView xWindow="-110" yWindow="-110" windowWidth="25820" windowHeight="15500" xr2:uid="{693E27C2-B629-45F1-B341-DBD8558727C1}"/>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E13" i="1" l="1" a="1"/>
  <c r="E13" i="1" s="1"/>
  <c r="G26" i="1" a="1"/>
  <c r="G26" i="1" s="1"/>
  <c r="G27" i="1" s="1"/>
  <c r="E14" i="1" a="1"/>
  <c r="E14" i="1" s="1"/>
  <c r="I26" i="1" a="1"/>
  <c r="I26" i="1" s="1"/>
  <c r="I27" i="1" s="1"/>
  <c r="M14" i="1" a="1"/>
  <c r="M14" i="1" s="1"/>
  <c r="K26" i="1" a="1"/>
  <c r="K26" i="1" s="1"/>
  <c r="K27" i="1" s="1"/>
  <c r="E23" i="1" a="1"/>
  <c r="E23" i="1" s="1"/>
  <c r="I23" i="1" a="1"/>
  <c r="I23" i="1" s="1"/>
  <c r="M23" i="1" a="1"/>
  <c r="M23" i="1" s="1"/>
  <c r="M32" i="1" a="1"/>
  <c r="M32" i="1" s="1"/>
  <c r="E26" i="1" a="1"/>
  <c r="E26" i="1" s="1"/>
  <c r="C34" i="1" a="1"/>
  <c r="C34" i="1" s="1"/>
  <c r="M33" i="1" s="1"/>
  <c r="C36" i="1" a="1"/>
  <c r="C3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E4DC3ABC-EB77-441F-8E5E-94CF40A79A54}">
      <text>
        <r>
          <rPr>
            <sz val="10"/>
            <color rgb="FF000000"/>
            <rFont val="Aptos Narrow"/>
            <scheme val="minor"/>
          </rPr>
          <t>Pondere din nota de la E / V</t>
        </r>
      </text>
    </comment>
    <comment ref="K127" authorId="0" shapeId="0" xr:uid="{376F3DE0-557F-4D18-9B3B-78BBFD6DD026}">
      <text>
        <r>
          <rPr>
            <sz val="10"/>
            <color rgb="FF000000"/>
            <rFont val="Aptos Narrow"/>
            <scheme val="minor"/>
          </rPr>
          <t>Pondere din nota de la E / V</t>
        </r>
      </text>
    </comment>
    <comment ref="K128" authorId="0" shapeId="0" xr:uid="{CF45BE98-04D3-4449-9C72-DA865F159FA9}">
      <text>
        <r>
          <rPr>
            <sz val="10"/>
            <color rgb="FF000000"/>
            <rFont val="Aptos Narrow"/>
            <scheme val="minor"/>
          </rPr>
          <t>Pondere din nota de la E / V</t>
        </r>
      </text>
    </comment>
  </commentList>
</comments>
</file>

<file path=xl/sharedStrings.xml><?xml version="1.0" encoding="utf-8"?>
<sst xmlns="http://schemas.openxmlformats.org/spreadsheetml/2006/main" count="232" uniqueCount="142">
  <si>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</si>
  <si>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</si>
  <si>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</si>
  <si>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</si>
  <si>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</si>
  <si>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</si>
  <si>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</si>
  <si>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</si>
  <si>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</si>
  <si>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</si>
  <si>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</si>
  <si>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</si>
  <si>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</si>
  <si>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Matematici speciale</t>
  </si>
  <si>
    <t>(în limba engleză, conform Suplimentului la diplomă)</t>
  </si>
  <si>
    <t>2.1.2. Codul disciplinei</t>
  </si>
  <si>
    <t xml:space="preserve">2.1.3. Categoria formativă </t>
  </si>
  <si>
    <t>2.2 Titularul / titularii activităţilor de curs</t>
  </si>
  <si>
    <t>lect. dr. mat. Grosu Gabriela</t>
  </si>
  <si>
    <t>2.3 Titularul / titularii activităţilor de aplicaţii (S, L, P, Pr)</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</si>
  <si>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</si>
  <si>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</si>
  <si>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</si>
  <si>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</si>
  <si>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</si>
  <si>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</si>
  <si>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</si>
  <si>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</si>
  <si>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</si>
  <si>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</si>
  <si>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</si>
  <si>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</si>
  <si>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</si>
  <si>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</si>
  <si>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</si>
  <si>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</si>
  <si>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</si>
  <si>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</si>
  <si>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</si>
  <si>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</si>
  <si>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</si>
  <si>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</si>
  <si>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</si>
  <si>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</si>
  <si>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</si>
  <si>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</si>
  <si>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</si>
  <si>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</si>
  <si>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</si>
  <si>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</si>
  <si>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</si>
  <si>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 Să cunoască noţiuni, enunţuri, algoritmi şi rezolvări de exerciţii din AIA101 - Algebră liniară şi geometrie analitică, AIA102 - Analiză matematică</t>
  </si>
  <si>
    <t>5. Condiţii</t>
  </si>
  <si>
    <t>5.1 de desfăşurare a cursului</t>
  </si>
  <si>
    <t>- Sală amfiteatru cu table magnetice, videoproiector, cameră video, tabletă, etc.</t>
  </si>
  <si>
    <t>5.2 de desfăşurare a seminarului / laboratorului / proiectului</t>
  </si>
  <si>
    <t xml:space="preserve">- Sală de seminar cu table magnetice, tablă interactivă, videoproiector, etc. </t>
  </si>
  <si>
    <t>6. Obiectivul general al disciplinei</t>
  </si>
  <si>
    <t>Cursul de Matematici Speciale îşi propune să dezvolte gândirea logică a studenţilor prin numeroasele noţiuni teoretice şi aplicaţii. La sfârşitul acestui curs, studenţii vor asimila şi vor fi capabili să utilizeze noţiunile fundamentale de Teoria Câmpurilor, Analiză Complexă, Transformate, Distribuţii precum şi proprietăţile acestora, atât la evaluarea finală cât şi la disciplinele de specialitate. Vor avea formate diverse deprinderi de calcul, îşi vor însuşi algoritmi şi tehnici specifice. Vor face legătura între noţiuni, proprietăţi şi interpretarea grafică a acestora.</t>
  </si>
  <si>
    <t>7. Rezultatele învățării</t>
  </si>
  <si>
    <t>Cunoștințe</t>
  </si>
  <si>
    <t>Studentul / Absolventul:</t>
  </si>
  <si>
    <t xml:space="preserve">- Identifică un câmp scalar şi suprafeţe de nivel corespunzătoare, exemplificând şi apelând la materiale didactice şi alte surse propuse; operează cu noţiunile de derivată după direcţie, gradient, interpretând geometric şi fizic. C1, S1
- Identifică un câmp vectorial şi linii de câmp, suprafeţe de câmp corespunzătoare, exemplificând şi apelând la materiale didactice şi alte surse propuse. C2, S2
- Operează cu noţiunile de circulaţie, divergenţă, rotor, interpretând geometric şi fizic. C3, S3
- Identifică şi diferenţiază numerele complexe în formele algebrică, trigonometrică, matriceală, exponenţială; operează cu adunarea şi înmulţirea numerelor complexe; recunoaşte interpretarea geometrică de mulţimi de numere complexe în planul complex; defineşte conceptele de spaţiu normat, spaţiu metric, spaţiu topologic de numere complexe şi cele de vecinătate  a unui număr complex,  sferă. Recunoaşte funcţiile complexe de o variabilă reală şi operează cu ele ca şi curbe în planul complex. C4, S4
- Defineşte noţiunile de limită, continuitate, monogeneitate, olomorfie pentru funcţii complexe de o variabilă complexă.  Aplică Teorema Cauchy - Riemann C5, S5
- Explică interpretările grafice 4D ale funcţiilor complexe elementare, ale noţiunilor de pol, punct singular esenţial, punct singular removabil. Recunoaşte funcţiile şi multifuncţiile elementare: polinomială, Radical de ordin n, exp, Log, sin, cos, sh, ch, tg, ctg, Arcsin, Arccos, Arctg, Arcctg. Cunoaşte formulele de definiţie şi operează cu adunare, înmulţire, derivare de funcţii elementare. C6, S6
- Defineşte conceptul de integrală curbilinie dintr-o funcţie complexă cu valori complexe şi recunoaşte interpretarea ei fizică drept lucru mecanic. Explică şi aplică Teoreme şi Formule Cauchy de calcul de integrale din funcţii definite pe domenii simplu conexe, respectiv multiplu conexe. C7, S7
- Recunoaşte o serie de puteri complexe, respectiv o serie Taylor definită pe un interior de cerc. Aplică definiţiile şi enunţurile teoretice pentru stabilirea naturii (convergentă, divergentă) şi sumei. Înţelege utilitatea noţiunii de serie comparat cu sumă finită pentru disciplinele de specialitate. Cunoaşte dezvoltarea Taylor a funcţiilor şi multifuncţiilor (pe o ramură olomorfă) elementare: polinomială, Radical de ordin n, exp, Log, sin, cos, sh, ch, tg. C8, S8
- Recunoaşte o serie Laurent definită pe un interior de coroană circulară. Aplică definiţiile şi enunţurile teoretice pentru stabilirea naturii (convergentă, divergentă) şi sumei. Foloseşte operaţii algebrice şi ale analizei complexe pentru dezvoltarea în serie Laurent a anumitor funcţii pe anumite domenii. C9, S9
- Înţelege noţiunea de reziduu şi aplică teorema de calcul pentru determinarea unui reziduu într-un punct singular.  Aplică teoremele reziduurilor şi semireziduurilor pentru calcul de integrale complexe. Aplică teoria reziduurilor pentru calcul de integrale improprii reale.  C10, S10
- Înţelege noţiunile de funcţie test; exemplifică utilitatea introducerii noţiunii de distribuţie din ecuaţii diferenţiale sau integro-diferenţiale ce modelează procese fizice. Operează cu adunarea distribuţiilor, înmulţirea unei distribuţii cu un scalar sau cu o funcţie cu regularitate. C11, S11
- Defineşte operaţiile de derivare şi de convolutare pentru distribuţii regulare, respectiv singulare. Cunoaşte proprietăţile operaţiilor. Calculează derivata unei distribuţii şi convoluţia a două distribuţii. C12, S12
- Înţelege conceptul de ecuaţie diferenţială în distribuţii liniară, cu coeficienţi constanţi. Cunoaşte enunţurile teoretice şi le aplică în a descrie algoritmul de rezolvare a unei ecuaţii. C13, S13
- Defineşte noţiunile de transformate. Interpretează teoremele legate de operaţii ale algebrei, respectiv analizei cu funcţii absolut integrabile, respectiv funcţii original. Calculează transformate, respectiv inversele lor. Aplică transformatele pentru rezolvarea de ecuaţii integrale şi integro-diferenţiale.  C14, S14
- Identifică forma generală a sistemelor de n ecuaţii diferenţiale de ordinul 1 liniare, cu coeficienţi constanţi, neomogene. Descrie şi aplică algoritmul de rezolvare, folosind atât metoda variaţiei constantelor, cât şi metoda coeficienţilor nedeterminaţi. Aplică în soluţia generală descoperită condiţiile iniţiale, pentru a rezolva problema Cauchy ataşată.
</t>
  </si>
  <si>
    <t>Aptitudini</t>
  </si>
  <si>
    <t>- Calculează operatorii diferenţiali derivată după direcţie, gradient, circulaţie, divergenţă, rotor  C1-C3, S1-S3
- Calculează valoarea unei funcţii / multifuncţii complexe într-un număr complex; derivata, integrala cu Teoreme Cauchy, respectiv Teoria Reziduurilor C4- C10, S4-S10 
- Aplică algoritmul de determinare a unei funcţii complexe când se cunoaşte partea ei reală, respectiv imaginară C5, S5
- Aplică algoritmul de determinare a unei integrale complexe cu teoria reziduurilor C10, S10
- Dezvoltă în serie Taylor, respectiv Laurent o funcţie complexă C8, C9, S8, S9
- Calculează derivata unei distribuţii şi convoluţia a două distribuţii convolutabile C11, C12, S11, S12
- Aplică algoritmul de rezolvare a unei ecuaţii diferenţiale în distribuţii C13, S13
- Aplică transformatele pentru rezolvarea de ecuaţii diferenţiale şi integrale C14, S14</t>
  </si>
  <si>
    <t>Responsabilitate și autonomie</t>
  </si>
  <si>
    <t>- Studiază individual reprezentarea grafică 4D a funcţiilor complexe C6, S6.
- Îşi însuşeşte limbajul legat de Teoria Câmpurilor, Analiza Complexă, Distribuţii şi Transformate necesar în ingineria hardware și software C1-C14, S1-S14.
- Urmărește cerinţele precizate ca necesare pentru abordarea examenelor parţial şi final C1-C14, S11-S14.
- Iese la tablă pentru rezolvarea exerciţiilor, se alătură unei echipe sau rezolvă individual solicitările în cadrul seminarului, intervine şi răspunde în cadrul activităţilor interactive C1-C14, S11-S14.
- Selectează și raportează surse de informaţii respectând criteriile etice și de confidențialitate în prelucrarea seturilor de informaţii C1-C14, S11-S14.
- Recunoaște importanța formării continue în domeniul Matematicilor Speciale și studiază critic metodele prezentate. C1-C14, S1- S14</t>
  </si>
  <si>
    <t xml:space="preserve">8. Metode de predare </t>
  </si>
  <si>
    <t>Metode de predare: presupunerea apriorică, feedback-ul, asumarea de către studenţi a obiectivelor învăţării (scopul), sprijinirea pe cunoştinţele anterioare (conform teoriei schemelor a lui Piaget), transferul de cunoaştere, metoda scaffolding (a schelelor).</t>
  </si>
  <si>
    <t>9. Conţinuturi</t>
  </si>
  <si>
    <t>9.1. Curs</t>
  </si>
  <si>
    <t>Metode de predare</t>
  </si>
  <si>
    <t>Timp alocat</t>
  </si>
  <si>
    <t>1</t>
  </si>
  <si>
    <t>Câmp scalar: suprafeţe de nivel, derivata după direcţie, gradient</t>
  </si>
  <si>
    <t xml:space="preserve">    În varianta onsite, cursul se predă sub formă de prelegeri, prin prezentarea orală şi scrisă (la tablă), precum şi cu videoproiector (a formatului electronic) a noţiunilor, exemplelor, enunţurilor şi demonstraţiilor schiţate de teoreme. Se vor menţiona iniţial modele matematice care conduc la noţiune, iar pe parcurs noţiunile vor  fi asociate cu ilustraţii grafice şi filmuleţe didactice de pe platforme matematice. În varianta online, se realizează o alternanţă între prezentarea formatului electronic fisier.pdf sau fisier.tex (cu realizare de grafice si aplicatii) şi prezentarea de aplicaţii pe tableta.  
    Conform conţinutului prezentat şi evoluţiei disciplinei, precum şi în concordanţă cu caracteristicile studenţilor şi cu cerinţele de calitate, noţiunile de Matematici Speciale se prezintă după următoarea secvenţă: scurtă introducere, bazată pe elemente intuitive (mai ales modele), definiţii, enunţuri de teoreme, exemple ilustrative, grafic,  unele legate de cursurile de specialitate şi actualizate în acest sens. Strategii de predare: presupunerea apriorică, feedback-ul, asumarea de către studenţi a obiectivelor învăţării (scopul), sprijinirea pe cunoştinţele anterioare (conform teoriei schemelor a lui Piaget), transferul de cunoaştere, metoda scaffolding (a schelelor).</t>
  </si>
  <si>
    <t xml:space="preserve">2 ore </t>
  </si>
  <si>
    <t>2</t>
  </si>
  <si>
    <t>Câmp vectorial: linii de câmp, suprafeţe de câmp</t>
  </si>
  <si>
    <t>3</t>
  </si>
  <si>
    <t>Câmp vectorial: circulaţie, flux, divergenţă, rotor</t>
  </si>
  <si>
    <t>2 ore</t>
  </si>
  <si>
    <t>4</t>
  </si>
  <si>
    <t>Mulţimea numerelor complexe: structura algebrică, structura topologică; Funcţii complexe de o variabilă reală</t>
  </si>
  <si>
    <t>5</t>
  </si>
  <si>
    <t>Funcţii complexe de o variabilă complexă: limită, continuitate, monogeneitate, olomorfie, Teorema Cauchy- Riemann</t>
  </si>
  <si>
    <t>6</t>
  </si>
  <si>
    <t>Puncte ordinare şi puncte singulare la distanţă finită, respectiv infinită; Funcţii complexe de o variabilă complexă elementare</t>
  </si>
  <si>
    <t>7</t>
  </si>
  <si>
    <t>Integrala curbilinie pentru o funcţie complexă de o variabilă complexă; Teoreme Cauchy</t>
  </si>
  <si>
    <t>8</t>
  </si>
  <si>
    <t>Seria geometrică in C; Serii Taylor</t>
  </si>
  <si>
    <t>9</t>
  </si>
  <si>
    <t>Serii Laurent</t>
  </si>
  <si>
    <t>10</t>
  </si>
  <si>
    <t>Teoria reziduurilor</t>
  </si>
  <si>
    <t>11</t>
  </si>
  <si>
    <t>Distribuţii: spaţiul funcţiilor test, definiţii, exemple (distribuţii regulare, distribuţii singulare-Dirac). Interpretări fizice, comentarii, funcţii generalizate</t>
  </si>
  <si>
    <t>12</t>
  </si>
  <si>
    <t>Operaţii cu distribuţii. Derivare, convolutare</t>
  </si>
  <si>
    <t>13</t>
  </si>
  <si>
    <t>Ecuaţii diferenţiale în distribuţii, cu coeficienţi constanţi</t>
  </si>
  <si>
    <t>14</t>
  </si>
  <si>
    <t>Transformate</t>
  </si>
  <si>
    <r>
      <rPr>
        <sz val="12"/>
        <rFont val="Arial"/>
      </rPr>
      <t xml:space="preserve">Bibliografie curs:
1. Resurse internet: </t>
    </r>
    <r>
      <rPr>
        <u/>
        <sz val="12"/>
        <color rgb="FF1155CC"/>
        <rFont val="Arial"/>
      </rPr>
      <t>http://math.etti.tuiasi.ro/ggrosu/</t>
    </r>
    <r>
      <rPr>
        <sz val="12"/>
        <rFont val="Arial"/>
      </rPr>
      <t xml:space="preserve">  şi materiale în format electronic disponibile pe moodle, email.
2. Physics Videos by Eugene Khutoryansky: </t>
    </r>
    <r>
      <rPr>
        <u/>
        <sz val="12"/>
        <color rgb="FF1155CC"/>
        <rFont val="Arial"/>
      </rPr>
      <t>https://www.youtube.com/user/EugeneKhutoryansky</t>
    </r>
    <r>
      <rPr>
        <sz val="12"/>
        <rFont val="Arial"/>
      </rPr>
      <t xml:space="preserve">  
3. 3Blue1Brown: </t>
    </r>
    <r>
      <rPr>
        <u/>
        <sz val="12"/>
        <color rgb="FF1155CC"/>
        <rFont val="Arial"/>
      </rPr>
      <t>https://www.youtube.com/c/3blue1brown</t>
    </r>
    <r>
      <rPr>
        <sz val="12"/>
        <rFont val="Arial"/>
      </rPr>
      <t xml:space="preserve">  
4. J. Stewart, Calculus, Brooks/Cole, 2011
5. J. Bird, Higher Engineering Mathematics, Elsevier, 2006
6. M. Attenborough, Mathematics for Electrical Engineering and Computing, Elsevier, 2003
7. B. Cox, Understanding Engineering Mathematics, Elsevier, 2001
8. M. Greenberg, Advanced Engineering Mathematics, Prentice Hall, 1998
9. V. Rudner, C. Nicolescu, Probleme de matematici speciale, Editura Didactică şi Pedagogică, Bucureşti, 1992
10. Dumitriu N., Matematici Speciale, Editura Matrix Rom, Bucureşti, 2002
11. Nistor S., Tofan I., Introducere în teoria funcţiilor complexe, Editura Univ. "Al. I. Cuza", Iaşi 1990.
12. Homentcovschi D., Funcţii complexe cu aplicaţii în ştiinţă şi tehnică, Editura Tehnică, Bucureşti, 1986
13. Mayer O., Teoria funcţiilor de o variabilă complexă, Editura Academiei, Bucureşti, 1981, 1990
14. R. Trandafir: Matematici superioare, Editura FACLA, Timişoara, 1976
</t>
    </r>
  </si>
  <si>
    <t>9.2a Seminar</t>
  </si>
  <si>
    <t>Metode de lucru</t>
  </si>
  <si>
    <t xml:space="preserve"> Aplicaţiile se desfăşoară în concordanţă cronologică şi de conţinut cu materialul prezentat în cadrul prelegerilor. 
  Conform conţinutului prezentat şi evoluţiei disciplinei, precum şi în concordanţă cu caracteristicile studenţilor şi cu cerinţele de calitate, seminariile se desfăşoară după următoarea secvenţă: prezentarea orală şi scrisă (la tablă), precum şi cu videoproiector a noţiunilor şi enunţurilor de teoreme, în colaborare cu studenţii, efectuarea corespunzătoare de exerciţii şi probleme la tablă. Vor fi inserate şi modele matematice / grafice, interpretări grafice prezentate cu videoproiectorul. 
   Strategii de predare-învăţare: pe lângă cele enumerate la curs, poate apărea metoda mozaicului (jigsaw method), instruirea mutuală (peer instruction), practica deliberată (deliberate practice).</t>
  </si>
  <si>
    <t>9.2b Laborator</t>
  </si>
  <si>
    <t>9.2c Proiect</t>
  </si>
  <si>
    <r>
      <rPr>
        <sz val="12"/>
        <rFont val="Arial"/>
      </rPr>
      <t xml:space="preserve">Bibliografie aplicaţii (seminar / laborator / proiect):
1. Resurse internet: </t>
    </r>
    <r>
      <rPr>
        <u/>
        <sz val="12"/>
        <color rgb="FF1155CC"/>
        <rFont val="Arial"/>
      </rPr>
      <t>http://math.etti.tuiasi.ro/ggrosu/</t>
    </r>
    <r>
      <rPr>
        <sz val="12"/>
        <rFont val="Arial"/>
      </rPr>
      <t xml:space="preserve">  şi materiale în format electronic disponibile pe moodle, email.
2. Physics Videos by Eugene Khutoryansky: </t>
    </r>
    <r>
      <rPr>
        <u/>
        <sz val="12"/>
        <color rgb="FF1155CC"/>
        <rFont val="Arial"/>
      </rPr>
      <t>https://www.youtube.com/user/EugeneKhutoryansky</t>
    </r>
    <r>
      <rPr>
        <sz val="12"/>
        <rFont val="Arial"/>
      </rPr>
      <t xml:space="preserve">  
3. 3Blue1Brown: </t>
    </r>
    <r>
      <rPr>
        <u/>
        <sz val="12"/>
        <color rgb="FF1155CC"/>
        <rFont val="Arial"/>
      </rPr>
      <t>https://www.youtube.com/c/3blue1brown</t>
    </r>
    <r>
      <rPr>
        <sz val="12"/>
        <rFont val="Arial"/>
      </rPr>
      <t xml:space="preserve">  
4. J. Stewart, Calculus, Brooks/Cole, 2011
5. J. Bird, Higher Engineering Mathematics, Elsevier, 2006
6. M. Attenborough, Mathematics for Electrical Engineering and Computing, Elsevier, 2003
7. B. Cox, Understanding Engineering Mathematics, Elsevier, 2001
8. M. Greenberg, Advanced Engineering Mathematics, Prentice Hall, 1998
9. V. Rudner, C. Nicolescu, Probleme de matematici speciale, Editura Didactică şi Pedagogică, Bucureşti, 1992
10. Dumitriu N., Matematici Speciale, Editura Matrix Rom, Bucureşti, 2002
11. Nistor S., Tofan I., Introducere în teoria funcţiilor complexe, Editura Univ. "Al. I. Cuza", Iaşi 1990.
12. Homentcovschi D., Funcţii complexe cu aplicaţii în ştiinţă şi tehnică, Editura Tehnică, Bucureşti, 1986
13. Mayer O., Teoria funcţiilor de o variabilă complexă, Editura Academiei, Bucureşti, 1981, 1990
14. R. Trandafir: Matematici superioare, Editura FACLA, Timişoara, 1976.
 </t>
    </r>
  </si>
  <si>
    <t>10. Evaluare</t>
  </si>
  <si>
    <t>Tip activitate</t>
  </si>
  <si>
    <t>10.1 Criterii de evaluare</t>
  </si>
  <si>
    <t>10.2 Metode de evaluare</t>
  </si>
  <si>
    <t>10.3 Pondere din nota finală [%]</t>
  </si>
  <si>
    <t>10.4 Examen / Colocviu</t>
  </si>
  <si>
    <t>Completitudinea şi corectitudinea cunoştinţelor. 
Capacitatea de analiză, de interpretare personală, originalitatea, creativitatea. 
Gradul de asimilare a limbajului de specialitate şi capacitatea de comunicare.
Capacitatea de a valorifica abilităţile dobândite.
Capacitatea de a rezolva problemele enunțate.</t>
  </si>
  <si>
    <t>- observarea sistematică a studenţilor (teme individuale/ de echipă - temele trebuie efectuate în săptămâna dintre cursuri, pregătirea unui referat - studiu de caz).</t>
  </si>
  <si>
    <t>10%</t>
  </si>
  <si>
    <t>- test de evaluare formativ (verificări pe parcursul semestrului).</t>
  </si>
  <si>
    <t>20%</t>
  </si>
  <si>
    <t>- test de evaluare sumativ (verificare finală).</t>
  </si>
  <si>
    <t>70%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</si>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</sst>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u/>
      <sz val="12"/>
      <color rgb="FF0000FF"/>
      <name val="Arial"/>
    </font>
    <font>
      <sz val="12"/>
      <name val="Arial"/>
    </font>
    <font>
      <u/>
      <sz val="12"/>
      <color rgb="FF1155CC"/>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4">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7" fillId="3" borderId="1" xfId="0" applyFont="1" applyFill="1" applyBorder="1" applyAlignment="1">
      <alignment vertical="top" wrapText="1"/>
    </xf>
    <xf numFmtId="0" fontId="7" fillId="3" borderId="1" xfId="0" applyFont="1" applyFill="1" applyBorder="1" applyAlignment="1">
      <alignment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2.xlsx" TargetMode="External"/><Relationship Id="rId1" Type="http://schemas.openxmlformats.org/officeDocument/2006/relationships/externalLinkPath" Target="/Users/Madalin/Downloads/FD%20AIA%20-%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MN"/>
      <sheetName val="ASDN"/>
      <sheetName val="MS"/>
      <sheetName val="ED"/>
      <sheetName val="SDA"/>
      <sheetName val="MSF"/>
      <sheetName val="IA"/>
      <sheetName val="BD"/>
      <sheetName val="AM"/>
      <sheetName val="TO"/>
      <sheetName val="SPD"/>
      <sheetName val="MT"/>
      <sheetName val="LE I"/>
      <sheetName val="LE II"/>
      <sheetName val="SP III"/>
      <sheetName val="CI"/>
      <sheetName val="E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C1" t="str">
            <v>Anul universitar: 2025-2026</v>
          </cell>
        </row>
        <row r="2">
          <cell r="B2" t="str">
            <v>Ingineria sistemelor</v>
          </cell>
        </row>
        <row r="3">
          <cell r="B3" t="str">
            <v>Licență</v>
          </cell>
        </row>
        <row r="4">
          <cell r="B4">
            <v>2</v>
          </cell>
        </row>
        <row r="5">
          <cell r="C5" t="str">
            <v>Automatică și Informatică Aplicată</v>
          </cell>
        </row>
        <row r="8">
          <cell r="A8">
            <v>1</v>
          </cell>
          <cell r="C8" t="str">
            <v>Metode numerice</v>
          </cell>
          <cell r="D8" t="str">
            <v>Numerical Methods</v>
          </cell>
          <cell r="E8" t="str">
            <v>AIA201</v>
          </cell>
          <cell r="F8" t="str">
            <v>DI</v>
          </cell>
          <cell r="G8" t="str">
            <v>DF</v>
          </cell>
          <cell r="H8">
            <v>2</v>
          </cell>
          <cell r="I8">
            <v>0</v>
          </cell>
          <cell r="J8">
            <v>2</v>
          </cell>
          <cell r="K8">
            <v>0</v>
          </cell>
          <cell r="L8">
            <v>69</v>
          </cell>
          <cell r="M8" t="str">
            <v>E</v>
          </cell>
          <cell r="N8">
            <v>5</v>
          </cell>
        </row>
        <row r="9">
          <cell r="A9">
            <v>1</v>
          </cell>
          <cell r="C9" t="str">
            <v>Analiza și sinteza dispozitivelor numerice</v>
          </cell>
          <cell r="D9" t="str">
            <v>Analysis and Synthesis of Digital Devices</v>
          </cell>
          <cell r="E9" t="str">
            <v>AIA202</v>
          </cell>
          <cell r="F9" t="str">
            <v>DI</v>
          </cell>
          <cell r="G9" t="str">
            <v>DD</v>
          </cell>
          <cell r="H9">
            <v>2</v>
          </cell>
          <cell r="I9">
            <v>0</v>
          </cell>
          <cell r="J9">
            <v>2</v>
          </cell>
          <cell r="K9">
            <v>0</v>
          </cell>
          <cell r="L9">
            <v>69</v>
          </cell>
          <cell r="M9" t="str">
            <v>E</v>
          </cell>
          <cell r="N9">
            <v>5</v>
          </cell>
        </row>
        <row r="10">
          <cell r="A10">
            <v>1</v>
          </cell>
          <cell r="C10" t="str">
            <v>Matematici speciale</v>
          </cell>
          <cell r="D10" t="str">
            <v>Advanced Mathematics</v>
          </cell>
          <cell r="E10" t="str">
            <v>AIA203</v>
          </cell>
          <cell r="F10" t="str">
            <v>DI</v>
          </cell>
          <cell r="G10" t="str">
            <v>DF</v>
          </cell>
          <cell r="H10">
            <v>2</v>
          </cell>
          <cell r="I10">
            <v>2</v>
          </cell>
          <cell r="J10">
            <v>0</v>
          </cell>
          <cell r="K10">
            <v>0</v>
          </cell>
          <cell r="L10">
            <v>44</v>
          </cell>
          <cell r="M10" t="str">
            <v>C</v>
          </cell>
          <cell r="N10">
            <v>4</v>
          </cell>
        </row>
        <row r="11">
          <cell r="A11">
            <v>1</v>
          </cell>
          <cell r="C11" t="str">
            <v>Electronică digitală</v>
          </cell>
          <cell r="D11" t="str">
            <v>Digital Electronics</v>
          </cell>
          <cell r="E11" t="str">
            <v>AIA204</v>
          </cell>
          <cell r="F11" t="str">
            <v>DI</v>
          </cell>
          <cell r="G11" t="str">
            <v>DD</v>
          </cell>
          <cell r="H11">
            <v>2</v>
          </cell>
          <cell r="I11">
            <v>0</v>
          </cell>
          <cell r="J11">
            <v>2</v>
          </cell>
          <cell r="K11">
            <v>0</v>
          </cell>
          <cell r="L11">
            <v>44</v>
          </cell>
          <cell r="M11" t="str">
            <v>C</v>
          </cell>
          <cell r="N11">
            <v>4</v>
          </cell>
        </row>
        <row r="12">
          <cell r="A12">
            <v>1</v>
          </cell>
          <cell r="C12" t="str">
            <v>Structuri de date și algoritmi</v>
          </cell>
          <cell r="D12" t="str">
            <v>Data Structures and Algorithms</v>
          </cell>
          <cell r="E12" t="str">
            <v>AIA205</v>
          </cell>
          <cell r="F12" t="str">
            <v>DI</v>
          </cell>
          <cell r="G12" t="str">
            <v>DD</v>
          </cell>
          <cell r="H12">
            <v>2</v>
          </cell>
          <cell r="I12">
            <v>0</v>
          </cell>
          <cell r="J12">
            <v>2</v>
          </cell>
          <cell r="K12">
            <v>0</v>
          </cell>
          <cell r="L12">
            <v>69</v>
          </cell>
          <cell r="M12" t="str">
            <v>E</v>
          </cell>
          <cell r="N12">
            <v>5</v>
          </cell>
        </row>
        <row r="13">
          <cell r="A13">
            <v>1</v>
          </cell>
          <cell r="C13" t="str">
            <v>Modelarea sistemelor fizice</v>
          </cell>
          <cell r="D13" t="str">
            <v>Modelling of Physical Systems</v>
          </cell>
          <cell r="E13" t="str">
            <v>AIA206</v>
          </cell>
          <cell r="F13" t="str">
            <v>DI</v>
          </cell>
          <cell r="G13" t="str">
            <v>DD</v>
          </cell>
          <cell r="H13">
            <v>2</v>
          </cell>
          <cell r="I13">
            <v>0</v>
          </cell>
          <cell r="J13">
            <v>2</v>
          </cell>
          <cell r="K13">
            <v>0</v>
          </cell>
          <cell r="L13">
            <v>69</v>
          </cell>
          <cell r="M13" t="str">
            <v>E</v>
          </cell>
          <cell r="N13">
            <v>5</v>
          </cell>
        </row>
        <row r="14">
          <cell r="A14">
            <v>2</v>
          </cell>
          <cell r="C14" t="str">
            <v>Introducere în automatică</v>
          </cell>
          <cell r="D14" t="str">
            <v>Fundamentals of Feedback Control</v>
          </cell>
          <cell r="E14" t="str">
            <v>AIA207</v>
          </cell>
          <cell r="F14" t="str">
            <v>DI</v>
          </cell>
          <cell r="G14" t="str">
            <v>DD</v>
          </cell>
          <cell r="H14">
            <v>3</v>
          </cell>
          <cell r="I14">
            <v>0</v>
          </cell>
          <cell r="J14">
            <v>2</v>
          </cell>
          <cell r="K14">
            <v>0</v>
          </cell>
          <cell r="L14">
            <v>55</v>
          </cell>
          <cell r="M14" t="str">
            <v>E</v>
          </cell>
          <cell r="N14">
            <v>5</v>
          </cell>
        </row>
        <row r="15">
          <cell r="A15">
            <v>2</v>
          </cell>
          <cell r="C15" t="str">
            <v>Baze de date</v>
          </cell>
          <cell r="D15" t="str">
            <v>Database Systems</v>
          </cell>
          <cell r="E15" t="str">
            <v>AIA208</v>
          </cell>
          <cell r="F15" t="str">
            <v>DI</v>
          </cell>
          <cell r="G15" t="str">
            <v>DD</v>
          </cell>
          <cell r="H15">
            <v>2</v>
          </cell>
          <cell r="I15">
            <v>0</v>
          </cell>
          <cell r="J15">
            <v>2</v>
          </cell>
          <cell r="K15">
            <v>0</v>
          </cell>
          <cell r="L15">
            <v>44</v>
          </cell>
          <cell r="M15" t="str">
            <v>C</v>
          </cell>
          <cell r="N15">
            <v>4</v>
          </cell>
        </row>
        <row r="16">
          <cell r="A16">
            <v>2</v>
          </cell>
          <cell r="C16" t="str">
            <v>Automate și microprogramare</v>
          </cell>
          <cell r="D16" t="str">
            <v>Automata and Microprogramming</v>
          </cell>
          <cell r="E16" t="str">
            <v>AIA209</v>
          </cell>
          <cell r="F16" t="str">
            <v>DI</v>
          </cell>
          <cell r="G16" t="str">
            <v>DD</v>
          </cell>
          <cell r="H16">
            <v>2</v>
          </cell>
          <cell r="I16">
            <v>0</v>
          </cell>
          <cell r="J16">
            <v>1</v>
          </cell>
          <cell r="K16">
            <v>1</v>
          </cell>
          <cell r="L16">
            <v>69</v>
          </cell>
          <cell r="M16" t="str">
            <v>E</v>
          </cell>
          <cell r="N16">
            <v>5</v>
          </cell>
        </row>
        <row r="17">
          <cell r="A17">
            <v>2</v>
          </cell>
          <cell r="C17" t="str">
            <v>Tehnici de optimizare</v>
          </cell>
          <cell r="D17" t="str">
            <v>Optimization Techniques</v>
          </cell>
          <cell r="E17" t="str">
            <v>AIA210</v>
          </cell>
          <cell r="F17" t="str">
            <v>DI</v>
          </cell>
          <cell r="G17" t="str">
            <v>DD</v>
          </cell>
          <cell r="H17">
            <v>2</v>
          </cell>
          <cell r="I17">
            <v>0</v>
          </cell>
          <cell r="J17">
            <v>2</v>
          </cell>
          <cell r="K17">
            <v>0</v>
          </cell>
          <cell r="L17">
            <v>69</v>
          </cell>
          <cell r="M17" t="str">
            <v>E</v>
          </cell>
          <cell r="N17">
            <v>5</v>
          </cell>
        </row>
        <row r="18">
          <cell r="A18">
            <v>2</v>
          </cell>
          <cell r="C18" t="str">
            <v>Statistică și prelucrarea datelor</v>
          </cell>
          <cell r="D18" t="str">
            <v>Statistics and Data Processing</v>
          </cell>
          <cell r="E18" t="str">
            <v>AIA211</v>
          </cell>
          <cell r="F18" t="str">
            <v>DI</v>
          </cell>
          <cell r="G18" t="str">
            <v>DF</v>
          </cell>
          <cell r="H18">
            <v>2</v>
          </cell>
          <cell r="I18">
            <v>0</v>
          </cell>
          <cell r="J18">
            <v>2</v>
          </cell>
          <cell r="K18">
            <v>0</v>
          </cell>
          <cell r="L18">
            <v>69</v>
          </cell>
          <cell r="M18" t="str">
            <v>E</v>
          </cell>
          <cell r="N18">
            <v>5</v>
          </cell>
        </row>
        <row r="19">
          <cell r="A19">
            <v>2</v>
          </cell>
          <cell r="C19" t="str">
            <v>Măsurări și traductoare</v>
          </cell>
          <cell r="D19" t="str">
            <v>Measurements and Transducers</v>
          </cell>
          <cell r="E19" t="str">
            <v>AIA212</v>
          </cell>
          <cell r="F19" t="str">
            <v>DI</v>
          </cell>
          <cell r="G19" t="str">
            <v>DD</v>
          </cell>
          <cell r="H19">
            <v>2</v>
          </cell>
          <cell r="I19">
            <v>0</v>
          </cell>
          <cell r="J19">
            <v>2</v>
          </cell>
          <cell r="K19">
            <v>0</v>
          </cell>
          <cell r="L19">
            <v>69</v>
          </cell>
          <cell r="M19" t="str">
            <v>E</v>
          </cell>
          <cell r="N19">
            <v>5</v>
          </cell>
        </row>
        <row r="20">
          <cell r="A20">
            <v>1</v>
          </cell>
          <cell r="C20" t="str">
            <v>Limba engleză I</v>
          </cell>
          <cell r="D20" t="str">
            <v>The English Language I</v>
          </cell>
          <cell r="E20" t="str">
            <v>AIA213</v>
          </cell>
          <cell r="F20" t="str">
            <v>DI</v>
          </cell>
          <cell r="G20" t="str">
            <v>DC</v>
          </cell>
          <cell r="H20">
            <v>0</v>
          </cell>
          <cell r="I20">
            <v>1</v>
          </cell>
          <cell r="J20">
            <v>0</v>
          </cell>
          <cell r="K20">
            <v>0</v>
          </cell>
          <cell r="L20">
            <v>11</v>
          </cell>
          <cell r="M20" t="str">
            <v>VP</v>
          </cell>
          <cell r="N20">
            <v>1</v>
          </cell>
        </row>
        <row r="21">
          <cell r="A21">
            <v>2</v>
          </cell>
          <cell r="C21" t="str">
            <v>Limba engleză II</v>
          </cell>
          <cell r="D21" t="str">
            <v>The English Language II</v>
          </cell>
          <cell r="E21" t="str">
            <v>AIA214</v>
          </cell>
          <cell r="F21" t="str">
            <v>DI</v>
          </cell>
          <cell r="G21" t="str">
            <v>DC</v>
          </cell>
          <cell r="H21">
            <v>0</v>
          </cell>
          <cell r="I21">
            <v>1</v>
          </cell>
          <cell r="J21">
            <v>0</v>
          </cell>
          <cell r="K21">
            <v>0</v>
          </cell>
          <cell r="L21">
            <v>11</v>
          </cell>
          <cell r="M21" t="str">
            <v>VP</v>
          </cell>
          <cell r="N21">
            <v>1</v>
          </cell>
        </row>
        <row r="29">
          <cell r="C29">
            <v>45915</v>
          </cell>
        </row>
        <row r="30">
          <cell r="C30">
            <v>45918</v>
          </cell>
        </row>
        <row r="31">
          <cell r="C31" t="str">
            <v>Conf.dr.ing. Mihai POSTOLACHE</v>
          </cell>
        </row>
        <row r="32">
          <cell r="C32"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math.etti.tuiasi.ro/ggrosu/" TargetMode="External"/><Relationship Id="rId1" Type="http://schemas.openxmlformats.org/officeDocument/2006/relationships/hyperlink" Target="http://math.etti.tuiasi.ro/ggrosu/"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BAB24-9262-429B-8F41-082E05266797}">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Advanced Mathematics</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AIA203</v>
      </c>
      <c r="F14" s="18"/>
      <c r="G14" s="18"/>
      <c r="H14" s="18"/>
      <c r="I14" s="7" t="s">
        <v>16</v>
      </c>
      <c r="J14" s="8"/>
      <c r="K14" s="8"/>
      <c r="L14" s="10"/>
      <c r="M14" s="22" t="str">
        <f t="array" aca="1" ref="M14" ca="1">INDEX([1]Date!G8:G21, MATCH(E12,[1]Date!C8:C21,0),0)</f>
        <v>DF</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20</v>
      </c>
      <c r="B23" s="10"/>
      <c r="C23" s="27">
        <f>[1]Date!B4</f>
        <v>2</v>
      </c>
      <c r="D23" s="28" t="s">
        <v>21</v>
      </c>
      <c r="E23" s="27">
        <f t="array" aca="1" ref="E23" ca="1">INDEX([1]Date!A8:A21, MATCH(E12,[1]Date!C8:C21,0),0)</f>
        <v>1</v>
      </c>
      <c r="F23" s="29" t="s">
        <v>22</v>
      </c>
      <c r="G23" s="8"/>
      <c r="H23" s="10"/>
      <c r="I23" s="22" t="str">
        <f t="array" aca="1" ref="I23" ca="1">INDEX([1]Date!M8:M21, MATCH(E12,[1]Date!C8:C21,0),0)</f>
        <v>C</v>
      </c>
      <c r="J23" s="29" t="s">
        <v>23</v>
      </c>
      <c r="K23" s="8"/>
      <c r="L23" s="10"/>
      <c r="M23" s="27" t="str">
        <f t="array" aca="1" ref="M23" ca="1">INDEX([1]Date!F8:F21, MATCH(E12,[1]Date!C8:C21,0),0)</f>
        <v>DI</v>
      </c>
      <c r="N23" s="5"/>
    </row>
    <row r="24" spans="1:14" ht="15.5" x14ac:dyDescent="0.35">
      <c r="A24" s="12"/>
      <c r="B24" s="2"/>
      <c r="C24" s="2"/>
      <c r="D24" s="2"/>
      <c r="E24" s="2"/>
      <c r="F24" s="2"/>
      <c r="G24" s="2"/>
      <c r="H24" s="2"/>
      <c r="I24" s="2"/>
      <c r="J24" s="2"/>
      <c r="K24" s="2"/>
      <c r="L24" s="2"/>
      <c r="M24" s="2"/>
      <c r="N24" s="5"/>
    </row>
    <row r="25" spans="1:14" ht="15.5" x14ac:dyDescent="0.35">
      <c r="A25" s="6" t="s">
        <v>24</v>
      </c>
      <c r="B25" s="2"/>
      <c r="C25" s="2"/>
      <c r="D25" s="2"/>
      <c r="E25" s="2"/>
      <c r="F25" s="2"/>
      <c r="G25" s="2"/>
      <c r="H25" s="2"/>
      <c r="I25" s="2"/>
      <c r="J25" s="2"/>
      <c r="K25" s="2"/>
      <c r="L25" s="2"/>
      <c r="M25" s="2"/>
      <c r="N25" s="30"/>
    </row>
    <row r="26" spans="1:14" ht="31" x14ac:dyDescent="0.35">
      <c r="A26" s="7" t="s">
        <v>25</v>
      </c>
      <c r="B26" s="10"/>
      <c r="C26" s="31">
        <f ca="1">SUM(E26+G26+I26+K26)</f>
        <v>4</v>
      </c>
      <c r="D26" s="28" t="s">
        <v>26</v>
      </c>
      <c r="E26" s="27">
        <f t="array" aca="1" ref="E26" ca="1">INDEX([1]Date!H8:H21, MATCH(E12,[1]Date!C8:C21,0),0)</f>
        <v>2</v>
      </c>
      <c r="F26" s="28" t="s">
        <v>27</v>
      </c>
      <c r="G26" s="27">
        <f t="array" aca="1" ref="G26" ca="1">INDEX([1]Date!I8:I21, MATCH(E12,[1]Date!C8:C21,0),0)</f>
        <v>2</v>
      </c>
      <c r="H26" s="28" t="s">
        <v>28</v>
      </c>
      <c r="I26" s="31">
        <f t="array" aca="1" ref="I26" ca="1">INDEX([1]Date!J8:J21, MATCH(E12,[1]Date!C8:C21,0),0)</f>
        <v>0</v>
      </c>
      <c r="J26" s="28" t="s">
        <v>29</v>
      </c>
      <c r="K26" s="27">
        <f t="array" aca="1" ref="K26" ca="1">INDEX([1]Date!K8:K21, MATCH(E12,[1]Date!C8:C21,0),0)</f>
        <v>0</v>
      </c>
      <c r="L26" s="7" t="s">
        <v>30</v>
      </c>
      <c r="M26" s="10"/>
      <c r="N26" s="30"/>
    </row>
    <row r="27" spans="1:14" ht="31" x14ac:dyDescent="0.35">
      <c r="A27" s="7" t="s">
        <v>31</v>
      </c>
      <c r="B27" s="10"/>
      <c r="C27" s="27">
        <f ca="1">C26*14</f>
        <v>56</v>
      </c>
      <c r="D27" s="28" t="s">
        <v>32</v>
      </c>
      <c r="E27" s="27">
        <f ca="1">E26*14</f>
        <v>28</v>
      </c>
      <c r="F27" s="28" t="s">
        <v>33</v>
      </c>
      <c r="G27" s="27">
        <f ca="1">G26*14</f>
        <v>28</v>
      </c>
      <c r="H27" s="28" t="s">
        <v>34</v>
      </c>
      <c r="I27" s="27">
        <f ca="1">I26*14</f>
        <v>0</v>
      </c>
      <c r="J27" s="28" t="s">
        <v>35</v>
      </c>
      <c r="K27" s="27">
        <f ca="1">K26*14</f>
        <v>0</v>
      </c>
      <c r="L27" s="28" t="s">
        <v>36</v>
      </c>
      <c r="M27" s="27">
        <v>0</v>
      </c>
      <c r="N27" s="5"/>
    </row>
    <row r="28" spans="1:14" ht="15.5" x14ac:dyDescent="0.35">
      <c r="A28" s="7" t="s">
        <v>37</v>
      </c>
      <c r="B28" s="8"/>
      <c r="C28" s="8"/>
      <c r="D28" s="8"/>
      <c r="E28" s="8"/>
      <c r="F28" s="8"/>
      <c r="G28" s="8"/>
      <c r="H28" s="8"/>
      <c r="I28" s="8"/>
      <c r="J28" s="8"/>
      <c r="K28" s="8"/>
      <c r="L28" s="10"/>
      <c r="M28" s="27" t="s">
        <v>38</v>
      </c>
      <c r="N28" s="5"/>
    </row>
    <row r="29" spans="1:14" ht="15.5" x14ac:dyDescent="0.35">
      <c r="A29" s="7" t="s">
        <v>39</v>
      </c>
      <c r="B29" s="8"/>
      <c r="C29" s="8"/>
      <c r="D29" s="8"/>
      <c r="E29" s="8"/>
      <c r="F29" s="8"/>
      <c r="G29" s="8"/>
      <c r="H29" s="8"/>
      <c r="I29" s="8"/>
      <c r="J29" s="8"/>
      <c r="K29" s="8"/>
      <c r="L29" s="10"/>
      <c r="M29" s="32">
        <v>17</v>
      </c>
      <c r="N29" s="5"/>
    </row>
    <row r="30" spans="1:14" ht="15.5" x14ac:dyDescent="0.35">
      <c r="A30" s="7" t="s">
        <v>40</v>
      </c>
      <c r="B30" s="8"/>
      <c r="C30" s="8"/>
      <c r="D30" s="8"/>
      <c r="E30" s="8"/>
      <c r="F30" s="8"/>
      <c r="G30" s="8"/>
      <c r="H30" s="8"/>
      <c r="I30" s="8"/>
      <c r="J30" s="8"/>
      <c r="K30" s="8"/>
      <c r="L30" s="10"/>
      <c r="M30" s="32">
        <v>10</v>
      </c>
      <c r="N30" s="5"/>
    </row>
    <row r="31" spans="1:14" ht="15.5" x14ac:dyDescent="0.35">
      <c r="A31" s="7" t="s">
        <v>41</v>
      </c>
      <c r="B31" s="8"/>
      <c r="C31" s="8"/>
      <c r="D31" s="8"/>
      <c r="E31" s="8"/>
      <c r="F31" s="8"/>
      <c r="G31" s="8"/>
      <c r="H31" s="8"/>
      <c r="I31" s="8"/>
      <c r="J31" s="8"/>
      <c r="K31" s="8"/>
      <c r="L31" s="10"/>
      <c r="M31" s="32">
        <v>17</v>
      </c>
      <c r="N31" s="5"/>
    </row>
    <row r="32" spans="1:14" ht="15.5" x14ac:dyDescent="0.35">
      <c r="A32" s="7" t="s">
        <v>42</v>
      </c>
      <c r="B32" s="8"/>
      <c r="C32" s="8"/>
      <c r="D32" s="8"/>
      <c r="E32" s="8"/>
      <c r="F32" s="8"/>
      <c r="G32" s="8"/>
      <c r="H32" s="8"/>
      <c r="I32" s="8"/>
      <c r="J32" s="8"/>
      <c r="K32" s="8"/>
      <c r="L32" s="10"/>
      <c r="M32" s="27">
        <f t="array" aca="1" ref="M32" ca="1">IF(INDEX([1]Date!M8:M21, MATCH(E12,[1]Date!C8:C21,0),0)="E",3,0)</f>
        <v>0</v>
      </c>
      <c r="N32" s="5"/>
    </row>
    <row r="33" spans="1:14" ht="15.5" x14ac:dyDescent="0.35">
      <c r="A33" s="7" t="s">
        <v>43</v>
      </c>
      <c r="B33" s="8"/>
      <c r="C33" s="8"/>
      <c r="D33" s="8"/>
      <c r="E33" s="8"/>
      <c r="F33" s="8"/>
      <c r="G33" s="8"/>
      <c r="H33" s="8"/>
      <c r="I33" s="8"/>
      <c r="J33" s="8"/>
      <c r="K33" s="8"/>
      <c r="L33" s="10"/>
      <c r="M33" s="27">
        <f ca="1">C34-SUM(M29:M31)</f>
        <v>0</v>
      </c>
      <c r="N33" s="5"/>
    </row>
    <row r="34" spans="1:14" ht="15.5" x14ac:dyDescent="0.35">
      <c r="A34" s="7" t="s">
        <v>44</v>
      </c>
      <c r="B34" s="10"/>
      <c r="C34" s="27">
        <f t="array" aca="1" ref="C34" ca="1">INDEX([1]Date!L8:L21, MATCH(E12,[1]Date!C8:C21,0),0)</f>
        <v>44</v>
      </c>
      <c r="D34" s="5"/>
      <c r="E34" s="5"/>
      <c r="F34" s="5"/>
      <c r="G34" s="5"/>
      <c r="H34" s="5"/>
      <c r="I34" s="5"/>
      <c r="J34" s="5"/>
      <c r="K34" s="5"/>
      <c r="L34" s="5"/>
      <c r="M34" s="5"/>
      <c r="N34" s="5"/>
    </row>
    <row r="35" spans="1:14" ht="15.5" x14ac:dyDescent="0.35">
      <c r="A35" s="7" t="s">
        <v>45</v>
      </c>
      <c r="B35" s="10"/>
      <c r="C35" s="27">
        <f ca="1">C27+C34</f>
        <v>100</v>
      </c>
      <c r="D35" s="5"/>
      <c r="E35" s="5"/>
      <c r="F35" s="5"/>
      <c r="G35" s="5"/>
      <c r="H35" s="5"/>
      <c r="I35" s="5"/>
      <c r="J35" s="5"/>
      <c r="K35" s="5"/>
      <c r="L35" s="5"/>
      <c r="M35" s="5"/>
      <c r="N35" s="5"/>
    </row>
    <row r="36" spans="1:14" ht="15.5" x14ac:dyDescent="0.35">
      <c r="A36" s="7" t="s">
        <v>46</v>
      </c>
      <c r="B36" s="10"/>
      <c r="C36" s="27">
        <f t="array" aca="1" ref="C36" ca="1">INDEX([1]Date!N8:N21, MATCH(E12,[1]Date!C8:C21,0),0)</f>
        <v>4</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47</v>
      </c>
      <c r="B38" s="2"/>
      <c r="C38" s="2"/>
      <c r="D38" s="2"/>
      <c r="E38" s="2"/>
      <c r="F38" s="2"/>
      <c r="G38" s="2"/>
      <c r="H38" s="2"/>
      <c r="I38" s="2"/>
      <c r="J38" s="2"/>
      <c r="K38" s="2"/>
      <c r="L38" s="2"/>
      <c r="M38" s="2"/>
      <c r="N38" s="30"/>
    </row>
    <row r="39" spans="1:14" ht="15.5" x14ac:dyDescent="0.35">
      <c r="A39" s="7" t="s">
        <v>48</v>
      </c>
      <c r="B39" s="10"/>
      <c r="C39" s="9" t="s">
        <v>49</v>
      </c>
      <c r="D39" s="8"/>
      <c r="E39" s="8"/>
      <c r="F39" s="8"/>
      <c r="G39" s="8"/>
      <c r="H39" s="8"/>
      <c r="I39" s="8"/>
      <c r="J39" s="8"/>
      <c r="K39" s="8"/>
      <c r="L39" s="8"/>
      <c r="M39" s="10"/>
      <c r="N39" s="30"/>
    </row>
    <row r="40" spans="1:14" ht="15.5" x14ac:dyDescent="0.35">
      <c r="A40" s="7" t="s">
        <v>50</v>
      </c>
      <c r="B40" s="10"/>
      <c r="C40" s="23" t="s">
        <v>51</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52</v>
      </c>
      <c r="B42" s="2"/>
      <c r="C42" s="2"/>
      <c r="D42" s="2"/>
      <c r="E42" s="2"/>
      <c r="F42" s="2"/>
      <c r="G42" s="2"/>
      <c r="H42" s="2"/>
      <c r="I42" s="2"/>
      <c r="J42" s="2"/>
      <c r="K42" s="2"/>
      <c r="L42" s="2"/>
      <c r="M42" s="2"/>
      <c r="N42" s="30"/>
    </row>
    <row r="43" spans="1:14" ht="15.5" x14ac:dyDescent="0.35">
      <c r="A43" s="7" t="s">
        <v>53</v>
      </c>
      <c r="B43" s="10"/>
      <c r="C43" s="23" t="s">
        <v>54</v>
      </c>
      <c r="D43" s="8"/>
      <c r="E43" s="8"/>
      <c r="F43" s="8"/>
      <c r="G43" s="8"/>
      <c r="H43" s="8"/>
      <c r="I43" s="8"/>
      <c r="J43" s="8"/>
      <c r="K43" s="8"/>
      <c r="L43" s="8"/>
      <c r="M43" s="10"/>
      <c r="N43" s="30"/>
    </row>
    <row r="44" spans="1:14" ht="15.5" x14ac:dyDescent="0.35">
      <c r="A44" s="7" t="s">
        <v>55</v>
      </c>
      <c r="B44" s="10"/>
      <c r="C44" s="23" t="s">
        <v>56</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57</v>
      </c>
      <c r="B46" s="2"/>
      <c r="C46" s="2"/>
      <c r="D46" s="2"/>
      <c r="E46" s="2"/>
      <c r="F46" s="2"/>
      <c r="G46" s="2"/>
      <c r="H46" s="2"/>
      <c r="I46" s="2"/>
      <c r="J46" s="2"/>
      <c r="K46" s="2"/>
      <c r="L46" s="2"/>
      <c r="M46" s="2"/>
      <c r="N46" s="30"/>
    </row>
    <row r="47" spans="1:14" ht="62.25" customHeight="1" x14ac:dyDescent="0.35">
      <c r="A47" s="23" t="s">
        <v>58</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59</v>
      </c>
      <c r="B49" s="2"/>
      <c r="C49" s="2"/>
      <c r="D49" s="2"/>
      <c r="E49" s="2"/>
      <c r="F49" s="2"/>
      <c r="G49" s="2"/>
      <c r="H49" s="2"/>
      <c r="I49" s="2"/>
      <c r="J49" s="2"/>
      <c r="K49" s="2"/>
      <c r="L49" s="2"/>
      <c r="M49" s="2"/>
      <c r="N49" s="30"/>
    </row>
    <row r="50" spans="1:14" ht="15.5" x14ac:dyDescent="0.35">
      <c r="A50" s="33" t="s">
        <v>60</v>
      </c>
      <c r="B50" s="34" t="s">
        <v>61</v>
      </c>
      <c r="C50" s="8"/>
      <c r="D50" s="8"/>
      <c r="E50" s="8"/>
      <c r="F50" s="8"/>
      <c r="G50" s="8"/>
      <c r="H50" s="8"/>
      <c r="I50" s="8"/>
      <c r="J50" s="8"/>
      <c r="K50" s="8"/>
      <c r="L50" s="8"/>
      <c r="M50" s="10"/>
      <c r="N50" s="5"/>
    </row>
    <row r="51" spans="1:14" ht="15.5" x14ac:dyDescent="0.35">
      <c r="A51" s="35"/>
      <c r="B51" s="36" t="s">
        <v>62</v>
      </c>
      <c r="C51" s="8"/>
      <c r="D51" s="8"/>
      <c r="E51" s="8"/>
      <c r="F51" s="8"/>
      <c r="G51" s="8"/>
      <c r="H51" s="8"/>
      <c r="I51" s="8"/>
      <c r="J51" s="8"/>
      <c r="K51" s="8"/>
      <c r="L51" s="8"/>
      <c r="M51" s="10"/>
      <c r="N51" s="5"/>
    </row>
    <row r="52" spans="1:14" ht="15.5" x14ac:dyDescent="0.35">
      <c r="A52" s="33" t="s">
        <v>63</v>
      </c>
      <c r="B52" s="34" t="s">
        <v>61</v>
      </c>
      <c r="C52" s="8"/>
      <c r="D52" s="8"/>
      <c r="E52" s="8"/>
      <c r="F52" s="8"/>
      <c r="G52" s="8"/>
      <c r="H52" s="8"/>
      <c r="I52" s="8"/>
      <c r="J52" s="8"/>
      <c r="K52" s="8"/>
      <c r="L52" s="8"/>
      <c r="M52" s="10"/>
      <c r="N52" s="5"/>
    </row>
    <row r="53" spans="1:14" ht="15.5" x14ac:dyDescent="0.35">
      <c r="A53" s="35"/>
      <c r="B53" s="36" t="s">
        <v>64</v>
      </c>
      <c r="C53" s="8"/>
      <c r="D53" s="8"/>
      <c r="E53" s="8"/>
      <c r="F53" s="8"/>
      <c r="G53" s="8"/>
      <c r="H53" s="8"/>
      <c r="I53" s="8"/>
      <c r="J53" s="8"/>
      <c r="K53" s="8"/>
      <c r="L53" s="8"/>
      <c r="M53" s="10"/>
      <c r="N53" s="5"/>
    </row>
    <row r="54" spans="1:14" ht="18" customHeight="1" x14ac:dyDescent="0.35">
      <c r="A54" s="33" t="s">
        <v>65</v>
      </c>
      <c r="B54" s="34" t="s">
        <v>61</v>
      </c>
      <c r="C54" s="8"/>
      <c r="D54" s="8"/>
      <c r="E54" s="8"/>
      <c r="F54" s="8"/>
      <c r="G54" s="8"/>
      <c r="H54" s="8"/>
      <c r="I54" s="8"/>
      <c r="J54" s="8"/>
      <c r="K54" s="8"/>
      <c r="L54" s="8"/>
      <c r="M54" s="10"/>
      <c r="N54" s="5"/>
    </row>
    <row r="55" spans="1:14" ht="15.5" x14ac:dyDescent="0.35">
      <c r="A55" s="35"/>
      <c r="B55" s="37" t="s">
        <v>66</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67</v>
      </c>
      <c r="B57" s="2"/>
      <c r="C57" s="2"/>
      <c r="D57" s="2"/>
      <c r="E57" s="2"/>
      <c r="F57" s="2"/>
      <c r="G57" s="2"/>
      <c r="H57" s="2"/>
      <c r="I57" s="2"/>
      <c r="J57" s="2"/>
      <c r="K57" s="2"/>
      <c r="L57" s="2"/>
      <c r="M57" s="2"/>
      <c r="N57" s="30"/>
    </row>
    <row r="58" spans="1:14" ht="15.5" x14ac:dyDescent="0.35">
      <c r="A58" s="23" t="s">
        <v>68</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69</v>
      </c>
      <c r="B60" s="2"/>
      <c r="C60" s="2"/>
      <c r="D60" s="2"/>
      <c r="E60" s="2"/>
      <c r="F60" s="2"/>
      <c r="G60" s="2"/>
      <c r="H60" s="2"/>
      <c r="I60" s="2"/>
      <c r="J60" s="2"/>
      <c r="K60" s="2"/>
      <c r="L60" s="2"/>
      <c r="M60" s="2"/>
      <c r="N60" s="30"/>
    </row>
    <row r="61" spans="1:14" ht="24.75" customHeight="1" x14ac:dyDescent="0.35">
      <c r="A61" s="38" t="s">
        <v>70</v>
      </c>
      <c r="B61" s="8"/>
      <c r="C61" s="8"/>
      <c r="D61" s="8"/>
      <c r="E61" s="8"/>
      <c r="F61" s="8"/>
      <c r="G61" s="10"/>
      <c r="H61" s="38" t="s">
        <v>71</v>
      </c>
      <c r="I61" s="8"/>
      <c r="J61" s="8"/>
      <c r="K61" s="10"/>
      <c r="L61" s="38" t="s">
        <v>72</v>
      </c>
      <c r="M61" s="10"/>
      <c r="N61" s="30"/>
    </row>
    <row r="62" spans="1:14" ht="28.5" customHeight="1" x14ac:dyDescent="0.35">
      <c r="A62" s="39" t="s">
        <v>73</v>
      </c>
      <c r="B62" s="23" t="s">
        <v>74</v>
      </c>
      <c r="C62" s="8"/>
      <c r="D62" s="8"/>
      <c r="E62" s="8"/>
      <c r="F62" s="8"/>
      <c r="G62" s="10"/>
      <c r="H62" s="40" t="s">
        <v>75</v>
      </c>
      <c r="I62" s="14"/>
      <c r="J62" s="14"/>
      <c r="K62" s="15"/>
      <c r="L62" s="41" t="s">
        <v>76</v>
      </c>
      <c r="M62" s="10"/>
      <c r="N62" s="5"/>
    </row>
    <row r="63" spans="1:14" ht="28.5" customHeight="1" x14ac:dyDescent="0.35">
      <c r="A63" s="39" t="s">
        <v>77</v>
      </c>
      <c r="B63" s="23" t="s">
        <v>78</v>
      </c>
      <c r="C63" s="8"/>
      <c r="D63" s="8"/>
      <c r="E63" s="8"/>
      <c r="F63" s="8"/>
      <c r="G63" s="10"/>
      <c r="H63" s="25"/>
      <c r="I63" s="2"/>
      <c r="J63" s="2"/>
      <c r="K63" s="26"/>
      <c r="L63" s="41" t="s">
        <v>76</v>
      </c>
      <c r="M63" s="10"/>
      <c r="N63" s="5"/>
    </row>
    <row r="64" spans="1:14" ht="28.5" customHeight="1" x14ac:dyDescent="0.35">
      <c r="A64" s="39" t="s">
        <v>79</v>
      </c>
      <c r="B64" s="23" t="s">
        <v>80</v>
      </c>
      <c r="C64" s="8"/>
      <c r="D64" s="8"/>
      <c r="E64" s="8"/>
      <c r="F64" s="8"/>
      <c r="G64" s="10"/>
      <c r="H64" s="25"/>
      <c r="I64" s="2"/>
      <c r="J64" s="2"/>
      <c r="K64" s="26"/>
      <c r="L64" s="41" t="s">
        <v>81</v>
      </c>
      <c r="M64" s="10"/>
      <c r="N64" s="5"/>
    </row>
    <row r="65" spans="1:14" ht="15.5" x14ac:dyDescent="0.35">
      <c r="A65" s="39" t="s">
        <v>82</v>
      </c>
      <c r="B65" s="23" t="s">
        <v>83</v>
      </c>
      <c r="C65" s="8"/>
      <c r="D65" s="8"/>
      <c r="E65" s="8"/>
      <c r="F65" s="8"/>
      <c r="G65" s="10"/>
      <c r="H65" s="25"/>
      <c r="I65" s="2"/>
      <c r="J65" s="2"/>
      <c r="K65" s="26"/>
      <c r="L65" s="41" t="s">
        <v>81</v>
      </c>
      <c r="M65" s="10"/>
      <c r="N65" s="5"/>
    </row>
    <row r="66" spans="1:14" ht="15.5" x14ac:dyDescent="0.35">
      <c r="A66" s="39" t="s">
        <v>84</v>
      </c>
      <c r="B66" s="23" t="s">
        <v>85</v>
      </c>
      <c r="C66" s="8"/>
      <c r="D66" s="8"/>
      <c r="E66" s="8"/>
      <c r="F66" s="8"/>
      <c r="G66" s="10"/>
      <c r="H66" s="25"/>
      <c r="I66" s="2"/>
      <c r="J66" s="2"/>
      <c r="K66" s="26"/>
      <c r="L66" s="41" t="s">
        <v>81</v>
      </c>
      <c r="M66" s="10"/>
      <c r="N66" s="5"/>
    </row>
    <row r="67" spans="1:14" ht="15.5" x14ac:dyDescent="0.35">
      <c r="A67" s="39" t="s">
        <v>86</v>
      </c>
      <c r="B67" s="23" t="s">
        <v>87</v>
      </c>
      <c r="C67" s="8"/>
      <c r="D67" s="8"/>
      <c r="E67" s="8"/>
      <c r="F67" s="8"/>
      <c r="G67" s="10"/>
      <c r="H67" s="25"/>
      <c r="I67" s="2"/>
      <c r="J67" s="2"/>
      <c r="K67" s="26"/>
      <c r="L67" s="41" t="s">
        <v>81</v>
      </c>
      <c r="M67" s="10"/>
      <c r="N67" s="5"/>
    </row>
    <row r="68" spans="1:14" ht="15.5" x14ac:dyDescent="0.35">
      <c r="A68" s="39" t="s">
        <v>88</v>
      </c>
      <c r="B68" s="23" t="s">
        <v>89</v>
      </c>
      <c r="C68" s="8"/>
      <c r="D68" s="8"/>
      <c r="E68" s="8"/>
      <c r="F68" s="8"/>
      <c r="G68" s="10"/>
      <c r="H68" s="25"/>
      <c r="I68" s="2"/>
      <c r="J68" s="2"/>
      <c r="K68" s="26"/>
      <c r="L68" s="41" t="s">
        <v>81</v>
      </c>
      <c r="M68" s="10"/>
      <c r="N68" s="5"/>
    </row>
    <row r="69" spans="1:14" ht="29.25" customHeight="1" x14ac:dyDescent="0.35">
      <c r="A69" s="39" t="s">
        <v>90</v>
      </c>
      <c r="B69" s="23" t="s">
        <v>91</v>
      </c>
      <c r="C69" s="8"/>
      <c r="D69" s="8"/>
      <c r="E69" s="8"/>
      <c r="F69" s="8"/>
      <c r="G69" s="10"/>
      <c r="H69" s="25"/>
      <c r="I69" s="2"/>
      <c r="J69" s="2"/>
      <c r="K69" s="26"/>
      <c r="L69" s="41" t="s">
        <v>81</v>
      </c>
      <c r="M69" s="10"/>
      <c r="N69" s="5"/>
    </row>
    <row r="70" spans="1:14" ht="29.25" customHeight="1" x14ac:dyDescent="0.35">
      <c r="A70" s="39" t="s">
        <v>92</v>
      </c>
      <c r="B70" s="23" t="s">
        <v>93</v>
      </c>
      <c r="C70" s="8"/>
      <c r="D70" s="8"/>
      <c r="E70" s="8"/>
      <c r="F70" s="8"/>
      <c r="G70" s="10"/>
      <c r="H70" s="25"/>
      <c r="I70" s="2"/>
      <c r="J70" s="2"/>
      <c r="K70" s="26"/>
      <c r="L70" s="41" t="s">
        <v>81</v>
      </c>
      <c r="M70" s="10"/>
      <c r="N70" s="5"/>
    </row>
    <row r="71" spans="1:14" ht="29.25" customHeight="1" x14ac:dyDescent="0.35">
      <c r="A71" s="39" t="s">
        <v>94</v>
      </c>
      <c r="B71" s="23" t="s">
        <v>95</v>
      </c>
      <c r="C71" s="8"/>
      <c r="D71" s="8"/>
      <c r="E71" s="8"/>
      <c r="F71" s="8"/>
      <c r="G71" s="10"/>
      <c r="H71" s="25"/>
      <c r="I71" s="2"/>
      <c r="J71" s="2"/>
      <c r="K71" s="26"/>
      <c r="L71" s="41" t="s">
        <v>81</v>
      </c>
      <c r="M71" s="10"/>
      <c r="N71" s="5"/>
    </row>
    <row r="72" spans="1:14" ht="15.5" x14ac:dyDescent="0.35">
      <c r="A72" s="39" t="s">
        <v>96</v>
      </c>
      <c r="B72" s="23" t="s">
        <v>97</v>
      </c>
      <c r="C72" s="8"/>
      <c r="D72" s="8"/>
      <c r="E72" s="8"/>
      <c r="F72" s="8"/>
      <c r="G72" s="10"/>
      <c r="H72" s="25"/>
      <c r="I72" s="2"/>
      <c r="J72" s="2"/>
      <c r="K72" s="26"/>
      <c r="L72" s="41" t="s">
        <v>81</v>
      </c>
      <c r="M72" s="10"/>
      <c r="N72" s="5"/>
    </row>
    <row r="73" spans="1:14" ht="37.5" customHeight="1" x14ac:dyDescent="0.35">
      <c r="A73" s="39" t="s">
        <v>98</v>
      </c>
      <c r="B73" s="23" t="s">
        <v>99</v>
      </c>
      <c r="C73" s="8"/>
      <c r="D73" s="8"/>
      <c r="E73" s="8"/>
      <c r="F73" s="8"/>
      <c r="G73" s="10"/>
      <c r="H73" s="25"/>
      <c r="I73" s="2"/>
      <c r="J73" s="2"/>
      <c r="K73" s="26"/>
      <c r="L73" s="41" t="s">
        <v>81</v>
      </c>
      <c r="M73" s="10"/>
      <c r="N73" s="5"/>
    </row>
    <row r="74" spans="1:14" ht="37.5" customHeight="1" x14ac:dyDescent="0.35">
      <c r="A74" s="39" t="s">
        <v>100</v>
      </c>
      <c r="B74" s="23" t="s">
        <v>101</v>
      </c>
      <c r="C74" s="8"/>
      <c r="D74" s="8"/>
      <c r="E74" s="8"/>
      <c r="F74" s="8"/>
      <c r="G74" s="10"/>
      <c r="H74" s="25"/>
      <c r="I74" s="2"/>
      <c r="J74" s="2"/>
      <c r="K74" s="26"/>
      <c r="L74" s="41" t="s">
        <v>81</v>
      </c>
      <c r="M74" s="10"/>
      <c r="N74" s="5"/>
    </row>
    <row r="75" spans="1:14" ht="37.5" customHeight="1" x14ac:dyDescent="0.35">
      <c r="A75" s="39" t="s">
        <v>102</v>
      </c>
      <c r="B75" s="23" t="s">
        <v>103</v>
      </c>
      <c r="C75" s="8"/>
      <c r="D75" s="8"/>
      <c r="E75" s="8"/>
      <c r="F75" s="8"/>
      <c r="G75" s="10"/>
      <c r="H75" s="24"/>
      <c r="I75" s="18"/>
      <c r="J75" s="18"/>
      <c r="K75" s="19"/>
      <c r="L75" s="41" t="s">
        <v>81</v>
      </c>
      <c r="M75" s="10"/>
      <c r="N75" s="5"/>
    </row>
    <row r="76" spans="1:14" ht="15.5" x14ac:dyDescent="0.35">
      <c r="A76" s="42" t="s">
        <v>104</v>
      </c>
      <c r="B76" s="8"/>
      <c r="C76" s="8"/>
      <c r="D76" s="8"/>
      <c r="E76" s="8"/>
      <c r="F76" s="8"/>
      <c r="G76" s="8"/>
      <c r="H76" s="8"/>
      <c r="I76" s="8"/>
      <c r="J76" s="8"/>
      <c r="K76" s="8"/>
      <c r="L76" s="8"/>
      <c r="M76" s="10"/>
      <c r="N76" s="5"/>
    </row>
    <row r="77" spans="1:14" ht="24.75" customHeight="1" x14ac:dyDescent="0.35">
      <c r="A77" s="38" t="s">
        <v>105</v>
      </c>
      <c r="B77" s="8"/>
      <c r="C77" s="8"/>
      <c r="D77" s="8"/>
      <c r="E77" s="8"/>
      <c r="F77" s="8"/>
      <c r="G77" s="10"/>
      <c r="H77" s="38" t="s">
        <v>106</v>
      </c>
      <c r="I77" s="8"/>
      <c r="J77" s="8"/>
      <c r="K77" s="10"/>
      <c r="L77" s="38" t="s">
        <v>72</v>
      </c>
      <c r="M77" s="10"/>
      <c r="N77" s="30"/>
    </row>
    <row r="78" spans="1:14" ht="15.5" x14ac:dyDescent="0.35">
      <c r="A78" s="39" t="s">
        <v>73</v>
      </c>
      <c r="B78" s="23" t="s">
        <v>74</v>
      </c>
      <c r="C78" s="8"/>
      <c r="D78" s="8"/>
      <c r="E78" s="8"/>
      <c r="F78" s="8"/>
      <c r="G78" s="10"/>
      <c r="H78" s="40" t="s">
        <v>107</v>
      </c>
      <c r="I78" s="14"/>
      <c r="J78" s="14"/>
      <c r="K78" s="15"/>
      <c r="L78" s="41" t="s">
        <v>76</v>
      </c>
      <c r="M78" s="10"/>
      <c r="N78" s="5"/>
    </row>
    <row r="79" spans="1:14" ht="15.5" x14ac:dyDescent="0.35">
      <c r="A79" s="39" t="s">
        <v>77</v>
      </c>
      <c r="B79" s="23" t="s">
        <v>78</v>
      </c>
      <c r="C79" s="8"/>
      <c r="D79" s="8"/>
      <c r="E79" s="8"/>
      <c r="F79" s="8"/>
      <c r="G79" s="10"/>
      <c r="H79" s="25"/>
      <c r="I79" s="2"/>
      <c r="J79" s="2"/>
      <c r="K79" s="26"/>
      <c r="L79" s="41" t="s">
        <v>76</v>
      </c>
      <c r="M79" s="10"/>
      <c r="N79" s="5"/>
    </row>
    <row r="80" spans="1:14" ht="15.5" x14ac:dyDescent="0.35">
      <c r="A80" s="39" t="s">
        <v>79</v>
      </c>
      <c r="B80" s="23" t="s">
        <v>80</v>
      </c>
      <c r="C80" s="8"/>
      <c r="D80" s="8"/>
      <c r="E80" s="8"/>
      <c r="F80" s="8"/>
      <c r="G80" s="10"/>
      <c r="H80" s="25"/>
      <c r="I80" s="2"/>
      <c r="J80" s="2"/>
      <c r="K80" s="26"/>
      <c r="L80" s="41" t="s">
        <v>81</v>
      </c>
      <c r="M80" s="10"/>
      <c r="N80" s="5"/>
    </row>
    <row r="81" spans="1:14" ht="15.5" x14ac:dyDescent="0.35">
      <c r="A81" s="39" t="s">
        <v>82</v>
      </c>
      <c r="B81" s="23" t="s">
        <v>83</v>
      </c>
      <c r="C81" s="8"/>
      <c r="D81" s="8"/>
      <c r="E81" s="8"/>
      <c r="F81" s="8"/>
      <c r="G81" s="10"/>
      <c r="H81" s="25"/>
      <c r="I81" s="2"/>
      <c r="J81" s="2"/>
      <c r="K81" s="26"/>
      <c r="L81" s="41" t="s">
        <v>81</v>
      </c>
      <c r="M81" s="10"/>
      <c r="N81" s="5"/>
    </row>
    <row r="82" spans="1:14" ht="15.5" x14ac:dyDescent="0.35">
      <c r="A82" s="39" t="s">
        <v>84</v>
      </c>
      <c r="B82" s="23" t="s">
        <v>85</v>
      </c>
      <c r="C82" s="8"/>
      <c r="D82" s="8"/>
      <c r="E82" s="8"/>
      <c r="F82" s="8"/>
      <c r="G82" s="10"/>
      <c r="H82" s="25"/>
      <c r="I82" s="2"/>
      <c r="J82" s="2"/>
      <c r="K82" s="26"/>
      <c r="L82" s="41" t="s">
        <v>81</v>
      </c>
      <c r="M82" s="10"/>
      <c r="N82" s="5"/>
    </row>
    <row r="83" spans="1:14" ht="15.5" x14ac:dyDescent="0.35">
      <c r="A83" s="39" t="s">
        <v>86</v>
      </c>
      <c r="B83" s="23" t="s">
        <v>87</v>
      </c>
      <c r="C83" s="8"/>
      <c r="D83" s="8"/>
      <c r="E83" s="8"/>
      <c r="F83" s="8"/>
      <c r="G83" s="10"/>
      <c r="H83" s="25"/>
      <c r="I83" s="2"/>
      <c r="J83" s="2"/>
      <c r="K83" s="26"/>
      <c r="L83" s="41" t="s">
        <v>81</v>
      </c>
      <c r="M83" s="10"/>
      <c r="N83" s="5"/>
    </row>
    <row r="84" spans="1:14" ht="15.5" x14ac:dyDescent="0.35">
      <c r="A84" s="39" t="s">
        <v>88</v>
      </c>
      <c r="B84" s="23" t="s">
        <v>89</v>
      </c>
      <c r="C84" s="8"/>
      <c r="D84" s="8"/>
      <c r="E84" s="8"/>
      <c r="F84" s="8"/>
      <c r="G84" s="10"/>
      <c r="H84" s="25"/>
      <c r="I84" s="2"/>
      <c r="J84" s="2"/>
      <c r="K84" s="26"/>
      <c r="L84" s="41" t="s">
        <v>81</v>
      </c>
      <c r="M84" s="10"/>
      <c r="N84" s="5"/>
    </row>
    <row r="85" spans="1:14" ht="15.5" x14ac:dyDescent="0.35">
      <c r="A85" s="39" t="s">
        <v>90</v>
      </c>
      <c r="B85" s="23" t="s">
        <v>91</v>
      </c>
      <c r="C85" s="8"/>
      <c r="D85" s="8"/>
      <c r="E85" s="8"/>
      <c r="F85" s="8"/>
      <c r="G85" s="10"/>
      <c r="H85" s="25"/>
      <c r="I85" s="2"/>
      <c r="J85" s="2"/>
      <c r="K85" s="26"/>
      <c r="L85" s="41" t="s">
        <v>81</v>
      </c>
      <c r="M85" s="10"/>
      <c r="N85" s="5"/>
    </row>
    <row r="86" spans="1:14" ht="15.5" x14ac:dyDescent="0.35">
      <c r="A86" s="39" t="s">
        <v>92</v>
      </c>
      <c r="B86" s="23" t="s">
        <v>93</v>
      </c>
      <c r="C86" s="8"/>
      <c r="D86" s="8"/>
      <c r="E86" s="8"/>
      <c r="F86" s="8"/>
      <c r="G86" s="10"/>
      <c r="H86" s="25"/>
      <c r="I86" s="2"/>
      <c r="J86" s="2"/>
      <c r="K86" s="26"/>
      <c r="L86" s="41" t="s">
        <v>81</v>
      </c>
      <c r="M86" s="10"/>
      <c r="N86" s="5"/>
    </row>
    <row r="87" spans="1:14" ht="15.5" x14ac:dyDescent="0.35">
      <c r="A87" s="39" t="s">
        <v>94</v>
      </c>
      <c r="B87" s="23" t="s">
        <v>95</v>
      </c>
      <c r="C87" s="8"/>
      <c r="D87" s="8"/>
      <c r="E87" s="8"/>
      <c r="F87" s="8"/>
      <c r="G87" s="10"/>
      <c r="H87" s="25"/>
      <c r="I87" s="2"/>
      <c r="J87" s="2"/>
      <c r="K87" s="26"/>
      <c r="L87" s="41" t="s">
        <v>81</v>
      </c>
      <c r="M87" s="10"/>
      <c r="N87" s="5"/>
    </row>
    <row r="88" spans="1:14" ht="15.5" x14ac:dyDescent="0.35">
      <c r="A88" s="39" t="s">
        <v>96</v>
      </c>
      <c r="B88" s="23" t="s">
        <v>97</v>
      </c>
      <c r="C88" s="8"/>
      <c r="D88" s="8"/>
      <c r="E88" s="8"/>
      <c r="F88" s="8"/>
      <c r="G88" s="10"/>
      <c r="H88" s="25"/>
      <c r="I88" s="2"/>
      <c r="J88" s="2"/>
      <c r="K88" s="26"/>
      <c r="L88" s="41" t="s">
        <v>81</v>
      </c>
      <c r="M88" s="10"/>
      <c r="N88" s="5"/>
    </row>
    <row r="89" spans="1:14" ht="15.5" x14ac:dyDescent="0.35">
      <c r="A89" s="39" t="s">
        <v>98</v>
      </c>
      <c r="B89" s="23" t="s">
        <v>99</v>
      </c>
      <c r="C89" s="8"/>
      <c r="D89" s="8"/>
      <c r="E89" s="8"/>
      <c r="F89" s="8"/>
      <c r="G89" s="10"/>
      <c r="H89" s="25"/>
      <c r="I89" s="2"/>
      <c r="J89" s="2"/>
      <c r="K89" s="26"/>
      <c r="L89" s="41" t="s">
        <v>81</v>
      </c>
      <c r="M89" s="10"/>
      <c r="N89" s="5"/>
    </row>
    <row r="90" spans="1:14" ht="15.5" x14ac:dyDescent="0.35">
      <c r="A90" s="39" t="s">
        <v>100</v>
      </c>
      <c r="B90" s="23" t="s">
        <v>101</v>
      </c>
      <c r="C90" s="8"/>
      <c r="D90" s="8"/>
      <c r="E90" s="8"/>
      <c r="F90" s="8"/>
      <c r="G90" s="10"/>
      <c r="H90" s="25"/>
      <c r="I90" s="2"/>
      <c r="J90" s="2"/>
      <c r="K90" s="26"/>
      <c r="L90" s="41" t="s">
        <v>81</v>
      </c>
      <c r="M90" s="10"/>
      <c r="N90" s="5"/>
    </row>
    <row r="91" spans="1:14" ht="15.5" x14ac:dyDescent="0.35">
      <c r="A91" s="39" t="s">
        <v>102</v>
      </c>
      <c r="B91" s="23" t="s">
        <v>103</v>
      </c>
      <c r="C91" s="8"/>
      <c r="D91" s="8"/>
      <c r="E91" s="8"/>
      <c r="F91" s="8"/>
      <c r="G91" s="10"/>
      <c r="H91" s="24"/>
      <c r="I91" s="18"/>
      <c r="J91" s="18"/>
      <c r="K91" s="19"/>
      <c r="L91" s="41" t="s">
        <v>81</v>
      </c>
      <c r="M91" s="10"/>
      <c r="N91" s="5"/>
    </row>
    <row r="92" spans="1:14" ht="24" hidden="1" customHeight="1" x14ac:dyDescent="0.35">
      <c r="A92" s="38" t="s">
        <v>108</v>
      </c>
      <c r="B92" s="8"/>
      <c r="C92" s="8"/>
      <c r="D92" s="8"/>
      <c r="E92" s="8"/>
      <c r="F92" s="8"/>
      <c r="G92" s="10"/>
      <c r="H92" s="38" t="s">
        <v>106</v>
      </c>
      <c r="I92" s="8"/>
      <c r="J92" s="8"/>
      <c r="K92" s="10"/>
      <c r="L92" s="38" t="s">
        <v>72</v>
      </c>
      <c r="M92" s="10"/>
      <c r="N92" s="30"/>
    </row>
    <row r="93" spans="1:14" ht="15.5" hidden="1" x14ac:dyDescent="0.35">
      <c r="A93" s="39" t="s">
        <v>73</v>
      </c>
      <c r="B93" s="23"/>
      <c r="C93" s="8"/>
      <c r="D93" s="8"/>
      <c r="E93" s="8"/>
      <c r="F93" s="8"/>
      <c r="G93" s="10"/>
      <c r="H93" s="40"/>
      <c r="I93" s="14"/>
      <c r="J93" s="14"/>
      <c r="K93" s="15"/>
      <c r="L93" s="23"/>
      <c r="M93" s="10"/>
      <c r="N93" s="5"/>
    </row>
    <row r="94" spans="1:14" ht="15.5" hidden="1" x14ac:dyDescent="0.35">
      <c r="A94" s="39" t="s">
        <v>77</v>
      </c>
      <c r="B94" s="23"/>
      <c r="C94" s="8"/>
      <c r="D94" s="8"/>
      <c r="E94" s="8"/>
      <c r="F94" s="8"/>
      <c r="G94" s="10"/>
      <c r="H94" s="25"/>
      <c r="I94" s="2"/>
      <c r="J94" s="2"/>
      <c r="K94" s="26"/>
      <c r="L94" s="23"/>
      <c r="M94" s="10"/>
      <c r="N94" s="5"/>
    </row>
    <row r="95" spans="1:14" ht="15.5" hidden="1" x14ac:dyDescent="0.35">
      <c r="A95" s="39" t="s">
        <v>79</v>
      </c>
      <c r="B95" s="23"/>
      <c r="C95" s="8"/>
      <c r="D95" s="8"/>
      <c r="E95" s="8"/>
      <c r="F95" s="8"/>
      <c r="G95" s="10"/>
      <c r="H95" s="25"/>
      <c r="I95" s="2"/>
      <c r="J95" s="2"/>
      <c r="K95" s="26"/>
      <c r="L95" s="23"/>
      <c r="M95" s="10"/>
      <c r="N95" s="5"/>
    </row>
    <row r="96" spans="1:14" ht="15.5" hidden="1" x14ac:dyDescent="0.35">
      <c r="A96" s="39" t="s">
        <v>82</v>
      </c>
      <c r="B96" s="23"/>
      <c r="C96" s="8"/>
      <c r="D96" s="8"/>
      <c r="E96" s="8"/>
      <c r="F96" s="8"/>
      <c r="G96" s="10"/>
      <c r="H96" s="25"/>
      <c r="I96" s="2"/>
      <c r="J96" s="2"/>
      <c r="K96" s="26"/>
      <c r="L96" s="23"/>
      <c r="M96" s="10"/>
      <c r="N96" s="5"/>
    </row>
    <row r="97" spans="1:14" ht="15.5" hidden="1" x14ac:dyDescent="0.35">
      <c r="A97" s="39" t="s">
        <v>84</v>
      </c>
      <c r="B97" s="23"/>
      <c r="C97" s="8"/>
      <c r="D97" s="8"/>
      <c r="E97" s="8"/>
      <c r="F97" s="8"/>
      <c r="G97" s="10"/>
      <c r="H97" s="25"/>
      <c r="I97" s="2"/>
      <c r="J97" s="2"/>
      <c r="K97" s="26"/>
      <c r="L97" s="23"/>
      <c r="M97" s="10"/>
      <c r="N97" s="5"/>
    </row>
    <row r="98" spans="1:14" ht="15.5" hidden="1" x14ac:dyDescent="0.35">
      <c r="A98" s="39" t="s">
        <v>86</v>
      </c>
      <c r="B98" s="23"/>
      <c r="C98" s="8"/>
      <c r="D98" s="8"/>
      <c r="E98" s="8"/>
      <c r="F98" s="8"/>
      <c r="G98" s="10"/>
      <c r="H98" s="25"/>
      <c r="I98" s="2"/>
      <c r="J98" s="2"/>
      <c r="K98" s="26"/>
      <c r="L98" s="23"/>
      <c r="M98" s="10"/>
      <c r="N98" s="5"/>
    </row>
    <row r="99" spans="1:14" ht="15.5" hidden="1" x14ac:dyDescent="0.35">
      <c r="A99" s="39" t="s">
        <v>88</v>
      </c>
      <c r="B99" s="23"/>
      <c r="C99" s="8"/>
      <c r="D99" s="8"/>
      <c r="E99" s="8"/>
      <c r="F99" s="8"/>
      <c r="G99" s="10"/>
      <c r="H99" s="25"/>
      <c r="I99" s="2"/>
      <c r="J99" s="2"/>
      <c r="K99" s="26"/>
      <c r="L99" s="23"/>
      <c r="M99" s="10"/>
      <c r="N99" s="5"/>
    </row>
    <row r="100" spans="1:14" ht="15.5" hidden="1" x14ac:dyDescent="0.35">
      <c r="A100" s="39" t="s">
        <v>90</v>
      </c>
      <c r="B100" s="23"/>
      <c r="C100" s="8"/>
      <c r="D100" s="8"/>
      <c r="E100" s="8"/>
      <c r="F100" s="8"/>
      <c r="G100" s="10"/>
      <c r="H100" s="25"/>
      <c r="I100" s="2"/>
      <c r="J100" s="2"/>
      <c r="K100" s="26"/>
      <c r="L100" s="23"/>
      <c r="M100" s="10"/>
      <c r="N100" s="5"/>
    </row>
    <row r="101" spans="1:14" ht="15.5" hidden="1" x14ac:dyDescent="0.35">
      <c r="A101" s="39" t="s">
        <v>92</v>
      </c>
      <c r="B101" s="23"/>
      <c r="C101" s="8"/>
      <c r="D101" s="8"/>
      <c r="E101" s="8"/>
      <c r="F101" s="8"/>
      <c r="G101" s="10"/>
      <c r="H101" s="25"/>
      <c r="I101" s="2"/>
      <c r="J101" s="2"/>
      <c r="K101" s="26"/>
      <c r="L101" s="23"/>
      <c r="M101" s="10"/>
      <c r="N101" s="5"/>
    </row>
    <row r="102" spans="1:14" ht="15.5" hidden="1" x14ac:dyDescent="0.35">
      <c r="A102" s="39" t="s">
        <v>94</v>
      </c>
      <c r="B102" s="23"/>
      <c r="C102" s="8"/>
      <c r="D102" s="8"/>
      <c r="E102" s="8"/>
      <c r="F102" s="8"/>
      <c r="G102" s="10"/>
      <c r="H102" s="25"/>
      <c r="I102" s="2"/>
      <c r="J102" s="2"/>
      <c r="K102" s="26"/>
      <c r="L102" s="23"/>
      <c r="M102" s="10"/>
      <c r="N102" s="5"/>
    </row>
    <row r="103" spans="1:14" ht="15.5" hidden="1" x14ac:dyDescent="0.35">
      <c r="A103" s="39" t="s">
        <v>96</v>
      </c>
      <c r="B103" s="23"/>
      <c r="C103" s="8"/>
      <c r="D103" s="8"/>
      <c r="E103" s="8"/>
      <c r="F103" s="8"/>
      <c r="G103" s="10"/>
      <c r="H103" s="25"/>
      <c r="I103" s="2"/>
      <c r="J103" s="2"/>
      <c r="K103" s="26"/>
      <c r="L103" s="23"/>
      <c r="M103" s="10"/>
      <c r="N103" s="5"/>
    </row>
    <row r="104" spans="1:14" ht="15.5" hidden="1" x14ac:dyDescent="0.35">
      <c r="A104" s="39" t="s">
        <v>98</v>
      </c>
      <c r="B104" s="23"/>
      <c r="C104" s="8"/>
      <c r="D104" s="8"/>
      <c r="E104" s="8"/>
      <c r="F104" s="8"/>
      <c r="G104" s="10"/>
      <c r="H104" s="25"/>
      <c r="I104" s="2"/>
      <c r="J104" s="2"/>
      <c r="K104" s="26"/>
      <c r="L104" s="23"/>
      <c r="M104" s="10"/>
      <c r="N104" s="5"/>
    </row>
    <row r="105" spans="1:14" ht="15.5" hidden="1" x14ac:dyDescent="0.35">
      <c r="A105" s="39" t="s">
        <v>100</v>
      </c>
      <c r="B105" s="23"/>
      <c r="C105" s="8"/>
      <c r="D105" s="8"/>
      <c r="E105" s="8"/>
      <c r="F105" s="8"/>
      <c r="G105" s="10"/>
      <c r="H105" s="25"/>
      <c r="I105" s="2"/>
      <c r="J105" s="2"/>
      <c r="K105" s="26"/>
      <c r="L105" s="23"/>
      <c r="M105" s="10"/>
      <c r="N105" s="5"/>
    </row>
    <row r="106" spans="1:14" ht="15.5" hidden="1" x14ac:dyDescent="0.35">
      <c r="A106" s="39" t="s">
        <v>102</v>
      </c>
      <c r="B106" s="23"/>
      <c r="C106" s="8"/>
      <c r="D106" s="8"/>
      <c r="E106" s="8"/>
      <c r="F106" s="8"/>
      <c r="G106" s="10"/>
      <c r="H106" s="24"/>
      <c r="I106" s="18"/>
      <c r="J106" s="18"/>
      <c r="K106" s="19"/>
      <c r="L106" s="23"/>
      <c r="M106" s="10"/>
      <c r="N106" s="5"/>
    </row>
    <row r="107" spans="1:14" ht="24" hidden="1" customHeight="1" x14ac:dyDescent="0.35">
      <c r="A107" s="38" t="s">
        <v>109</v>
      </c>
      <c r="B107" s="8"/>
      <c r="C107" s="8"/>
      <c r="D107" s="8"/>
      <c r="E107" s="8"/>
      <c r="F107" s="8"/>
      <c r="G107" s="10"/>
      <c r="H107" s="38" t="s">
        <v>106</v>
      </c>
      <c r="I107" s="8"/>
      <c r="J107" s="8"/>
      <c r="K107" s="10"/>
      <c r="L107" s="38" t="s">
        <v>72</v>
      </c>
      <c r="M107" s="10"/>
      <c r="N107" s="30"/>
    </row>
    <row r="108" spans="1:14" ht="15.5" hidden="1" x14ac:dyDescent="0.35">
      <c r="A108" s="39" t="s">
        <v>73</v>
      </c>
      <c r="B108" s="23"/>
      <c r="C108" s="8"/>
      <c r="D108" s="8"/>
      <c r="E108" s="8"/>
      <c r="F108" s="8"/>
      <c r="G108" s="10"/>
      <c r="H108" s="40"/>
      <c r="I108" s="14"/>
      <c r="J108" s="14"/>
      <c r="K108" s="15"/>
      <c r="L108" s="23"/>
      <c r="M108" s="10"/>
      <c r="N108" s="5"/>
    </row>
    <row r="109" spans="1:14" ht="15.5" hidden="1" x14ac:dyDescent="0.35">
      <c r="A109" s="39" t="s">
        <v>77</v>
      </c>
      <c r="B109" s="23"/>
      <c r="C109" s="8"/>
      <c r="D109" s="8"/>
      <c r="E109" s="8"/>
      <c r="F109" s="8"/>
      <c r="G109" s="10"/>
      <c r="H109" s="25"/>
      <c r="I109" s="2"/>
      <c r="J109" s="2"/>
      <c r="K109" s="26"/>
      <c r="L109" s="23"/>
      <c r="M109" s="10"/>
      <c r="N109" s="5"/>
    </row>
    <row r="110" spans="1:14" ht="15.5" hidden="1" x14ac:dyDescent="0.35">
      <c r="A110" s="39" t="s">
        <v>79</v>
      </c>
      <c r="B110" s="23"/>
      <c r="C110" s="8"/>
      <c r="D110" s="8"/>
      <c r="E110" s="8"/>
      <c r="F110" s="8"/>
      <c r="G110" s="10"/>
      <c r="H110" s="25"/>
      <c r="I110" s="2"/>
      <c r="J110" s="2"/>
      <c r="K110" s="26"/>
      <c r="L110" s="23"/>
      <c r="M110" s="10"/>
      <c r="N110" s="5"/>
    </row>
    <row r="111" spans="1:14" ht="15.5" hidden="1" x14ac:dyDescent="0.35">
      <c r="A111" s="39" t="s">
        <v>82</v>
      </c>
      <c r="B111" s="23"/>
      <c r="C111" s="8"/>
      <c r="D111" s="8"/>
      <c r="E111" s="8"/>
      <c r="F111" s="8"/>
      <c r="G111" s="10"/>
      <c r="H111" s="25"/>
      <c r="I111" s="2"/>
      <c r="J111" s="2"/>
      <c r="K111" s="26"/>
      <c r="L111" s="23"/>
      <c r="M111" s="10"/>
      <c r="N111" s="5"/>
    </row>
    <row r="112" spans="1:14" ht="15.5" hidden="1" x14ac:dyDescent="0.35">
      <c r="A112" s="39" t="s">
        <v>84</v>
      </c>
      <c r="B112" s="23"/>
      <c r="C112" s="8"/>
      <c r="D112" s="8"/>
      <c r="E112" s="8"/>
      <c r="F112" s="8"/>
      <c r="G112" s="10"/>
      <c r="H112" s="25"/>
      <c r="I112" s="2"/>
      <c r="J112" s="2"/>
      <c r="K112" s="26"/>
      <c r="L112" s="23"/>
      <c r="M112" s="10"/>
      <c r="N112" s="5"/>
    </row>
    <row r="113" spans="1:14" ht="15.5" hidden="1" x14ac:dyDescent="0.35">
      <c r="A113" s="39" t="s">
        <v>86</v>
      </c>
      <c r="B113" s="23"/>
      <c r="C113" s="8"/>
      <c r="D113" s="8"/>
      <c r="E113" s="8"/>
      <c r="F113" s="8"/>
      <c r="G113" s="10"/>
      <c r="H113" s="25"/>
      <c r="I113" s="2"/>
      <c r="J113" s="2"/>
      <c r="K113" s="26"/>
      <c r="L113" s="23"/>
      <c r="M113" s="10"/>
      <c r="N113" s="5"/>
    </row>
    <row r="114" spans="1:14" ht="15.5" hidden="1" x14ac:dyDescent="0.35">
      <c r="A114" s="39" t="s">
        <v>88</v>
      </c>
      <c r="B114" s="23"/>
      <c r="C114" s="8"/>
      <c r="D114" s="8"/>
      <c r="E114" s="8"/>
      <c r="F114" s="8"/>
      <c r="G114" s="10"/>
      <c r="H114" s="25"/>
      <c r="I114" s="2"/>
      <c r="J114" s="2"/>
      <c r="K114" s="26"/>
      <c r="L114" s="23"/>
      <c r="M114" s="10"/>
      <c r="N114" s="5"/>
    </row>
    <row r="115" spans="1:14" ht="15.5" hidden="1" x14ac:dyDescent="0.35">
      <c r="A115" s="39" t="s">
        <v>90</v>
      </c>
      <c r="B115" s="23"/>
      <c r="C115" s="8"/>
      <c r="D115" s="8"/>
      <c r="E115" s="8"/>
      <c r="F115" s="8"/>
      <c r="G115" s="10"/>
      <c r="H115" s="25"/>
      <c r="I115" s="2"/>
      <c r="J115" s="2"/>
      <c r="K115" s="26"/>
      <c r="L115" s="23"/>
      <c r="M115" s="10"/>
      <c r="N115" s="5"/>
    </row>
    <row r="116" spans="1:14" ht="15.5" hidden="1" x14ac:dyDescent="0.35">
      <c r="A116" s="39" t="s">
        <v>92</v>
      </c>
      <c r="B116" s="23"/>
      <c r="C116" s="8"/>
      <c r="D116" s="8"/>
      <c r="E116" s="8"/>
      <c r="F116" s="8"/>
      <c r="G116" s="10"/>
      <c r="H116" s="25"/>
      <c r="I116" s="2"/>
      <c r="J116" s="2"/>
      <c r="K116" s="26"/>
      <c r="L116" s="23"/>
      <c r="M116" s="10"/>
      <c r="N116" s="5"/>
    </row>
    <row r="117" spans="1:14" ht="15.5" hidden="1" x14ac:dyDescent="0.35">
      <c r="A117" s="39" t="s">
        <v>94</v>
      </c>
      <c r="B117" s="23"/>
      <c r="C117" s="8"/>
      <c r="D117" s="8"/>
      <c r="E117" s="8"/>
      <c r="F117" s="8"/>
      <c r="G117" s="10"/>
      <c r="H117" s="25"/>
      <c r="I117" s="2"/>
      <c r="J117" s="2"/>
      <c r="K117" s="26"/>
      <c r="L117" s="23"/>
      <c r="M117" s="10"/>
      <c r="N117" s="5"/>
    </row>
    <row r="118" spans="1:14" ht="15.5" hidden="1" x14ac:dyDescent="0.35">
      <c r="A118" s="39" t="s">
        <v>96</v>
      </c>
      <c r="B118" s="23"/>
      <c r="C118" s="8"/>
      <c r="D118" s="8"/>
      <c r="E118" s="8"/>
      <c r="F118" s="8"/>
      <c r="G118" s="10"/>
      <c r="H118" s="25"/>
      <c r="I118" s="2"/>
      <c r="J118" s="2"/>
      <c r="K118" s="26"/>
      <c r="L118" s="23"/>
      <c r="M118" s="10"/>
      <c r="N118" s="5"/>
    </row>
    <row r="119" spans="1:14" ht="15.5" hidden="1" x14ac:dyDescent="0.35">
      <c r="A119" s="39" t="s">
        <v>98</v>
      </c>
      <c r="B119" s="23"/>
      <c r="C119" s="8"/>
      <c r="D119" s="8"/>
      <c r="E119" s="8"/>
      <c r="F119" s="8"/>
      <c r="G119" s="10"/>
      <c r="H119" s="25"/>
      <c r="I119" s="2"/>
      <c r="J119" s="2"/>
      <c r="K119" s="26"/>
      <c r="L119" s="23"/>
      <c r="M119" s="10"/>
      <c r="N119" s="5"/>
    </row>
    <row r="120" spans="1:14" ht="15.5" hidden="1" x14ac:dyDescent="0.35">
      <c r="A120" s="39" t="s">
        <v>100</v>
      </c>
      <c r="B120" s="23"/>
      <c r="C120" s="8"/>
      <c r="D120" s="8"/>
      <c r="E120" s="8"/>
      <c r="F120" s="8"/>
      <c r="G120" s="10"/>
      <c r="H120" s="25"/>
      <c r="I120" s="2"/>
      <c r="J120" s="2"/>
      <c r="K120" s="26"/>
      <c r="L120" s="23"/>
      <c r="M120" s="10"/>
      <c r="N120" s="5"/>
    </row>
    <row r="121" spans="1:14" ht="15.5" hidden="1" x14ac:dyDescent="0.35">
      <c r="A121" s="39" t="s">
        <v>102</v>
      </c>
      <c r="B121" s="23"/>
      <c r="C121" s="8"/>
      <c r="D121" s="8"/>
      <c r="E121" s="8"/>
      <c r="F121" s="8"/>
      <c r="G121" s="10"/>
      <c r="H121" s="24"/>
      <c r="I121" s="18"/>
      <c r="J121" s="18"/>
      <c r="K121" s="19"/>
      <c r="L121" s="23"/>
      <c r="M121" s="10"/>
      <c r="N121" s="5"/>
    </row>
    <row r="122" spans="1:14" ht="15.5" x14ac:dyDescent="0.35">
      <c r="A122" s="43" t="s">
        <v>110</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111</v>
      </c>
      <c r="B124" s="2"/>
      <c r="C124" s="2"/>
      <c r="D124" s="2"/>
      <c r="E124" s="2"/>
      <c r="F124" s="2"/>
      <c r="G124" s="2"/>
      <c r="H124" s="2"/>
      <c r="I124" s="2"/>
      <c r="J124" s="2"/>
      <c r="K124" s="2"/>
      <c r="L124" s="2"/>
      <c r="M124" s="2"/>
      <c r="N124" s="30"/>
    </row>
    <row r="125" spans="1:14" ht="46.5" x14ac:dyDescent="0.35">
      <c r="A125" s="44" t="s">
        <v>112</v>
      </c>
      <c r="B125" s="45" t="s">
        <v>113</v>
      </c>
      <c r="C125" s="8"/>
      <c r="D125" s="8"/>
      <c r="E125" s="8"/>
      <c r="F125" s="8"/>
      <c r="G125" s="10"/>
      <c r="H125" s="45" t="s">
        <v>114</v>
      </c>
      <c r="I125" s="8"/>
      <c r="J125" s="8"/>
      <c r="K125" s="10"/>
      <c r="L125" s="46" t="s">
        <v>115</v>
      </c>
      <c r="M125" s="10"/>
      <c r="N125" s="5"/>
    </row>
    <row r="126" spans="1:14" ht="15.5" x14ac:dyDescent="0.35">
      <c r="A126" s="47" t="s">
        <v>116</v>
      </c>
      <c r="B126" s="48" t="s">
        <v>117</v>
      </c>
      <c r="C126" s="14"/>
      <c r="D126" s="14"/>
      <c r="E126" s="14"/>
      <c r="F126" s="14"/>
      <c r="G126" s="15"/>
      <c r="H126" s="49" t="s">
        <v>118</v>
      </c>
      <c r="I126" s="8"/>
      <c r="J126" s="8"/>
      <c r="K126" s="50" t="s">
        <v>119</v>
      </c>
      <c r="L126" s="51">
        <f>1-SUM(L129:M131)</f>
        <v>0.7</v>
      </c>
      <c r="M126" s="15"/>
      <c r="N126" s="5"/>
    </row>
    <row r="127" spans="1:14" ht="15.5" x14ac:dyDescent="0.35">
      <c r="A127" s="52"/>
      <c r="B127" s="25"/>
      <c r="C127" s="2"/>
      <c r="D127" s="2"/>
      <c r="E127" s="2"/>
      <c r="F127" s="2"/>
      <c r="G127" s="26"/>
      <c r="H127" s="53" t="s">
        <v>120</v>
      </c>
      <c r="I127" s="8"/>
      <c r="J127" s="8"/>
      <c r="K127" s="50" t="s">
        <v>121</v>
      </c>
      <c r="L127" s="25"/>
      <c r="M127" s="26"/>
      <c r="N127" s="5"/>
    </row>
    <row r="128" spans="1:14" ht="15.5" x14ac:dyDescent="0.35">
      <c r="A128" s="35"/>
      <c r="B128" s="24"/>
      <c r="C128" s="18"/>
      <c r="D128" s="18"/>
      <c r="E128" s="18"/>
      <c r="F128" s="18"/>
      <c r="G128" s="19"/>
      <c r="H128" s="53" t="s">
        <v>122</v>
      </c>
      <c r="I128" s="8"/>
      <c r="J128" s="8"/>
      <c r="K128" s="50" t="s">
        <v>123</v>
      </c>
      <c r="L128" s="24"/>
      <c r="M128" s="19"/>
      <c r="N128" s="5"/>
    </row>
    <row r="129" spans="1:14" ht="68.25" customHeight="1" x14ac:dyDescent="0.35">
      <c r="A129" s="44" t="s">
        <v>124</v>
      </c>
      <c r="B129" s="53" t="s">
        <v>125</v>
      </c>
      <c r="C129" s="8"/>
      <c r="D129" s="8"/>
      <c r="E129" s="8"/>
      <c r="F129" s="8"/>
      <c r="G129" s="10"/>
      <c r="H129" s="53" t="s">
        <v>126</v>
      </c>
      <c r="I129" s="8"/>
      <c r="J129" s="8"/>
      <c r="K129" s="10"/>
      <c r="L129" s="54">
        <v>0.3</v>
      </c>
      <c r="M129" s="10"/>
      <c r="N129" s="5"/>
    </row>
    <row r="130" spans="1:14" ht="46.5" hidden="1" x14ac:dyDescent="0.35">
      <c r="A130" s="44" t="s">
        <v>127</v>
      </c>
      <c r="B130" s="55" t="s">
        <v>128</v>
      </c>
      <c r="C130" s="8"/>
      <c r="D130" s="8"/>
      <c r="E130" s="8"/>
      <c r="F130" s="8"/>
      <c r="G130" s="10"/>
      <c r="H130" s="53" t="s">
        <v>129</v>
      </c>
      <c r="I130" s="8"/>
      <c r="J130" s="8"/>
      <c r="K130" s="10"/>
      <c r="L130" s="54"/>
      <c r="M130" s="10"/>
      <c r="N130" s="5"/>
    </row>
    <row r="131" spans="1:14" ht="31" hidden="1" x14ac:dyDescent="0.35">
      <c r="A131" s="44" t="s">
        <v>130</v>
      </c>
      <c r="B131" s="55" t="s">
        <v>131</v>
      </c>
      <c r="C131" s="8"/>
      <c r="D131" s="8"/>
      <c r="E131" s="8"/>
      <c r="F131" s="8"/>
      <c r="G131" s="10"/>
      <c r="H131" s="53" t="s">
        <v>132</v>
      </c>
      <c r="I131" s="8"/>
      <c r="J131" s="8"/>
      <c r="K131" s="10"/>
      <c r="L131" s="54"/>
      <c r="M131" s="10"/>
      <c r="N131" s="5"/>
    </row>
    <row r="132" spans="1:14" ht="15.5" x14ac:dyDescent="0.35">
      <c r="A132" s="45" t="s">
        <v>133</v>
      </c>
      <c r="B132" s="8"/>
      <c r="C132" s="8"/>
      <c r="D132" s="8"/>
      <c r="E132" s="8"/>
      <c r="F132" s="8"/>
      <c r="G132" s="8"/>
      <c r="H132" s="8"/>
      <c r="I132" s="8"/>
      <c r="J132" s="8"/>
      <c r="K132" s="8"/>
      <c r="L132" s="8"/>
      <c r="M132" s="10"/>
      <c r="N132" s="5"/>
    </row>
    <row r="133" spans="1:14" ht="15.5" x14ac:dyDescent="0.35">
      <c r="A133" s="56" t="s">
        <v>134</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7" t="s">
        <v>135</v>
      </c>
      <c r="B135" s="10"/>
      <c r="C135" s="58">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7" t="s">
        <v>136</v>
      </c>
      <c r="B137" s="10"/>
      <c r="C137" s="9" t="str">
        <f>E15</f>
        <v>lect. dr. mat. Grosu Gabriela</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9" t="s">
        <v>137</v>
      </c>
      <c r="B139" s="15"/>
      <c r="C139" s="9" t="str">
        <f t="shared" ref="C139:C141" si="0">E17</f>
        <v>lect. dr. mat. Grosu Gabriela</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7" t="s">
        <v>138</v>
      </c>
      <c r="B143" s="10"/>
      <c r="C143" s="60">
        <f>[1]Date!C29</f>
        <v>45915</v>
      </c>
      <c r="D143" s="10"/>
      <c r="E143" s="57" t="s">
        <v>139</v>
      </c>
      <c r="F143" s="8"/>
      <c r="G143" s="10"/>
      <c r="H143" s="61" t="str">
        <f>[1]Date!C31</f>
        <v>Conf.dr.ing. Mihai POSTOLACHE</v>
      </c>
      <c r="I143" s="8"/>
      <c r="J143" s="8"/>
      <c r="K143" s="8"/>
      <c r="L143" s="8"/>
      <c r="M143" s="10"/>
      <c r="N143" s="5"/>
    </row>
    <row r="144" spans="1:14" ht="21.75" customHeight="1" x14ac:dyDescent="0.35">
      <c r="A144" s="62"/>
      <c r="B144" s="62"/>
      <c r="C144" s="63"/>
      <c r="D144" s="63"/>
      <c r="E144" s="62"/>
      <c r="F144" s="62"/>
      <c r="G144" s="62"/>
      <c r="H144" s="63"/>
      <c r="I144" s="63"/>
      <c r="J144" s="63"/>
      <c r="K144" s="63"/>
      <c r="L144" s="63"/>
      <c r="M144" s="63"/>
      <c r="N144" s="5"/>
    </row>
    <row r="145" spans="1:14" ht="28.5" customHeight="1" x14ac:dyDescent="0.35">
      <c r="A145" s="57" t="s">
        <v>140</v>
      </c>
      <c r="B145" s="10"/>
      <c r="C145" s="60">
        <f>[1]Date!C30</f>
        <v>45918</v>
      </c>
      <c r="D145" s="10"/>
      <c r="E145" s="57" t="s">
        <v>141</v>
      </c>
      <c r="F145" s="8"/>
      <c r="G145" s="10"/>
      <c r="H145" s="61" t="str">
        <f>[1]Date!C32</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hyperlinks>
    <hyperlink ref="A76" r:id="rId1" xr:uid="{1C0D6B0C-FDE2-499A-8A35-98D4A0733AF1}"/>
    <hyperlink ref="A122" r:id="rId2" xr:uid="{0BDB4E60-B642-45DD-B944-87596CAA8EEB}"/>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2026-03-01T09:08:53Z</dcterms:created>
  <dcterms:modified xsi:type="dcterms:W3CDTF">2026-03-01T09:08:56Z</dcterms:modified>
</cp:coreProperties>
</file>