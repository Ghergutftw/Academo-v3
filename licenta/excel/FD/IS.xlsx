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DD5FBAAA-C4B3-48C6-AA79-36E6D0754C60}" xr6:coauthVersionLast="47" xr6:coauthVersionMax="47" xr10:uidLastSave="{00000000-0000-0000-0000-000000000000}"/>
  <bookViews>
    <workbookView xWindow="-110" yWindow="-110" windowWidth="25820" windowHeight="15500" xr2:uid="{B6FA7F74-8EB7-41BB-9ADB-72A9B947A24C}"/>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C23" i="1"/>
  <c r="C9" i="1"/>
  <c r="C8" i="1"/>
  <c r="C7" i="1"/>
  <c r="A2" i="1"/>
  <c r="E14" i="1" a="1"/>
  <c r="E14" i="1" s="1"/>
  <c r="E13" i="1" l="1" a="1"/>
  <c r="E13" i="1" s="1"/>
  <c r="G26" i="1" a="1"/>
  <c r="G26" i="1" s="1"/>
  <c r="G27" i="1" s="1"/>
  <c r="I26" i="1" a="1"/>
  <c r="I26" i="1" s="1"/>
  <c r="I27" i="1" s="1"/>
  <c r="M14" i="1" a="1"/>
  <c r="M14" i="1" s="1"/>
  <c r="K26" i="1" a="1"/>
  <c r="K26" i="1" s="1"/>
  <c r="K27" i="1" s="1"/>
  <c r="E23" i="1" a="1"/>
  <c r="E23" i="1" s="1"/>
  <c r="I23" i="1" a="1"/>
  <c r="I23"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2958E0E6-8295-48CA-B834-688CCE2127FA}">
      <text>
        <r>
          <rPr>
            <sz val="10"/>
            <color rgb="FF000000"/>
            <rFont val="Aptos Narrow"/>
            <scheme val="minor"/>
          </rPr>
          <t>Pondere din nota de la E / V</t>
        </r>
      </text>
    </comment>
    <comment ref="K127" authorId="0" shapeId="0" xr:uid="{2A26E88F-A2B2-43F1-841F-ECD568A9E026}">
      <text>
        <r>
          <rPr>
            <sz val="10"/>
            <color rgb="FF000000"/>
            <rFont val="Aptos Narrow"/>
            <scheme val="minor"/>
          </rPr>
          <t>Pondere din nota de la E / V</t>
        </r>
      </text>
    </comment>
    <comment ref="K128" authorId="0" shapeId="0" xr:uid="{798EE019-7D20-4481-AC41-247D36C90022}">
      <text>
        <r>
          <rPr>
            <sz val="10"/>
            <color rgb="FF000000"/>
            <rFont val="Aptos Narrow"/>
            <scheme val="minor"/>
          </rPr>
          <t>Pondere din nota de la E / V</t>
        </r>
      </text>
    </comment>
  </commentList>
</comments>
</file>

<file path=xl/sharedStrings.xml><?xml version="1.0" encoding="utf-8"?>
<sst xmlns="http://schemas.openxmlformats.org/spreadsheetml/2006/main" count="198" uniqueCount="148">
  <si>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</si>
  <si>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</si>
  <si>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</si>
  <si>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</si>
  <si>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</si>
  <si>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</si>
  <si>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</si>
  <si>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</si>
  <si>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</si>
  <si>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</si>
  <si>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</si>
  <si>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</si>
  <si>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</si>
  <si>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Identificarea sistemelor</t>
  </si>
  <si>
    <t>(în limba engleză, conform Suplimentului la diplomă)</t>
  </si>
  <si>
    <t>2.1.2. Codul disciplinei</t>
  </si>
  <si>
    <t xml:space="preserve">2.1.3. Categoria formativă </t>
  </si>
  <si>
    <t>2.2 Titularul / titularii activităţilor de curs</t>
  </si>
  <si>
    <t>conf.dr.ing. Letitia Mirea</t>
  </si>
  <si>
    <t>2.3 Titularul / titularii activităţilor de aplicaţii (S, L, P, Pr)</t>
  </si>
  <si>
    <t>conf.dr.ing. Anca Maxim</t>
  </si>
  <si>
    <t>asist.drd.ing. Aura Ganciu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</si>
  <si>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</si>
  <si>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</si>
  <si>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</si>
  <si>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</si>
  <si>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</si>
  <si>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</si>
  <si>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</si>
  <si>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</si>
  <si>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</si>
  <si>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</si>
  <si>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</si>
  <si>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</si>
  <si>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</si>
  <si>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</si>
  <si>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</si>
  <si>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</si>
  <si>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</si>
  <si>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</si>
  <si>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</si>
  <si>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</si>
  <si>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</si>
  <si>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</si>
  <si>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</si>
  <si>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</si>
  <si>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</si>
  <si>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</si>
  <si>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</si>
  <si>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</si>
  <si>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</si>
  <si>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</si>
  <si>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</si>
  <si>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Introducere in automatica, Sisteme automate cu esantionare</t>
  </si>
  <si>
    <t>5. Condiţii</t>
  </si>
  <si>
    <t>5.1 de desfăşurare a cursului</t>
  </si>
  <si>
    <t>amfiteatru dotat cu videoproiector</t>
  </si>
  <si>
    <t>5.2 de desfăşurare a seminarului / laboratorului / proiectului</t>
  </si>
  <si>
    <t>sala de laborator dotata cu calculatoare, software MATLAB, tabla inteligenta</t>
  </si>
  <si>
    <t>6. Obiectivul general al disciplinei</t>
  </si>
  <si>
    <t>Acest curs este o introducere în identificarea sistemelor, care constă în construirea unui model adecvat pentru un sistem dinamic, în domeniul discret de timp, folosind măsurători adecvate. Va acoperi câteva dintre principalele metode parametrice și neparametrice pentru identificarea sistemelor dinamice. De asemenea, va acoperi analiza semnalelor (deterministe şi stohastice) și problema identificabilităţii unui sistem şi al validării modelelor obţinute. Lucrările de laborator vor oferi studenților oportunitatea de a aplica metodele studiate şi de a analiza rezultatele obţinute.</t>
  </si>
  <si>
    <t>7. Rezultatele învățării</t>
  </si>
  <si>
    <t>Cunoștințe</t>
  </si>
  <si>
    <t>Studentul / Absolventul:</t>
  </si>
  <si>
    <t xml:space="preserve">- indică stimuli externi care influenţează funcţionarea unui sistem dinamic, numeşte categoriile de modele ce pot fi asociate unui sistem dinamic, indică modul de construcţie al modelelor, reaminteşte diferenţele dintre modele liniare şi neliniare, variante şi invariante în timp, continue şi discrete, deterministe şi stohastice
- defineşte noţiunea de “semnal”, recunoaşte semnalele deterministe şi pe cele stohastice, defineşte funcţia de autocorelaţie a unui semnal determinist (domeniul continuu şi discret de timp), indică proprietăţile funcţiei de autocorelaţie a unui semnal determinist, indică seria Fourier trigonometrică, polară şi complexă asociate unui semnal periodic, defineşte lărgimea de bandă de frecvenţe a unui semnal, defineşte spectrul de putere al unui semnal şi densitatea spectrală de energie, defineşte transformata Fourier în timp discret, defineşte spectrul de putere al unui semnal discret, reaminteşte noţiunile: variabilă aleatoare, funcţia de repartiţie a unei variabile aleatoare şi proprietăţile ei, funcţia densitate de probabilitate, proprietăţile statistice ale variabilelor aleatoare; defineşte operatorul valorii aşteptate a unei funcţii de variabile aleatoare, defineşte funcţia de repartiţie comună a două variabile aleatoare, defineşte covarianţa a două variabile aleatoare, indică proprietăţile covarianţei, defineşte corelaţia a două variabile aleatoare, recunoaşte diferenţa dintre variabile aleatoare independente şi necorelate, defineşte conceptele de semnal stohastic, proces stohastic şi serie de timp, defineşte proprietăţile de staţionaritate şi ergodicitate ale unui semnal stohastic, defineşte funcţia de auto-covarianţă a unui semnal aleator, indică proprietăţile funcţiei de auto-covarianţă, defineşte funcţia de autocorelaţie a unui semnal aleator şi coeficientul de autocorelaţie, defineşte funcţia de intercorelaţie a două semnale aleatoare, defineşte densitatea spectrală de putere a unui proces stohastic, enunţă teorma Wiener-Hincin, defineşte conceptul de proces aleator periodic, defineşte densitatea interspectrală de putere, indică metodele de estimare ale densităţii spectrale de putere
- numeşte categoriile de modele (neparametrice şi parametrice), numeşte tipurile de modele neparametrice, indică modelul de tip funcţie de transfer discrete a unui sistem LTI, indică familiile de modele de tip funcţie de transfer discretă (ARX, ARMAX, OE, BJ), caracterizează familiile de modele de tip funcţie de transfer discretă pentru sisteme LTI
- explică metodele de estimare ale răspunsului la impuls, răspunsului indicial, răspunsului în frecvenţă, spectrului de frecvenţe al perturbaţiei
- explică modul de estimare al parametrilor unui model parametric de tip funcţie de transfer prin minimizarea erorii de predicţie, explică algoritmul de estimare a parametrilor unui model ARX, explică algoritmii de estimare a parametrilor unui model ARMAX de tip Newton-Raphson, Gauss-Newton – al celor mai mici pătrate neliniare şi a regresiilor pseudo-liniare, explică algoritmii de estimare a parametrilor unui model de tip OE: bazat pe metoda celor mai mici pătrate neliniare, algoritmul Stieglitz-McBride şi metoda celor mai mici pătrate ponderate, explică algoritmul de estimare a parametrilor unui model de tip BJ, explică metodele de corelaţie (bazate pe definirea variabilelor instrumentale) pentru estimarea parametrilor unui model de tip ARX – algoritmul multipas al variabilelor instrumentale IV4- explică modul de estimare al parametrilor unui model parametric de tip funcţie de transfer prin minimizarea erorii de predicţie, explică algoritmul de estimare a parametrilor unui model ARX, explică algoritmii de estimare a parametrilor unui model ARMAX de tip Newton-Raphson, Gauss-Newton – al celor mai mici pătrate neliniare şi a regresiilor pseudo-liniare, explică algoritmii de estimare a parametrilor unui model de tip OE: bazat pe metoda celor mai mici pătrate neliniare, algoritmul Stieglitz-McBride şi metoda celor mai mici pătrate ponderate, explică algoritmul de estimare a parametrilor unui model de tip BJ, explică metodele de corelaţie (bazate pe definirea variabilelor instrumentale) pentru estimarea parametrilor unui model de tip ARX – algoritmul multipas al variabilelor instrumentale IV4
- explică metoda recursivă a celor mai mici pătrate, explică metoda recursive a variabilelor instrumentale, explică metoda regresiilor pseudo-liniare
- indică condiţiile de identificabilitate ale unui sistem, indică proprietăţile semnalelor de probe utilizate într-un experiment de identificare, indică semnalele de intrare dezirabile uzuale într-un experiment de identificare, indică şi explică testele realizate asupra unui model obţinut pentru verificarea acurateţii sale (teste de deviere, de varianţă şi evaluarea răspunsurilor modelului)
</t>
  </si>
  <si>
    <t>Aptitudini</t>
  </si>
  <si>
    <t>- folosește mediul MATLAB (cu precădere toolbox-urile specifice) pentru a analiza și rezolva probleme de identificare și pentru a interpreta rezultatele
- examinează, analizează și compară sisteme dinamice liniare continue și discrete în domeniile timp și frecvență
- distinge, compară și analizează semnale continue și discrete, periodice și neperiodice, în domeniile timp și frecvență, utilizeaza rezultatele analizei de corelatie/ intercorelatiei pentru a determina periodicităti existente intr-un semnal si decalaje temporale intre două semnale 
-  analizează, distinge și compară semnalele aleatoare în domeniile timp și frecvență
-  selectează, distinge, prelucrează și utilizează semnale de intrare-ieșire pentru identificare
-  aplică, examinează și compară metode de identificare parametrice off-line pentru identificare
- aplică, examinează și compară metode de identificare parametrice on-line pentru identificare</t>
  </si>
  <si>
    <t>Responsabilitate și autonomie</t>
  </si>
  <si>
    <t>- demonstrează capacitatea de a identifica probleme, de a analiza dinamici complexe și de a se adapta la diverse sisteme și tipuri de date
- demonstrează autodisciplină, automotivare și perseverență în abordarea provocărilor legate de identificarea sistemelor
- evaluează critic diferite abordări de modelare și adecvarea lor pentru o anumită problemă
- lucrează eficient în grup pentru lucrări practice de laborator demonstrând abilități interpersonale</t>
  </si>
  <si>
    <t xml:space="preserve">8. Metode de predare </t>
  </si>
  <si>
    <t xml:space="preserve"> expunere utilizand videoproiector</t>
  </si>
  <si>
    <t>9. Conţinuturi</t>
  </si>
  <si>
    <t>9.1. Curs</t>
  </si>
  <si>
    <t>Metode de predare</t>
  </si>
  <si>
    <t>Timp alocat</t>
  </si>
  <si>
    <t>1</t>
  </si>
  <si>
    <t>Noţiuni introductive (sisteme dinamice, modele, procedura de identificare a unui sistem)</t>
  </si>
  <si>
    <t>Expunere utilizand videoproiector</t>
  </si>
  <si>
    <t>2</t>
  </si>
  <si>
    <t>Sisteme liniare invariante în timp (răspunsul la impuls, perturbaţii, funcţie de transfer, descrieri în domeniul frecvenţial)</t>
  </si>
  <si>
    <t>3</t>
  </si>
  <si>
    <t>Analiza unui semnal (Semnale deterministe: analiza în domeniul timp; analiza în domeniul frecvenţial; semnale stohastice: variabile aleatoare şi proprietăţi; semnale şi procese stohastice; analiza în domeniul timp; analiza în domeniul frecvenţial)</t>
  </si>
  <si>
    <t>4</t>
  </si>
  <si>
    <t>Modele ale sistemelor liniare invariante în timp discrete (modele liniare şi seturi de modele liniare; Familii de modele de tip funcţie de transfer: ARX, ARMAX, OE, BJ)</t>
  </si>
  <si>
    <t>5</t>
  </si>
  <si>
    <t>Metode neparametrice de identificare (estimarea răspunsului la impuls; estimarea răspunsului indicial; estimarea răspunsului în frecvenţă; estimarea spectrului de frecvenţe al perturbaţiei)</t>
  </si>
  <si>
    <t>6</t>
  </si>
  <si>
    <t>Metode nerecursive (eng. off-line) de estimare a parametrilor modelului discret (metode bazate pe minimizarea erorii de ecuaţie; algoritmi de estimare a parametrilor modelelor specifice)</t>
  </si>
  <si>
    <t>7</t>
  </si>
  <si>
    <t>Metode recursive (eng. on-line) de estimare a parametrilor modelului discret (algoritmul recursive al celor mai mici pătrate; metoda recursive a variabilelor instrumentale; metoda regresiilor pseudo-liniare)</t>
  </si>
  <si>
    <t>8</t>
  </si>
  <si>
    <t>Identificabilitate şi validarea modelului (condiţii de identificabiliate a unui sistem; validarea modelului)</t>
  </si>
  <si>
    <t>9</t>
  </si>
  <si>
    <t>10</t>
  </si>
  <si>
    <t>11</t>
  </si>
  <si>
    <t>12</t>
  </si>
  <si>
    <t>13</t>
  </si>
  <si>
    <t>14</t>
  </si>
  <si>
    <t xml:space="preserve">Bibliografie curs:
1. “System Identification: Theory for the User”, Lennart Ljung, Prentice Hall (2nd Ed), 1999
2. “System identification”, Söderström and Stoica, Prentice Hall, 1989.
3.  “Filtering and System Identification: A Least Squares Approach”, Verhaegen M, Verdult V., Cambridge University Press, 2007
</t>
  </si>
  <si>
    <t>9.2a Seminar</t>
  </si>
  <si>
    <t>Metode de lucru</t>
  </si>
  <si>
    <t>9.2b Laborator</t>
  </si>
  <si>
    <t>Introducere în mediul software MATLAB® (Control System Toolbox, System Identification Toolbox, Signal Processing Toolbox, Simulink)</t>
  </si>
  <si>
    <t>Parcurgerea unor exemple si rezolvarea unor probleme utilizand mediul de programare MATLAB/ System Identification Toolbox</t>
  </si>
  <si>
    <t>Modelarea şi analiza sistemelor dinamice liniare continue şi discrete în domeniul timp</t>
  </si>
  <si>
    <t>Modelarea şi analiza sistemelor dinamice liniare continue şi discrete în domeniul frecvenţă</t>
  </si>
  <si>
    <t>Analiza semnalelor continue deterministe (periodice şi neperiodice) în domeniul timp</t>
  </si>
  <si>
    <t>Analiza semnalelor discrete deterministe (periodice şi neperiodice) în domeniul frecvenţial</t>
  </si>
  <si>
    <t>Analiza semnalelor aleatoare în domeniul timp</t>
  </si>
  <si>
    <t>Analiza semnalelor aleatoare în domeniul frecvenţial</t>
  </si>
  <si>
    <t>Pre-procesarea semnalelor de intrare-ieşire în vederea identificării</t>
  </si>
  <si>
    <t>Identificarea off-line a sistemelor prin metode neparametrice</t>
  </si>
  <si>
    <t>Semnale de intrare tipice pentru identificarea sistemelor (zgomot alb, semnal PRBS, zgomot colorat, semnal multi-sinus)</t>
  </si>
  <si>
    <t>Identificarea off-line a sistemelor prin metode parametrice – modele ARX</t>
  </si>
  <si>
    <t>Identificarea sistemelor prin metode parametrice off-line – modele ARMAX, OE, BJ</t>
  </si>
  <si>
    <t>Identificarea sistemelor prin metode parametrice on-line – metoda celor mai mici pătrate</t>
  </si>
  <si>
    <t>Identificarea sistemelor prin metode parametrice on-line – metoda variabilelor instrumentale</t>
  </si>
  <si>
    <t>9.2c Proiect</t>
  </si>
  <si>
    <t>Bibliografie aplicaţii (seminar / laborator / proiect):
1. “System Identification: Theory for the User”, Lennart Ljung, Prentice Hall (2nd Ed), 1999
2. “System identification”, Söderström and Stoica, Prentice Hall, 1989.
3.  “Filtering and System Identification: A Least Squares Approach”, Verhaegen M, Verdult V., Cambridge University Press, 2007</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</si>
  <si>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</si>
  <si>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</si>
  <si>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</si>
  <si>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</si>
  <si>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</si>
  <si>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</si>
  <si>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</si>
  <si>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observarea sistematică a studenţilor (teme individuale/ de echipă - temele trebuie efectuate în săptămâna dintre cursuri, pregătirea unui referat - studiu de caz).</t>
  </si>
  <si>
    <t>- test de evaluare formativ (verificări pe parcursul semestrului).</t>
  </si>
  <si>
    <t>- test de evaluare sumativ (verificare finală).</t>
  </si>
  <si>
    <t>100%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</si>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</sst>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1">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0" borderId="4" xfId="0" applyNumberFormat="1" applyFont="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3.xlsx" TargetMode="External"/><Relationship Id="rId1" Type="http://schemas.openxmlformats.org/officeDocument/2006/relationships/externalLinkPath" Target="/Users/Madalin/Downloads/FD%20AIA%2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TS"/>
      <sheetName val="SMP"/>
      <sheetName val="SAE"/>
      <sheetName val="BD"/>
      <sheetName val="ROB"/>
      <sheetName val="SED"/>
      <sheetName val="IS"/>
      <sheetName val="AC"/>
      <sheetName val="LE III"/>
      <sheetName val="PD"/>
      <sheetName val="PS"/>
      <sheetName val="MAE"/>
      <sheetName val="EHP"/>
      <sheetName val="ISP"/>
      <sheetName val="PIP"/>
      <sheetName val="SVA"/>
      <sheetName val="SAIP"/>
      <sheetName val="PNS"/>
      <sheetName val="MAP"/>
      <sheetName val="SAE-Pr"/>
      <sheetName val="SAIP-Pr"/>
      <sheetName val="PIP-Pr"/>
      <sheetName val="EA"/>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C1" t="str">
            <v>Anul universitar: 2025-2026</v>
          </cell>
        </row>
        <row r="2">
          <cell r="B2" t="str">
            <v>Ingineria sistemelor</v>
          </cell>
        </row>
        <row r="3">
          <cell r="B3" t="str">
            <v>Licență</v>
          </cell>
        </row>
        <row r="4">
          <cell r="B4">
            <v>3</v>
          </cell>
        </row>
        <row r="5">
          <cell r="C5" t="str">
            <v>Automatică și Informatică Aplicată</v>
          </cell>
        </row>
        <row r="8">
          <cell r="A8">
            <v>1</v>
          </cell>
          <cell r="C8" t="str">
            <v>Teoria sistemelor</v>
          </cell>
          <cell r="D8" t="str">
            <v>Systems Theory</v>
          </cell>
          <cell r="E8" t="str">
            <v>AIA301</v>
          </cell>
          <cell r="F8" t="str">
            <v>DI</v>
          </cell>
          <cell r="G8" t="str">
            <v>DD</v>
          </cell>
          <cell r="H8">
            <v>2</v>
          </cell>
          <cell r="I8">
            <v>0</v>
          </cell>
          <cell r="J8">
            <v>2</v>
          </cell>
          <cell r="K8">
            <v>0</v>
          </cell>
          <cell r="L8">
            <v>44</v>
          </cell>
          <cell r="M8" t="str">
            <v>E</v>
          </cell>
          <cell r="N8">
            <v>4</v>
          </cell>
        </row>
        <row r="9">
          <cell r="A9">
            <v>1</v>
          </cell>
          <cell r="C9" t="str">
            <v>Sisteme cu microprocesoare</v>
          </cell>
          <cell r="D9" t="str">
            <v>Microprocessor Based Systems</v>
          </cell>
          <cell r="E9" t="str">
            <v>AIA302</v>
          </cell>
          <cell r="F9" t="str">
            <v>DI</v>
          </cell>
          <cell r="G9" t="str">
            <v>DD</v>
          </cell>
          <cell r="H9">
            <v>2</v>
          </cell>
          <cell r="I9">
            <v>0</v>
          </cell>
          <cell r="J9">
            <v>2</v>
          </cell>
          <cell r="K9">
            <v>0</v>
          </cell>
          <cell r="L9">
            <v>69</v>
          </cell>
          <cell r="M9" t="str">
            <v>C</v>
          </cell>
          <cell r="N9">
            <v>5</v>
          </cell>
        </row>
        <row r="10">
          <cell r="A10">
            <v>1</v>
          </cell>
          <cell r="C10" t="str">
            <v>Sisteme automate cu eșantionare</v>
          </cell>
          <cell r="D10" t="str">
            <v>Sampled Data Control Systems</v>
          </cell>
          <cell r="E10" t="str">
            <v>AIA303</v>
          </cell>
          <cell r="F10" t="str">
            <v>DI</v>
          </cell>
          <cell r="G10" t="str">
            <v>DD</v>
          </cell>
          <cell r="H10">
            <v>2</v>
          </cell>
          <cell r="I10">
            <v>0</v>
          </cell>
          <cell r="J10">
            <v>2</v>
          </cell>
          <cell r="K10">
            <v>0</v>
          </cell>
          <cell r="L10">
            <v>44</v>
          </cell>
          <cell r="M10" t="str">
            <v>C</v>
          </cell>
          <cell r="N10">
            <v>4</v>
          </cell>
        </row>
        <row r="11">
          <cell r="A11">
            <v>1</v>
          </cell>
          <cell r="C11" t="str">
            <v>Baze de date</v>
          </cell>
          <cell r="D11" t="str">
            <v>Database Systems</v>
          </cell>
          <cell r="E11" t="str">
            <v>AIA304</v>
          </cell>
          <cell r="F11" t="str">
            <v>DI</v>
          </cell>
          <cell r="G11" t="str">
            <v>DD</v>
          </cell>
          <cell r="H11">
            <v>2</v>
          </cell>
          <cell r="I11">
            <v>0</v>
          </cell>
          <cell r="J11">
            <v>2</v>
          </cell>
          <cell r="K11">
            <v>0</v>
          </cell>
          <cell r="L11">
            <v>69</v>
          </cell>
          <cell r="M11" t="str">
            <v>E</v>
          </cell>
          <cell r="N11">
            <v>5</v>
          </cell>
        </row>
        <row r="12">
          <cell r="A12">
            <v>2</v>
          </cell>
          <cell r="C12" t="str">
            <v>Robotică</v>
          </cell>
          <cell r="D12" t="str">
            <v>Robotics</v>
          </cell>
          <cell r="E12" t="str">
            <v>AIA305</v>
          </cell>
          <cell r="F12" t="str">
            <v>DI</v>
          </cell>
          <cell r="G12" t="str">
            <v>DD</v>
          </cell>
          <cell r="H12">
            <v>2</v>
          </cell>
          <cell r="I12">
            <v>0</v>
          </cell>
          <cell r="J12">
            <v>2</v>
          </cell>
          <cell r="K12">
            <v>0</v>
          </cell>
          <cell r="L12">
            <v>44</v>
          </cell>
          <cell r="M12" t="str">
            <v>E</v>
          </cell>
          <cell r="N12">
            <v>4</v>
          </cell>
        </row>
        <row r="13">
          <cell r="A13">
            <v>2</v>
          </cell>
          <cell r="C13" t="str">
            <v>Sisteme cu evenimente discrete</v>
          </cell>
          <cell r="D13" t="str">
            <v>Discrete Event Systems</v>
          </cell>
          <cell r="E13" t="str">
            <v>AIA306</v>
          </cell>
          <cell r="F13" t="str">
            <v>DI</v>
          </cell>
          <cell r="G13" t="str">
            <v>DD</v>
          </cell>
          <cell r="H13">
            <v>2</v>
          </cell>
          <cell r="I13">
            <v>0</v>
          </cell>
          <cell r="J13">
            <v>2</v>
          </cell>
          <cell r="K13">
            <v>0</v>
          </cell>
          <cell r="L13">
            <v>19</v>
          </cell>
          <cell r="M13" t="str">
            <v>C</v>
          </cell>
          <cell r="N13">
            <v>3</v>
          </cell>
        </row>
        <row r="14">
          <cell r="A14">
            <v>2</v>
          </cell>
          <cell r="C14" t="str">
            <v>Identificarea sistemelor</v>
          </cell>
          <cell r="D14" t="str">
            <v>Systems Identification</v>
          </cell>
          <cell r="E14" t="str">
            <v>AIA307</v>
          </cell>
          <cell r="F14" t="str">
            <v>DI</v>
          </cell>
          <cell r="G14" t="str">
            <v>DD</v>
          </cell>
          <cell r="H14">
            <v>2</v>
          </cell>
          <cell r="I14">
            <v>0</v>
          </cell>
          <cell r="J14">
            <v>2</v>
          </cell>
          <cell r="K14">
            <v>0</v>
          </cell>
          <cell r="L14">
            <v>44</v>
          </cell>
          <cell r="M14" t="str">
            <v>E</v>
          </cell>
          <cell r="N14">
            <v>4</v>
          </cell>
        </row>
        <row r="15">
          <cell r="A15">
            <v>2</v>
          </cell>
          <cell r="C15" t="str">
            <v>Arhitecturi de calculatoare</v>
          </cell>
          <cell r="D15" t="str">
            <v>Computer Architectures</v>
          </cell>
          <cell r="E15" t="str">
            <v>AIA308</v>
          </cell>
          <cell r="F15" t="str">
            <v>DI</v>
          </cell>
          <cell r="G15" t="str">
            <v>DD</v>
          </cell>
          <cell r="H15">
            <v>2</v>
          </cell>
          <cell r="I15">
            <v>0</v>
          </cell>
          <cell r="J15">
            <v>2</v>
          </cell>
          <cell r="K15">
            <v>0</v>
          </cell>
          <cell r="L15">
            <v>19</v>
          </cell>
          <cell r="M15" t="str">
            <v>C</v>
          </cell>
          <cell r="N15">
            <v>3</v>
          </cell>
        </row>
        <row r="16">
          <cell r="A16">
            <v>1</v>
          </cell>
          <cell r="C16" t="str">
            <v>Limba engleză III</v>
          </cell>
          <cell r="D16" t="str">
            <v>The English Language III</v>
          </cell>
          <cell r="E16" t="str">
            <v>AIA309</v>
          </cell>
          <cell r="F16" t="str">
            <v>DI</v>
          </cell>
          <cell r="G16" t="str">
            <v>DC</v>
          </cell>
          <cell r="H16">
            <v>1</v>
          </cell>
          <cell r="I16">
            <v>1</v>
          </cell>
          <cell r="J16">
            <v>0</v>
          </cell>
          <cell r="K16">
            <v>0</v>
          </cell>
          <cell r="L16">
            <v>22</v>
          </cell>
          <cell r="M16" t="str">
            <v>C</v>
          </cell>
          <cell r="N16">
            <v>2</v>
          </cell>
        </row>
        <row r="17">
          <cell r="A17">
            <v>2</v>
          </cell>
          <cell r="C17" t="str">
            <v>Practică de domeniu</v>
          </cell>
          <cell r="D17" t="str">
            <v>Practical Training in Systems Engineering</v>
          </cell>
          <cell r="E17" t="str">
            <v>AIA310</v>
          </cell>
          <cell r="F17" t="str">
            <v>DI</v>
          </cell>
          <cell r="G17" t="str">
            <v>DD</v>
          </cell>
          <cell r="H17">
            <v>0</v>
          </cell>
          <cell r="I17">
            <v>0</v>
          </cell>
          <cell r="J17">
            <v>0</v>
          </cell>
          <cell r="K17">
            <v>0</v>
          </cell>
          <cell r="L17">
            <v>10</v>
          </cell>
          <cell r="M17" t="str">
            <v>C</v>
          </cell>
          <cell r="N17">
            <v>4</v>
          </cell>
        </row>
        <row r="18">
          <cell r="A18">
            <v>2</v>
          </cell>
          <cell r="C18" t="str">
            <v>Practică de specialitate</v>
          </cell>
          <cell r="D18" t="str">
            <v>Practical Training in Automatic Control and Applied Informatics</v>
          </cell>
          <cell r="E18" t="str">
            <v>AIA311</v>
          </cell>
          <cell r="F18" t="str">
            <v>DI</v>
          </cell>
          <cell r="G18" t="str">
            <v>DS</v>
          </cell>
          <cell r="H18">
            <v>0</v>
          </cell>
          <cell r="I18">
            <v>0</v>
          </cell>
          <cell r="J18">
            <v>0</v>
          </cell>
          <cell r="K18">
            <v>0</v>
          </cell>
          <cell r="L18">
            <v>10</v>
          </cell>
          <cell r="M18" t="str">
            <v>C</v>
          </cell>
          <cell r="N18">
            <v>4</v>
          </cell>
        </row>
        <row r="19">
          <cell r="A19">
            <v>1</v>
          </cell>
          <cell r="C19" t="str">
            <v>Mașini și acționări electrice</v>
          </cell>
          <cell r="D19" t="str">
            <v>Electrical Machines and Drive Systems</v>
          </cell>
          <cell r="E19" t="str">
            <v>A312</v>
          </cell>
          <cell r="F19" t="str">
            <v>DO</v>
          </cell>
          <cell r="G19" t="str">
            <v>DD</v>
          </cell>
          <cell r="H19">
            <v>2</v>
          </cell>
          <cell r="I19">
            <v>0</v>
          </cell>
          <cell r="J19">
            <v>2</v>
          </cell>
          <cell r="K19">
            <v>0</v>
          </cell>
          <cell r="L19">
            <v>69</v>
          </cell>
          <cell r="M19" t="str">
            <v>E</v>
          </cell>
          <cell r="N19">
            <v>5</v>
          </cell>
        </row>
        <row r="20">
          <cell r="A20">
            <v>1</v>
          </cell>
          <cell r="C20" t="str">
            <v>Echipamente hidropneumatice</v>
          </cell>
          <cell r="D20" t="str">
            <v>Hydraulic and Pneumatic Control Systems</v>
          </cell>
          <cell r="E20" t="str">
            <v>A313</v>
          </cell>
          <cell r="F20" t="str">
            <v>DO</v>
          </cell>
          <cell r="G20" t="str">
            <v>DS</v>
          </cell>
          <cell r="H20">
            <v>2</v>
          </cell>
          <cell r="I20">
            <v>0</v>
          </cell>
          <cell r="J20">
            <v>2</v>
          </cell>
          <cell r="K20">
            <v>0</v>
          </cell>
          <cell r="L20">
            <v>69</v>
          </cell>
          <cell r="M20" t="str">
            <v>E</v>
          </cell>
          <cell r="N20">
            <v>5</v>
          </cell>
        </row>
        <row r="21">
          <cell r="A21">
            <v>1</v>
          </cell>
          <cell r="C21" t="str">
            <v>Ingineria sistemelor de programe</v>
          </cell>
          <cell r="D21" t="str">
            <v>Software Engineering</v>
          </cell>
          <cell r="E21" t="str">
            <v>IA314</v>
          </cell>
          <cell r="F21" t="str">
            <v>DO</v>
          </cell>
          <cell r="G21" t="str">
            <v>DD</v>
          </cell>
          <cell r="H21">
            <v>2</v>
          </cell>
          <cell r="I21">
            <v>0</v>
          </cell>
          <cell r="J21">
            <v>2</v>
          </cell>
          <cell r="K21">
            <v>0</v>
          </cell>
          <cell r="L21">
            <v>69</v>
          </cell>
          <cell r="M21" t="str">
            <v>E</v>
          </cell>
          <cell r="N21">
            <v>5</v>
          </cell>
        </row>
        <row r="33">
          <cell r="C33">
            <v>45915</v>
          </cell>
        </row>
        <row r="34">
          <cell r="C34">
            <v>45918</v>
          </cell>
        </row>
        <row r="35">
          <cell r="C35" t="str">
            <v>Conf.dr.ing. Mihai POSTOLACHE</v>
          </cell>
        </row>
        <row r="36">
          <cell r="C36"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F639C-70E3-4835-AB29-956EC0F6AB9C}">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Systems Identification</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AIA307</v>
      </c>
      <c r="F14" s="18"/>
      <c r="G14" s="18"/>
      <c r="H14" s="18"/>
      <c r="I14" s="7" t="s">
        <v>16</v>
      </c>
      <c r="J14" s="8"/>
      <c r="K14" s="8"/>
      <c r="L14" s="10"/>
      <c r="M14" s="22" t="str">
        <f t="array" aca="1" ref="M14" ca="1">INDEX([1]Date!G8:G21, MATCH(E12,[1]Date!C8:C21,0),0)</f>
        <v>DD</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t="s">
        <v>20</v>
      </c>
      <c r="F18" s="8"/>
      <c r="G18" s="8"/>
      <c r="H18" s="8"/>
      <c r="I18" s="8"/>
      <c r="J18" s="8"/>
      <c r="K18" s="8"/>
      <c r="L18" s="8"/>
      <c r="M18" s="10"/>
      <c r="N18" s="5"/>
    </row>
    <row r="19" spans="1:14" ht="15.5" x14ac:dyDescent="0.35">
      <c r="A19" s="25"/>
      <c r="B19" s="2"/>
      <c r="C19" s="2"/>
      <c r="D19" s="26"/>
      <c r="E19" s="23" t="s">
        <v>21</v>
      </c>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22</v>
      </c>
      <c r="B23" s="10"/>
      <c r="C23" s="27">
        <f>[1]Date!B4</f>
        <v>3</v>
      </c>
      <c r="D23" s="28" t="s">
        <v>23</v>
      </c>
      <c r="E23" s="27">
        <f t="array" aca="1" ref="E23" ca="1">INDEX([1]Date!A8:A21, MATCH(E12,[1]Date!C8:C21,0),0)</f>
        <v>2</v>
      </c>
      <c r="F23" s="29" t="s">
        <v>24</v>
      </c>
      <c r="G23" s="8"/>
      <c r="H23" s="10"/>
      <c r="I23" s="22" t="str">
        <f t="array" aca="1" ref="I23" ca="1">INDEX([1]Date!M8:M21, MATCH(E12,[1]Date!C8:C21,0),0)</f>
        <v>E</v>
      </c>
      <c r="J23" s="29" t="s">
        <v>25</v>
      </c>
      <c r="K23" s="8"/>
      <c r="L23" s="10"/>
      <c r="M23" s="27"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26</v>
      </c>
      <c r="B25" s="2"/>
      <c r="C25" s="2"/>
      <c r="D25" s="2"/>
      <c r="E25" s="2"/>
      <c r="F25" s="2"/>
      <c r="G25" s="2"/>
      <c r="H25" s="2"/>
      <c r="I25" s="2"/>
      <c r="J25" s="2"/>
      <c r="K25" s="2"/>
      <c r="L25" s="2"/>
      <c r="M25" s="2"/>
      <c r="N25" s="30"/>
    </row>
    <row r="26" spans="1:14" ht="31" x14ac:dyDescent="0.35">
      <c r="A26" s="7" t="s">
        <v>27</v>
      </c>
      <c r="B26" s="10"/>
      <c r="C26" s="31">
        <f ca="1">SUM(E26+G26+I26+K26)</f>
        <v>4</v>
      </c>
      <c r="D26" s="28" t="s">
        <v>28</v>
      </c>
      <c r="E26" s="27">
        <f t="array" aca="1" ref="E26" ca="1">INDEX([1]Date!H8:H21, MATCH(E12,[1]Date!C8:C21,0),0)</f>
        <v>2</v>
      </c>
      <c r="F26" s="28" t="s">
        <v>29</v>
      </c>
      <c r="G26" s="27">
        <f t="array" aca="1" ref="G26" ca="1">INDEX([1]Date!I8:I21, MATCH(E12,[1]Date!C8:C21,0),0)</f>
        <v>0</v>
      </c>
      <c r="H26" s="28" t="s">
        <v>30</v>
      </c>
      <c r="I26" s="31">
        <f t="array" aca="1" ref="I26" ca="1">INDEX([1]Date!J8:J21, MATCH(E12,[1]Date!C8:C21,0),0)</f>
        <v>2</v>
      </c>
      <c r="J26" s="28" t="s">
        <v>31</v>
      </c>
      <c r="K26" s="27">
        <f t="array" aca="1" ref="K26" ca="1">INDEX([1]Date!K8:K21, MATCH(E12,[1]Date!C8:C21,0),0)</f>
        <v>0</v>
      </c>
      <c r="L26" s="7" t="s">
        <v>32</v>
      </c>
      <c r="M26" s="10"/>
      <c r="N26" s="30"/>
    </row>
    <row r="27" spans="1:14" ht="31" x14ac:dyDescent="0.35">
      <c r="A27" s="7" t="s">
        <v>33</v>
      </c>
      <c r="B27" s="10"/>
      <c r="C27" s="27">
        <f ca="1">C26*14</f>
        <v>56</v>
      </c>
      <c r="D27" s="28" t="s">
        <v>34</v>
      </c>
      <c r="E27" s="27">
        <f ca="1">E26*14</f>
        <v>28</v>
      </c>
      <c r="F27" s="28" t="s">
        <v>35</v>
      </c>
      <c r="G27" s="27">
        <f ca="1">G26*14</f>
        <v>0</v>
      </c>
      <c r="H27" s="28" t="s">
        <v>36</v>
      </c>
      <c r="I27" s="27">
        <f ca="1">I26*14</f>
        <v>28</v>
      </c>
      <c r="J27" s="28" t="s">
        <v>37</v>
      </c>
      <c r="K27" s="27">
        <f ca="1">K26*14</f>
        <v>0</v>
      </c>
      <c r="L27" s="28" t="s">
        <v>38</v>
      </c>
      <c r="M27" s="27">
        <v>0</v>
      </c>
      <c r="N27" s="5"/>
    </row>
    <row r="28" spans="1:14" ht="15.5" x14ac:dyDescent="0.35">
      <c r="A28" s="7" t="s">
        <v>39</v>
      </c>
      <c r="B28" s="8"/>
      <c r="C28" s="8"/>
      <c r="D28" s="8"/>
      <c r="E28" s="8"/>
      <c r="F28" s="8"/>
      <c r="G28" s="8"/>
      <c r="H28" s="8"/>
      <c r="I28" s="8"/>
      <c r="J28" s="8"/>
      <c r="K28" s="8"/>
      <c r="L28" s="10"/>
      <c r="M28" s="27" t="s">
        <v>40</v>
      </c>
      <c r="N28" s="5"/>
    </row>
    <row r="29" spans="1:14" ht="15.5" x14ac:dyDescent="0.35">
      <c r="A29" s="7" t="s">
        <v>41</v>
      </c>
      <c r="B29" s="8"/>
      <c r="C29" s="8"/>
      <c r="D29" s="8"/>
      <c r="E29" s="8"/>
      <c r="F29" s="8"/>
      <c r="G29" s="8"/>
      <c r="H29" s="8"/>
      <c r="I29" s="8"/>
      <c r="J29" s="8"/>
      <c r="K29" s="8"/>
      <c r="L29" s="10"/>
      <c r="M29" s="32">
        <v>20</v>
      </c>
      <c r="N29" s="5"/>
    </row>
    <row r="30" spans="1:14" ht="15.5" x14ac:dyDescent="0.35">
      <c r="A30" s="7" t="s">
        <v>42</v>
      </c>
      <c r="B30" s="8"/>
      <c r="C30" s="8"/>
      <c r="D30" s="8"/>
      <c r="E30" s="8"/>
      <c r="F30" s="8"/>
      <c r="G30" s="8"/>
      <c r="H30" s="8"/>
      <c r="I30" s="8"/>
      <c r="J30" s="8"/>
      <c r="K30" s="8"/>
      <c r="L30" s="10"/>
      <c r="M30" s="32">
        <v>14</v>
      </c>
      <c r="N30" s="5"/>
    </row>
    <row r="31" spans="1:14" ht="15.5" x14ac:dyDescent="0.35">
      <c r="A31" s="7" t="s">
        <v>43</v>
      </c>
      <c r="B31" s="8"/>
      <c r="C31" s="8"/>
      <c r="D31" s="8"/>
      <c r="E31" s="8"/>
      <c r="F31" s="8"/>
      <c r="G31" s="8"/>
      <c r="H31" s="8"/>
      <c r="I31" s="8"/>
      <c r="J31" s="8"/>
      <c r="K31" s="8"/>
      <c r="L31" s="10"/>
      <c r="M31" s="32">
        <v>10</v>
      </c>
      <c r="N31" s="5"/>
    </row>
    <row r="32" spans="1:14" ht="15.5" x14ac:dyDescent="0.35">
      <c r="A32" s="7" t="s">
        <v>44</v>
      </c>
      <c r="B32" s="8"/>
      <c r="C32" s="8"/>
      <c r="D32" s="8"/>
      <c r="E32" s="8"/>
      <c r="F32" s="8"/>
      <c r="G32" s="8"/>
      <c r="H32" s="8"/>
      <c r="I32" s="8"/>
      <c r="J32" s="8"/>
      <c r="K32" s="8"/>
      <c r="L32" s="10"/>
      <c r="M32" s="27">
        <f t="array" aca="1" ref="M32" ca="1">IF(INDEX([1]Date!M8:M21, MATCH(E12,[1]Date!C8:C21,0),0)="E",3,0)</f>
        <v>3</v>
      </c>
      <c r="N32" s="5"/>
    </row>
    <row r="33" spans="1:14" ht="15.5" x14ac:dyDescent="0.35">
      <c r="A33" s="7" t="s">
        <v>45</v>
      </c>
      <c r="B33" s="8"/>
      <c r="C33" s="8"/>
      <c r="D33" s="8"/>
      <c r="E33" s="8"/>
      <c r="F33" s="8"/>
      <c r="G33" s="8"/>
      <c r="H33" s="8"/>
      <c r="I33" s="8"/>
      <c r="J33" s="8"/>
      <c r="K33" s="8"/>
      <c r="L33" s="10"/>
      <c r="M33" s="27">
        <f ca="1">C34-SUM(M29:M31)</f>
        <v>0</v>
      </c>
      <c r="N33" s="5"/>
    </row>
    <row r="34" spans="1:14" ht="15.5" x14ac:dyDescent="0.35">
      <c r="A34" s="7" t="s">
        <v>46</v>
      </c>
      <c r="B34" s="10"/>
      <c r="C34" s="27">
        <f t="array" aca="1" ref="C34" ca="1">INDEX([1]Date!L8:L21, MATCH(E12,[1]Date!C8:C21,0),0)</f>
        <v>44</v>
      </c>
      <c r="D34" s="5"/>
      <c r="E34" s="5"/>
      <c r="F34" s="5"/>
      <c r="G34" s="5"/>
      <c r="H34" s="5"/>
      <c r="I34" s="5"/>
      <c r="J34" s="5"/>
      <c r="K34" s="5"/>
      <c r="L34" s="5"/>
      <c r="M34" s="5"/>
      <c r="N34" s="5"/>
    </row>
    <row r="35" spans="1:14" ht="15.5" x14ac:dyDescent="0.35">
      <c r="A35" s="7" t="s">
        <v>47</v>
      </c>
      <c r="B35" s="10"/>
      <c r="C35" s="27">
        <f ca="1">C27+C34</f>
        <v>100</v>
      </c>
      <c r="D35" s="5"/>
      <c r="E35" s="5"/>
      <c r="F35" s="5"/>
      <c r="G35" s="5"/>
      <c r="H35" s="5"/>
      <c r="I35" s="5"/>
      <c r="J35" s="5"/>
      <c r="K35" s="5"/>
      <c r="L35" s="5"/>
      <c r="M35" s="5"/>
      <c r="N35" s="5"/>
    </row>
    <row r="36" spans="1:14" ht="15.5" x14ac:dyDescent="0.35">
      <c r="A36" s="7" t="s">
        <v>48</v>
      </c>
      <c r="B36" s="10"/>
      <c r="C36" s="27">
        <f t="array" aca="1" ref="C36" ca="1">INDEX([1]Date!N8:N21, MATCH(E12,[1]Date!C8:C21,0),0)</f>
        <v>4</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49</v>
      </c>
      <c r="B38" s="2"/>
      <c r="C38" s="2"/>
      <c r="D38" s="2"/>
      <c r="E38" s="2"/>
      <c r="F38" s="2"/>
      <c r="G38" s="2"/>
      <c r="H38" s="2"/>
      <c r="I38" s="2"/>
      <c r="J38" s="2"/>
      <c r="K38" s="2"/>
      <c r="L38" s="2"/>
      <c r="M38" s="2"/>
      <c r="N38" s="30"/>
    </row>
    <row r="39" spans="1:14" ht="15.5" x14ac:dyDescent="0.35">
      <c r="A39" s="7" t="s">
        <v>50</v>
      </c>
      <c r="B39" s="10"/>
      <c r="C39" s="9" t="s">
        <v>51</v>
      </c>
      <c r="D39" s="8"/>
      <c r="E39" s="8"/>
      <c r="F39" s="8"/>
      <c r="G39" s="8"/>
      <c r="H39" s="8"/>
      <c r="I39" s="8"/>
      <c r="J39" s="8"/>
      <c r="K39" s="8"/>
      <c r="L39" s="8"/>
      <c r="M39" s="10"/>
      <c r="N39" s="30"/>
    </row>
    <row r="40" spans="1:14" ht="15.5" x14ac:dyDescent="0.35">
      <c r="A40" s="7" t="s">
        <v>52</v>
      </c>
      <c r="B40" s="10"/>
      <c r="C40" s="23" t="s">
        <v>53</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54</v>
      </c>
      <c r="B42" s="2"/>
      <c r="C42" s="2"/>
      <c r="D42" s="2"/>
      <c r="E42" s="2"/>
      <c r="F42" s="2"/>
      <c r="G42" s="2"/>
      <c r="H42" s="2"/>
      <c r="I42" s="2"/>
      <c r="J42" s="2"/>
      <c r="K42" s="2"/>
      <c r="L42" s="2"/>
      <c r="M42" s="2"/>
      <c r="N42" s="30"/>
    </row>
    <row r="43" spans="1:14" ht="15.5" x14ac:dyDescent="0.35">
      <c r="A43" s="7" t="s">
        <v>55</v>
      </c>
      <c r="B43" s="10"/>
      <c r="C43" s="23" t="s">
        <v>56</v>
      </c>
      <c r="D43" s="8"/>
      <c r="E43" s="8"/>
      <c r="F43" s="8"/>
      <c r="G43" s="8"/>
      <c r="H43" s="8"/>
      <c r="I43" s="8"/>
      <c r="J43" s="8"/>
      <c r="K43" s="8"/>
      <c r="L43" s="8"/>
      <c r="M43" s="10"/>
      <c r="N43" s="30"/>
    </row>
    <row r="44" spans="1:14" ht="15.5" x14ac:dyDescent="0.35">
      <c r="A44" s="7" t="s">
        <v>57</v>
      </c>
      <c r="B44" s="10"/>
      <c r="C44" s="23" t="s">
        <v>58</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59</v>
      </c>
      <c r="B46" s="2"/>
      <c r="C46" s="2"/>
      <c r="D46" s="2"/>
      <c r="E46" s="2"/>
      <c r="F46" s="2"/>
      <c r="G46" s="2"/>
      <c r="H46" s="2"/>
      <c r="I46" s="2"/>
      <c r="J46" s="2"/>
      <c r="K46" s="2"/>
      <c r="L46" s="2"/>
      <c r="M46" s="2"/>
      <c r="N46" s="30"/>
    </row>
    <row r="47" spans="1:14" ht="62.25" customHeight="1" x14ac:dyDescent="0.35">
      <c r="A47" s="23" t="s">
        <v>60</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61</v>
      </c>
      <c r="B49" s="2"/>
      <c r="C49" s="2"/>
      <c r="D49" s="2"/>
      <c r="E49" s="2"/>
      <c r="F49" s="2"/>
      <c r="G49" s="2"/>
      <c r="H49" s="2"/>
      <c r="I49" s="2"/>
      <c r="J49" s="2"/>
      <c r="K49" s="2"/>
      <c r="L49" s="2"/>
      <c r="M49" s="2"/>
      <c r="N49" s="30"/>
    </row>
    <row r="50" spans="1:14" ht="15.5" x14ac:dyDescent="0.35">
      <c r="A50" s="33" t="s">
        <v>62</v>
      </c>
      <c r="B50" s="34" t="s">
        <v>63</v>
      </c>
      <c r="C50" s="8"/>
      <c r="D50" s="8"/>
      <c r="E50" s="8"/>
      <c r="F50" s="8"/>
      <c r="G50" s="8"/>
      <c r="H50" s="8"/>
      <c r="I50" s="8"/>
      <c r="J50" s="8"/>
      <c r="K50" s="8"/>
      <c r="L50" s="8"/>
      <c r="M50" s="10"/>
      <c r="N50" s="5"/>
    </row>
    <row r="51" spans="1:14" ht="15.5" x14ac:dyDescent="0.35">
      <c r="A51" s="35"/>
      <c r="B51" s="36" t="s">
        <v>64</v>
      </c>
      <c r="C51" s="8"/>
      <c r="D51" s="8"/>
      <c r="E51" s="8"/>
      <c r="F51" s="8"/>
      <c r="G51" s="8"/>
      <c r="H51" s="8"/>
      <c r="I51" s="8"/>
      <c r="J51" s="8"/>
      <c r="K51" s="8"/>
      <c r="L51" s="8"/>
      <c r="M51" s="10"/>
      <c r="N51" s="5"/>
    </row>
    <row r="52" spans="1:14" ht="15.5" x14ac:dyDescent="0.35">
      <c r="A52" s="33" t="s">
        <v>65</v>
      </c>
      <c r="B52" s="34" t="s">
        <v>63</v>
      </c>
      <c r="C52" s="8"/>
      <c r="D52" s="8"/>
      <c r="E52" s="8"/>
      <c r="F52" s="8"/>
      <c r="G52" s="8"/>
      <c r="H52" s="8"/>
      <c r="I52" s="8"/>
      <c r="J52" s="8"/>
      <c r="K52" s="8"/>
      <c r="L52" s="8"/>
      <c r="M52" s="10"/>
      <c r="N52" s="5"/>
    </row>
    <row r="53" spans="1:14" ht="15.5" x14ac:dyDescent="0.35">
      <c r="A53" s="35"/>
      <c r="B53" s="36" t="s">
        <v>66</v>
      </c>
      <c r="C53" s="8"/>
      <c r="D53" s="8"/>
      <c r="E53" s="8"/>
      <c r="F53" s="8"/>
      <c r="G53" s="8"/>
      <c r="H53" s="8"/>
      <c r="I53" s="8"/>
      <c r="J53" s="8"/>
      <c r="K53" s="8"/>
      <c r="L53" s="8"/>
      <c r="M53" s="10"/>
      <c r="N53" s="5"/>
    </row>
    <row r="54" spans="1:14" ht="18" customHeight="1" x14ac:dyDescent="0.35">
      <c r="A54" s="33" t="s">
        <v>67</v>
      </c>
      <c r="B54" s="34" t="s">
        <v>63</v>
      </c>
      <c r="C54" s="8"/>
      <c r="D54" s="8"/>
      <c r="E54" s="8"/>
      <c r="F54" s="8"/>
      <c r="G54" s="8"/>
      <c r="H54" s="8"/>
      <c r="I54" s="8"/>
      <c r="J54" s="8"/>
      <c r="K54" s="8"/>
      <c r="L54" s="8"/>
      <c r="M54" s="10"/>
      <c r="N54" s="5"/>
    </row>
    <row r="55" spans="1:14" ht="104.25" customHeight="1" x14ac:dyDescent="0.35">
      <c r="A55" s="35"/>
      <c r="B55" s="37" t="s">
        <v>68</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69</v>
      </c>
      <c r="B57" s="2"/>
      <c r="C57" s="2"/>
      <c r="D57" s="2"/>
      <c r="E57" s="2"/>
      <c r="F57" s="2"/>
      <c r="G57" s="2"/>
      <c r="H57" s="2"/>
      <c r="I57" s="2"/>
      <c r="J57" s="2"/>
      <c r="K57" s="2"/>
      <c r="L57" s="2"/>
      <c r="M57" s="2"/>
      <c r="N57" s="30"/>
    </row>
    <row r="58" spans="1:14" ht="53.25" customHeight="1" x14ac:dyDescent="0.35">
      <c r="A58" s="23" t="s">
        <v>70</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71</v>
      </c>
      <c r="B60" s="2"/>
      <c r="C60" s="2"/>
      <c r="D60" s="2"/>
      <c r="E60" s="2"/>
      <c r="F60" s="2"/>
      <c r="G60" s="2"/>
      <c r="H60" s="2"/>
      <c r="I60" s="2"/>
      <c r="J60" s="2"/>
      <c r="K60" s="2"/>
      <c r="L60" s="2"/>
      <c r="M60" s="2"/>
      <c r="N60" s="30"/>
    </row>
    <row r="61" spans="1:14" ht="24.75" customHeight="1" x14ac:dyDescent="0.35">
      <c r="A61" s="38" t="s">
        <v>72</v>
      </c>
      <c r="B61" s="8"/>
      <c r="C61" s="8"/>
      <c r="D61" s="8"/>
      <c r="E61" s="8"/>
      <c r="F61" s="8"/>
      <c r="G61" s="10"/>
      <c r="H61" s="38" t="s">
        <v>73</v>
      </c>
      <c r="I61" s="8"/>
      <c r="J61" s="8"/>
      <c r="K61" s="10"/>
      <c r="L61" s="38" t="s">
        <v>74</v>
      </c>
      <c r="M61" s="10"/>
      <c r="N61" s="30"/>
    </row>
    <row r="62" spans="1:14" ht="15.5" x14ac:dyDescent="0.35">
      <c r="A62" s="39" t="s">
        <v>75</v>
      </c>
      <c r="B62" s="23" t="s">
        <v>76</v>
      </c>
      <c r="C62" s="8"/>
      <c r="D62" s="8"/>
      <c r="E62" s="8"/>
      <c r="F62" s="8"/>
      <c r="G62" s="10"/>
      <c r="H62" s="40" t="s">
        <v>77</v>
      </c>
      <c r="I62" s="14"/>
      <c r="J62" s="14"/>
      <c r="K62" s="15"/>
      <c r="L62" s="41">
        <v>2</v>
      </c>
      <c r="M62" s="10"/>
      <c r="N62" s="5"/>
    </row>
    <row r="63" spans="1:14" ht="15.5" x14ac:dyDescent="0.35">
      <c r="A63" s="39" t="s">
        <v>78</v>
      </c>
      <c r="B63" s="23" t="s">
        <v>79</v>
      </c>
      <c r="C63" s="8"/>
      <c r="D63" s="8"/>
      <c r="E63" s="8"/>
      <c r="F63" s="8"/>
      <c r="G63" s="10"/>
      <c r="H63" s="25"/>
      <c r="I63" s="2"/>
      <c r="J63" s="2"/>
      <c r="K63" s="26"/>
      <c r="L63" s="41">
        <v>2</v>
      </c>
      <c r="M63" s="10"/>
      <c r="N63" s="5"/>
    </row>
    <row r="64" spans="1:14" ht="15.5" x14ac:dyDescent="0.35">
      <c r="A64" s="39" t="s">
        <v>80</v>
      </c>
      <c r="B64" s="23" t="s">
        <v>81</v>
      </c>
      <c r="C64" s="8"/>
      <c r="D64" s="8"/>
      <c r="E64" s="8"/>
      <c r="F64" s="8"/>
      <c r="G64" s="10"/>
      <c r="H64" s="25"/>
      <c r="I64" s="2"/>
      <c r="J64" s="2"/>
      <c r="K64" s="26"/>
      <c r="L64" s="41">
        <v>10</v>
      </c>
      <c r="M64" s="10"/>
      <c r="N64" s="5"/>
    </row>
    <row r="65" spans="1:14" ht="15.5" x14ac:dyDescent="0.35">
      <c r="A65" s="39" t="s">
        <v>82</v>
      </c>
      <c r="B65" s="23" t="s">
        <v>83</v>
      </c>
      <c r="C65" s="8"/>
      <c r="D65" s="8"/>
      <c r="E65" s="8"/>
      <c r="F65" s="8"/>
      <c r="G65" s="10"/>
      <c r="H65" s="25"/>
      <c r="I65" s="2"/>
      <c r="J65" s="2"/>
      <c r="K65" s="26"/>
      <c r="L65" s="41">
        <v>4</v>
      </c>
      <c r="M65" s="10"/>
      <c r="N65" s="5"/>
    </row>
    <row r="66" spans="1:14" ht="15.5" x14ac:dyDescent="0.35">
      <c r="A66" s="39" t="s">
        <v>84</v>
      </c>
      <c r="B66" s="23" t="s">
        <v>85</v>
      </c>
      <c r="C66" s="8"/>
      <c r="D66" s="8"/>
      <c r="E66" s="8"/>
      <c r="F66" s="8"/>
      <c r="G66" s="10"/>
      <c r="H66" s="25"/>
      <c r="I66" s="2"/>
      <c r="J66" s="2"/>
      <c r="K66" s="26"/>
      <c r="L66" s="41">
        <v>2</v>
      </c>
      <c r="M66" s="10"/>
      <c r="N66" s="5"/>
    </row>
    <row r="67" spans="1:14" ht="15.5" x14ac:dyDescent="0.35">
      <c r="A67" s="39" t="s">
        <v>86</v>
      </c>
      <c r="B67" s="23" t="s">
        <v>87</v>
      </c>
      <c r="C67" s="8"/>
      <c r="D67" s="8"/>
      <c r="E67" s="8"/>
      <c r="F67" s="8"/>
      <c r="G67" s="10"/>
      <c r="H67" s="25"/>
      <c r="I67" s="2"/>
      <c r="J67" s="2"/>
      <c r="K67" s="26"/>
      <c r="L67" s="41">
        <v>4</v>
      </c>
      <c r="M67" s="10"/>
      <c r="N67" s="5"/>
    </row>
    <row r="68" spans="1:14" ht="15.5" x14ac:dyDescent="0.35">
      <c r="A68" s="39" t="s">
        <v>88</v>
      </c>
      <c r="B68" s="23" t="s">
        <v>89</v>
      </c>
      <c r="C68" s="8"/>
      <c r="D68" s="8"/>
      <c r="E68" s="8"/>
      <c r="F68" s="8"/>
      <c r="G68" s="10"/>
      <c r="H68" s="25"/>
      <c r="I68" s="2"/>
      <c r="J68" s="2"/>
      <c r="K68" s="26"/>
      <c r="L68" s="41">
        <v>2</v>
      </c>
      <c r="M68" s="10"/>
      <c r="N68" s="5"/>
    </row>
    <row r="69" spans="1:14" ht="15.5" x14ac:dyDescent="0.35">
      <c r="A69" s="39" t="s">
        <v>90</v>
      </c>
      <c r="B69" s="23" t="s">
        <v>91</v>
      </c>
      <c r="C69" s="8"/>
      <c r="D69" s="8"/>
      <c r="E69" s="8"/>
      <c r="F69" s="8"/>
      <c r="G69" s="10"/>
      <c r="H69" s="25"/>
      <c r="I69" s="2"/>
      <c r="J69" s="2"/>
      <c r="K69" s="26"/>
      <c r="L69" s="41">
        <v>2</v>
      </c>
      <c r="M69" s="10"/>
      <c r="N69" s="5"/>
    </row>
    <row r="70" spans="1:14" ht="15.5" x14ac:dyDescent="0.35">
      <c r="A70" s="39" t="s">
        <v>92</v>
      </c>
      <c r="B70" s="23"/>
      <c r="C70" s="8"/>
      <c r="D70" s="8"/>
      <c r="E70" s="8"/>
      <c r="F70" s="8"/>
      <c r="G70" s="10"/>
      <c r="H70" s="25"/>
      <c r="I70" s="2"/>
      <c r="J70" s="2"/>
      <c r="K70" s="26"/>
      <c r="L70" s="23"/>
      <c r="M70" s="10"/>
      <c r="N70" s="5"/>
    </row>
    <row r="71" spans="1:14" ht="15.5" hidden="1" x14ac:dyDescent="0.35">
      <c r="A71" s="39" t="s">
        <v>93</v>
      </c>
      <c r="B71" s="23"/>
      <c r="C71" s="8"/>
      <c r="D71" s="8"/>
      <c r="E71" s="8"/>
      <c r="F71" s="8"/>
      <c r="G71" s="10"/>
      <c r="H71" s="25"/>
      <c r="I71" s="2"/>
      <c r="J71" s="2"/>
      <c r="K71" s="26"/>
      <c r="L71" s="23"/>
      <c r="M71" s="10"/>
      <c r="N71" s="5"/>
    </row>
    <row r="72" spans="1:14" ht="15.5" hidden="1" x14ac:dyDescent="0.35">
      <c r="A72" s="39" t="s">
        <v>94</v>
      </c>
      <c r="B72" s="23"/>
      <c r="C72" s="8"/>
      <c r="D72" s="8"/>
      <c r="E72" s="8"/>
      <c r="F72" s="8"/>
      <c r="G72" s="10"/>
      <c r="H72" s="25"/>
      <c r="I72" s="2"/>
      <c r="J72" s="2"/>
      <c r="K72" s="26"/>
      <c r="L72" s="23"/>
      <c r="M72" s="10"/>
      <c r="N72" s="5"/>
    </row>
    <row r="73" spans="1:14" ht="15.5" hidden="1" x14ac:dyDescent="0.35">
      <c r="A73" s="39" t="s">
        <v>95</v>
      </c>
      <c r="B73" s="23"/>
      <c r="C73" s="8"/>
      <c r="D73" s="8"/>
      <c r="E73" s="8"/>
      <c r="F73" s="8"/>
      <c r="G73" s="10"/>
      <c r="H73" s="25"/>
      <c r="I73" s="2"/>
      <c r="J73" s="2"/>
      <c r="K73" s="26"/>
      <c r="L73" s="23"/>
      <c r="M73" s="10"/>
      <c r="N73" s="5"/>
    </row>
    <row r="74" spans="1:14" ht="15.5" hidden="1" x14ac:dyDescent="0.35">
      <c r="A74" s="39" t="s">
        <v>96</v>
      </c>
      <c r="B74" s="23"/>
      <c r="C74" s="8"/>
      <c r="D74" s="8"/>
      <c r="E74" s="8"/>
      <c r="F74" s="8"/>
      <c r="G74" s="10"/>
      <c r="H74" s="25"/>
      <c r="I74" s="2"/>
      <c r="J74" s="2"/>
      <c r="K74" s="26"/>
      <c r="L74" s="23"/>
      <c r="M74" s="10"/>
      <c r="N74" s="5"/>
    </row>
    <row r="75" spans="1:14" ht="15.5" hidden="1" x14ac:dyDescent="0.35">
      <c r="A75" s="39" t="s">
        <v>97</v>
      </c>
      <c r="B75" s="23"/>
      <c r="C75" s="8"/>
      <c r="D75" s="8"/>
      <c r="E75" s="8"/>
      <c r="F75" s="8"/>
      <c r="G75" s="10"/>
      <c r="H75" s="24"/>
      <c r="I75" s="18"/>
      <c r="J75" s="18"/>
      <c r="K75" s="19"/>
      <c r="L75" s="23"/>
      <c r="M75" s="10"/>
      <c r="N75" s="5"/>
    </row>
    <row r="76" spans="1:14" ht="84.75" customHeight="1" x14ac:dyDescent="0.35">
      <c r="A76" s="37" t="s">
        <v>98</v>
      </c>
      <c r="B76" s="8"/>
      <c r="C76" s="8"/>
      <c r="D76" s="8"/>
      <c r="E76" s="8"/>
      <c r="F76" s="8"/>
      <c r="G76" s="8"/>
      <c r="H76" s="8"/>
      <c r="I76" s="8"/>
      <c r="J76" s="8"/>
      <c r="K76" s="8"/>
      <c r="L76" s="8"/>
      <c r="M76" s="10"/>
      <c r="N76" s="5"/>
    </row>
    <row r="77" spans="1:14" ht="24.75" hidden="1" customHeight="1" x14ac:dyDescent="0.35">
      <c r="A77" s="38" t="s">
        <v>99</v>
      </c>
      <c r="B77" s="8"/>
      <c r="C77" s="8"/>
      <c r="D77" s="8"/>
      <c r="E77" s="8"/>
      <c r="F77" s="8"/>
      <c r="G77" s="10"/>
      <c r="H77" s="38" t="s">
        <v>100</v>
      </c>
      <c r="I77" s="8"/>
      <c r="J77" s="8"/>
      <c r="K77" s="10"/>
      <c r="L77" s="38" t="s">
        <v>74</v>
      </c>
      <c r="M77" s="10"/>
      <c r="N77" s="30"/>
    </row>
    <row r="78" spans="1:14" ht="15.5" hidden="1" x14ac:dyDescent="0.35">
      <c r="A78" s="39" t="s">
        <v>75</v>
      </c>
      <c r="B78" s="23"/>
      <c r="C78" s="8"/>
      <c r="D78" s="8"/>
      <c r="E78" s="8"/>
      <c r="F78" s="8"/>
      <c r="G78" s="10"/>
      <c r="H78" s="40"/>
      <c r="I78" s="14"/>
      <c r="J78" s="14"/>
      <c r="K78" s="15"/>
      <c r="L78" s="23"/>
      <c r="M78" s="10"/>
      <c r="N78" s="5"/>
    </row>
    <row r="79" spans="1:14" ht="15.5" hidden="1" x14ac:dyDescent="0.35">
      <c r="A79" s="39" t="s">
        <v>78</v>
      </c>
      <c r="B79" s="23"/>
      <c r="C79" s="8"/>
      <c r="D79" s="8"/>
      <c r="E79" s="8"/>
      <c r="F79" s="8"/>
      <c r="G79" s="10"/>
      <c r="H79" s="25"/>
      <c r="I79" s="2"/>
      <c r="J79" s="2"/>
      <c r="K79" s="26"/>
      <c r="L79" s="23"/>
      <c r="M79" s="10"/>
      <c r="N79" s="5"/>
    </row>
    <row r="80" spans="1:14" ht="15.5" hidden="1" x14ac:dyDescent="0.35">
      <c r="A80" s="39" t="s">
        <v>80</v>
      </c>
      <c r="B80" s="23"/>
      <c r="C80" s="8"/>
      <c r="D80" s="8"/>
      <c r="E80" s="8"/>
      <c r="F80" s="8"/>
      <c r="G80" s="10"/>
      <c r="H80" s="25"/>
      <c r="I80" s="2"/>
      <c r="J80" s="2"/>
      <c r="K80" s="26"/>
      <c r="L80" s="23"/>
      <c r="M80" s="10"/>
      <c r="N80" s="5"/>
    </row>
    <row r="81" spans="1:14" ht="15.5" hidden="1" x14ac:dyDescent="0.35">
      <c r="A81" s="39" t="s">
        <v>82</v>
      </c>
      <c r="B81" s="23"/>
      <c r="C81" s="8"/>
      <c r="D81" s="8"/>
      <c r="E81" s="8"/>
      <c r="F81" s="8"/>
      <c r="G81" s="10"/>
      <c r="H81" s="25"/>
      <c r="I81" s="2"/>
      <c r="J81" s="2"/>
      <c r="K81" s="26"/>
      <c r="L81" s="23"/>
      <c r="M81" s="10"/>
      <c r="N81" s="5"/>
    </row>
    <row r="82" spans="1:14" ht="15.5" hidden="1" x14ac:dyDescent="0.35">
      <c r="A82" s="39" t="s">
        <v>84</v>
      </c>
      <c r="B82" s="23"/>
      <c r="C82" s="8"/>
      <c r="D82" s="8"/>
      <c r="E82" s="8"/>
      <c r="F82" s="8"/>
      <c r="G82" s="10"/>
      <c r="H82" s="25"/>
      <c r="I82" s="2"/>
      <c r="J82" s="2"/>
      <c r="K82" s="26"/>
      <c r="L82" s="23"/>
      <c r="M82" s="10"/>
      <c r="N82" s="5"/>
    </row>
    <row r="83" spans="1:14" ht="15.5" hidden="1" x14ac:dyDescent="0.35">
      <c r="A83" s="39" t="s">
        <v>86</v>
      </c>
      <c r="B83" s="23"/>
      <c r="C83" s="8"/>
      <c r="D83" s="8"/>
      <c r="E83" s="8"/>
      <c r="F83" s="8"/>
      <c r="G83" s="10"/>
      <c r="H83" s="25"/>
      <c r="I83" s="2"/>
      <c r="J83" s="2"/>
      <c r="K83" s="26"/>
      <c r="L83" s="23"/>
      <c r="M83" s="10"/>
      <c r="N83" s="5"/>
    </row>
    <row r="84" spans="1:14" ht="15.5" hidden="1" x14ac:dyDescent="0.35">
      <c r="A84" s="39" t="s">
        <v>88</v>
      </c>
      <c r="B84" s="23"/>
      <c r="C84" s="8"/>
      <c r="D84" s="8"/>
      <c r="E84" s="8"/>
      <c r="F84" s="8"/>
      <c r="G84" s="10"/>
      <c r="H84" s="25"/>
      <c r="I84" s="2"/>
      <c r="J84" s="2"/>
      <c r="K84" s="26"/>
      <c r="L84" s="23"/>
      <c r="M84" s="10"/>
      <c r="N84" s="5"/>
    </row>
    <row r="85" spans="1:14" ht="15.5" hidden="1" x14ac:dyDescent="0.35">
      <c r="A85" s="39" t="s">
        <v>90</v>
      </c>
      <c r="B85" s="23"/>
      <c r="C85" s="8"/>
      <c r="D85" s="8"/>
      <c r="E85" s="8"/>
      <c r="F85" s="8"/>
      <c r="G85" s="10"/>
      <c r="H85" s="25"/>
      <c r="I85" s="2"/>
      <c r="J85" s="2"/>
      <c r="K85" s="26"/>
      <c r="L85" s="23"/>
      <c r="M85" s="10"/>
      <c r="N85" s="5"/>
    </row>
    <row r="86" spans="1:14" ht="15.5" hidden="1" x14ac:dyDescent="0.35">
      <c r="A86" s="39" t="s">
        <v>92</v>
      </c>
      <c r="B86" s="23"/>
      <c r="C86" s="8"/>
      <c r="D86" s="8"/>
      <c r="E86" s="8"/>
      <c r="F86" s="8"/>
      <c r="G86" s="10"/>
      <c r="H86" s="25"/>
      <c r="I86" s="2"/>
      <c r="J86" s="2"/>
      <c r="K86" s="26"/>
      <c r="L86" s="23"/>
      <c r="M86" s="10"/>
      <c r="N86" s="5"/>
    </row>
    <row r="87" spans="1:14" ht="15.5" hidden="1" x14ac:dyDescent="0.35">
      <c r="A87" s="39" t="s">
        <v>93</v>
      </c>
      <c r="B87" s="23"/>
      <c r="C87" s="8"/>
      <c r="D87" s="8"/>
      <c r="E87" s="8"/>
      <c r="F87" s="8"/>
      <c r="G87" s="10"/>
      <c r="H87" s="25"/>
      <c r="I87" s="2"/>
      <c r="J87" s="2"/>
      <c r="K87" s="26"/>
      <c r="L87" s="23"/>
      <c r="M87" s="10"/>
      <c r="N87" s="5"/>
    </row>
    <row r="88" spans="1:14" ht="15.5" hidden="1" x14ac:dyDescent="0.35">
      <c r="A88" s="39" t="s">
        <v>94</v>
      </c>
      <c r="B88" s="23"/>
      <c r="C88" s="8"/>
      <c r="D88" s="8"/>
      <c r="E88" s="8"/>
      <c r="F88" s="8"/>
      <c r="G88" s="10"/>
      <c r="H88" s="25"/>
      <c r="I88" s="2"/>
      <c r="J88" s="2"/>
      <c r="K88" s="26"/>
      <c r="L88" s="23"/>
      <c r="M88" s="10"/>
      <c r="N88" s="5"/>
    </row>
    <row r="89" spans="1:14" ht="15.5" hidden="1" x14ac:dyDescent="0.35">
      <c r="A89" s="39" t="s">
        <v>95</v>
      </c>
      <c r="B89" s="23"/>
      <c r="C89" s="8"/>
      <c r="D89" s="8"/>
      <c r="E89" s="8"/>
      <c r="F89" s="8"/>
      <c r="G89" s="10"/>
      <c r="H89" s="25"/>
      <c r="I89" s="2"/>
      <c r="J89" s="2"/>
      <c r="K89" s="26"/>
      <c r="L89" s="23"/>
      <c r="M89" s="10"/>
      <c r="N89" s="5"/>
    </row>
    <row r="90" spans="1:14" ht="15.5" hidden="1" x14ac:dyDescent="0.35">
      <c r="A90" s="39" t="s">
        <v>96</v>
      </c>
      <c r="B90" s="23"/>
      <c r="C90" s="8"/>
      <c r="D90" s="8"/>
      <c r="E90" s="8"/>
      <c r="F90" s="8"/>
      <c r="G90" s="10"/>
      <c r="H90" s="25"/>
      <c r="I90" s="2"/>
      <c r="J90" s="2"/>
      <c r="K90" s="26"/>
      <c r="L90" s="23"/>
      <c r="M90" s="10"/>
      <c r="N90" s="5"/>
    </row>
    <row r="91" spans="1:14" ht="15.5" hidden="1" x14ac:dyDescent="0.35">
      <c r="A91" s="39" t="s">
        <v>97</v>
      </c>
      <c r="B91" s="23"/>
      <c r="C91" s="8"/>
      <c r="D91" s="8"/>
      <c r="E91" s="8"/>
      <c r="F91" s="8"/>
      <c r="G91" s="10"/>
      <c r="H91" s="24"/>
      <c r="I91" s="18"/>
      <c r="J91" s="18"/>
      <c r="K91" s="19"/>
      <c r="L91" s="23"/>
      <c r="M91" s="10"/>
      <c r="N91" s="5"/>
    </row>
    <row r="92" spans="1:14" ht="24" customHeight="1" x14ac:dyDescent="0.35">
      <c r="A92" s="38" t="s">
        <v>101</v>
      </c>
      <c r="B92" s="8"/>
      <c r="C92" s="8"/>
      <c r="D92" s="8"/>
      <c r="E92" s="8"/>
      <c r="F92" s="8"/>
      <c r="G92" s="10"/>
      <c r="H92" s="38" t="s">
        <v>100</v>
      </c>
      <c r="I92" s="8"/>
      <c r="J92" s="8"/>
      <c r="K92" s="10"/>
      <c r="L92" s="38" t="s">
        <v>74</v>
      </c>
      <c r="M92" s="10"/>
      <c r="N92" s="30"/>
    </row>
    <row r="93" spans="1:14" ht="15.5" x14ac:dyDescent="0.35">
      <c r="A93" s="39" t="s">
        <v>75</v>
      </c>
      <c r="B93" s="23" t="s">
        <v>102</v>
      </c>
      <c r="C93" s="8"/>
      <c r="D93" s="8"/>
      <c r="E93" s="8"/>
      <c r="F93" s="8"/>
      <c r="G93" s="10"/>
      <c r="H93" s="40" t="s">
        <v>103</v>
      </c>
      <c r="I93" s="14"/>
      <c r="J93" s="14"/>
      <c r="K93" s="15"/>
      <c r="L93" s="41">
        <v>2</v>
      </c>
      <c r="M93" s="10"/>
      <c r="N93" s="5"/>
    </row>
    <row r="94" spans="1:14" ht="15.5" x14ac:dyDescent="0.35">
      <c r="A94" s="39" t="s">
        <v>78</v>
      </c>
      <c r="B94" s="23" t="s">
        <v>104</v>
      </c>
      <c r="C94" s="8"/>
      <c r="D94" s="8"/>
      <c r="E94" s="8"/>
      <c r="F94" s="8"/>
      <c r="G94" s="10"/>
      <c r="H94" s="25"/>
      <c r="I94" s="2"/>
      <c r="J94" s="2"/>
      <c r="K94" s="26"/>
      <c r="L94" s="41">
        <v>2</v>
      </c>
      <c r="M94" s="10"/>
      <c r="N94" s="5"/>
    </row>
    <row r="95" spans="1:14" ht="15.5" x14ac:dyDescent="0.35">
      <c r="A95" s="39" t="s">
        <v>80</v>
      </c>
      <c r="B95" s="23" t="s">
        <v>105</v>
      </c>
      <c r="C95" s="8"/>
      <c r="D95" s="8"/>
      <c r="E95" s="8"/>
      <c r="F95" s="8"/>
      <c r="G95" s="10"/>
      <c r="H95" s="25"/>
      <c r="I95" s="2"/>
      <c r="J95" s="2"/>
      <c r="K95" s="26"/>
      <c r="L95" s="41">
        <v>2</v>
      </c>
      <c r="M95" s="10"/>
      <c r="N95" s="5"/>
    </row>
    <row r="96" spans="1:14" ht="15.5" x14ac:dyDescent="0.35">
      <c r="A96" s="39" t="s">
        <v>82</v>
      </c>
      <c r="B96" s="23" t="s">
        <v>106</v>
      </c>
      <c r="C96" s="8"/>
      <c r="D96" s="8"/>
      <c r="E96" s="8"/>
      <c r="F96" s="8"/>
      <c r="G96" s="10"/>
      <c r="H96" s="25"/>
      <c r="I96" s="2"/>
      <c r="J96" s="2"/>
      <c r="K96" s="26"/>
      <c r="L96" s="41">
        <v>2</v>
      </c>
      <c r="M96" s="10"/>
      <c r="N96" s="5"/>
    </row>
    <row r="97" spans="1:14" ht="15.5" x14ac:dyDescent="0.35">
      <c r="A97" s="39" t="s">
        <v>84</v>
      </c>
      <c r="B97" s="23" t="s">
        <v>107</v>
      </c>
      <c r="C97" s="8"/>
      <c r="D97" s="8"/>
      <c r="E97" s="8"/>
      <c r="F97" s="8"/>
      <c r="G97" s="10"/>
      <c r="H97" s="25"/>
      <c r="I97" s="2"/>
      <c r="J97" s="2"/>
      <c r="K97" s="26"/>
      <c r="L97" s="41">
        <v>2</v>
      </c>
      <c r="M97" s="10"/>
      <c r="N97" s="5"/>
    </row>
    <row r="98" spans="1:14" ht="15.5" x14ac:dyDescent="0.35">
      <c r="A98" s="39" t="s">
        <v>86</v>
      </c>
      <c r="B98" s="23" t="s">
        <v>108</v>
      </c>
      <c r="C98" s="8"/>
      <c r="D98" s="8"/>
      <c r="E98" s="8"/>
      <c r="F98" s="8"/>
      <c r="G98" s="10"/>
      <c r="H98" s="25"/>
      <c r="I98" s="2"/>
      <c r="J98" s="2"/>
      <c r="K98" s="26"/>
      <c r="L98" s="41">
        <v>2</v>
      </c>
      <c r="M98" s="10"/>
      <c r="N98" s="5"/>
    </row>
    <row r="99" spans="1:14" ht="15.5" x14ac:dyDescent="0.35">
      <c r="A99" s="39" t="s">
        <v>88</v>
      </c>
      <c r="B99" s="23" t="s">
        <v>109</v>
      </c>
      <c r="C99" s="8"/>
      <c r="D99" s="8"/>
      <c r="E99" s="8"/>
      <c r="F99" s="8"/>
      <c r="G99" s="10"/>
      <c r="H99" s="25"/>
      <c r="I99" s="2"/>
      <c r="J99" s="2"/>
      <c r="K99" s="26"/>
      <c r="L99" s="41">
        <v>2</v>
      </c>
      <c r="M99" s="10"/>
      <c r="N99" s="5"/>
    </row>
    <row r="100" spans="1:14" ht="15.5" x14ac:dyDescent="0.35">
      <c r="A100" s="39" t="s">
        <v>90</v>
      </c>
      <c r="B100" s="23" t="s">
        <v>110</v>
      </c>
      <c r="C100" s="8"/>
      <c r="D100" s="8"/>
      <c r="E100" s="8"/>
      <c r="F100" s="8"/>
      <c r="G100" s="10"/>
      <c r="H100" s="25"/>
      <c r="I100" s="2"/>
      <c r="J100" s="2"/>
      <c r="K100" s="26"/>
      <c r="L100" s="41">
        <v>2</v>
      </c>
      <c r="M100" s="10"/>
      <c r="N100" s="5"/>
    </row>
    <row r="101" spans="1:14" ht="15.5" x14ac:dyDescent="0.35">
      <c r="A101" s="39" t="s">
        <v>92</v>
      </c>
      <c r="B101" s="23" t="s">
        <v>111</v>
      </c>
      <c r="C101" s="8"/>
      <c r="D101" s="8"/>
      <c r="E101" s="8"/>
      <c r="F101" s="8"/>
      <c r="G101" s="10"/>
      <c r="H101" s="25"/>
      <c r="I101" s="2"/>
      <c r="J101" s="2"/>
      <c r="K101" s="26"/>
      <c r="L101" s="41">
        <v>2</v>
      </c>
      <c r="M101" s="10"/>
      <c r="N101" s="5"/>
    </row>
    <row r="102" spans="1:14" ht="15.5" x14ac:dyDescent="0.35">
      <c r="A102" s="39" t="s">
        <v>93</v>
      </c>
      <c r="B102" s="23" t="s">
        <v>112</v>
      </c>
      <c r="C102" s="8"/>
      <c r="D102" s="8"/>
      <c r="E102" s="8"/>
      <c r="F102" s="8"/>
      <c r="G102" s="10"/>
      <c r="H102" s="25"/>
      <c r="I102" s="2"/>
      <c r="J102" s="2"/>
      <c r="K102" s="26"/>
      <c r="L102" s="41">
        <v>2</v>
      </c>
      <c r="M102" s="10"/>
      <c r="N102" s="5"/>
    </row>
    <row r="103" spans="1:14" ht="15.5" x14ac:dyDescent="0.35">
      <c r="A103" s="39" t="s">
        <v>94</v>
      </c>
      <c r="B103" s="23" t="s">
        <v>113</v>
      </c>
      <c r="C103" s="8"/>
      <c r="D103" s="8"/>
      <c r="E103" s="8"/>
      <c r="F103" s="8"/>
      <c r="G103" s="10"/>
      <c r="H103" s="25"/>
      <c r="I103" s="2"/>
      <c r="J103" s="2"/>
      <c r="K103" s="26"/>
      <c r="L103" s="41">
        <v>2</v>
      </c>
      <c r="M103" s="10"/>
      <c r="N103" s="5"/>
    </row>
    <row r="104" spans="1:14" ht="15.5" x14ac:dyDescent="0.35">
      <c r="A104" s="39" t="s">
        <v>95</v>
      </c>
      <c r="B104" s="23" t="s">
        <v>114</v>
      </c>
      <c r="C104" s="8"/>
      <c r="D104" s="8"/>
      <c r="E104" s="8"/>
      <c r="F104" s="8"/>
      <c r="G104" s="10"/>
      <c r="H104" s="25"/>
      <c r="I104" s="2"/>
      <c r="J104" s="2"/>
      <c r="K104" s="26"/>
      <c r="L104" s="41">
        <v>2</v>
      </c>
      <c r="M104" s="10"/>
      <c r="N104" s="5"/>
    </row>
    <row r="105" spans="1:14" ht="15.5" x14ac:dyDescent="0.35">
      <c r="A105" s="39" t="s">
        <v>96</v>
      </c>
      <c r="B105" s="23" t="s">
        <v>115</v>
      </c>
      <c r="C105" s="8"/>
      <c r="D105" s="8"/>
      <c r="E105" s="8"/>
      <c r="F105" s="8"/>
      <c r="G105" s="10"/>
      <c r="H105" s="25"/>
      <c r="I105" s="2"/>
      <c r="J105" s="2"/>
      <c r="K105" s="26"/>
      <c r="L105" s="41">
        <v>2</v>
      </c>
      <c r="M105" s="10"/>
      <c r="N105" s="5"/>
    </row>
    <row r="106" spans="1:14" ht="15.5" x14ac:dyDescent="0.35">
      <c r="A106" s="39" t="s">
        <v>97</v>
      </c>
      <c r="B106" s="23" t="s">
        <v>116</v>
      </c>
      <c r="C106" s="8"/>
      <c r="D106" s="8"/>
      <c r="E106" s="8"/>
      <c r="F106" s="8"/>
      <c r="G106" s="10"/>
      <c r="H106" s="24"/>
      <c r="I106" s="18"/>
      <c r="J106" s="18"/>
      <c r="K106" s="19"/>
      <c r="L106" s="41">
        <v>2</v>
      </c>
      <c r="M106" s="10"/>
      <c r="N106" s="5"/>
    </row>
    <row r="107" spans="1:14" ht="24" hidden="1" customHeight="1" x14ac:dyDescent="0.35">
      <c r="A107" s="38" t="s">
        <v>117</v>
      </c>
      <c r="B107" s="8"/>
      <c r="C107" s="8"/>
      <c r="D107" s="8"/>
      <c r="E107" s="8"/>
      <c r="F107" s="8"/>
      <c r="G107" s="10"/>
      <c r="H107" s="38" t="s">
        <v>100</v>
      </c>
      <c r="I107" s="8"/>
      <c r="J107" s="8"/>
      <c r="K107" s="10"/>
      <c r="L107" s="38" t="s">
        <v>74</v>
      </c>
      <c r="M107" s="10"/>
      <c r="N107" s="30"/>
    </row>
    <row r="108" spans="1:14" ht="15.5" hidden="1" x14ac:dyDescent="0.35">
      <c r="A108" s="39" t="s">
        <v>75</v>
      </c>
      <c r="B108" s="23"/>
      <c r="C108" s="8"/>
      <c r="D108" s="8"/>
      <c r="E108" s="8"/>
      <c r="F108" s="8"/>
      <c r="G108" s="10"/>
      <c r="H108" s="40"/>
      <c r="I108" s="14"/>
      <c r="J108" s="14"/>
      <c r="K108" s="15"/>
      <c r="L108" s="23"/>
      <c r="M108" s="10"/>
      <c r="N108" s="5"/>
    </row>
    <row r="109" spans="1:14" ht="15.5" hidden="1" x14ac:dyDescent="0.35">
      <c r="A109" s="39" t="s">
        <v>78</v>
      </c>
      <c r="B109" s="23"/>
      <c r="C109" s="8"/>
      <c r="D109" s="8"/>
      <c r="E109" s="8"/>
      <c r="F109" s="8"/>
      <c r="G109" s="10"/>
      <c r="H109" s="25"/>
      <c r="I109" s="2"/>
      <c r="J109" s="2"/>
      <c r="K109" s="26"/>
      <c r="L109" s="23"/>
      <c r="M109" s="10"/>
      <c r="N109" s="5"/>
    </row>
    <row r="110" spans="1:14" ht="15.5" hidden="1" x14ac:dyDescent="0.35">
      <c r="A110" s="39" t="s">
        <v>80</v>
      </c>
      <c r="B110" s="23"/>
      <c r="C110" s="8"/>
      <c r="D110" s="8"/>
      <c r="E110" s="8"/>
      <c r="F110" s="8"/>
      <c r="G110" s="10"/>
      <c r="H110" s="25"/>
      <c r="I110" s="2"/>
      <c r="J110" s="2"/>
      <c r="K110" s="26"/>
      <c r="L110" s="23"/>
      <c r="M110" s="10"/>
      <c r="N110" s="5"/>
    </row>
    <row r="111" spans="1:14" ht="15.5" hidden="1" x14ac:dyDescent="0.35">
      <c r="A111" s="39" t="s">
        <v>82</v>
      </c>
      <c r="B111" s="23"/>
      <c r="C111" s="8"/>
      <c r="D111" s="8"/>
      <c r="E111" s="8"/>
      <c r="F111" s="8"/>
      <c r="G111" s="10"/>
      <c r="H111" s="25"/>
      <c r="I111" s="2"/>
      <c r="J111" s="2"/>
      <c r="K111" s="26"/>
      <c r="L111" s="23"/>
      <c r="M111" s="10"/>
      <c r="N111" s="5"/>
    </row>
    <row r="112" spans="1:14" ht="15.5" hidden="1" x14ac:dyDescent="0.35">
      <c r="A112" s="39" t="s">
        <v>84</v>
      </c>
      <c r="B112" s="23"/>
      <c r="C112" s="8"/>
      <c r="D112" s="8"/>
      <c r="E112" s="8"/>
      <c r="F112" s="8"/>
      <c r="G112" s="10"/>
      <c r="H112" s="25"/>
      <c r="I112" s="2"/>
      <c r="J112" s="2"/>
      <c r="K112" s="26"/>
      <c r="L112" s="23"/>
      <c r="M112" s="10"/>
      <c r="N112" s="5"/>
    </row>
    <row r="113" spans="1:14" ht="15.5" hidden="1" x14ac:dyDescent="0.35">
      <c r="A113" s="39" t="s">
        <v>86</v>
      </c>
      <c r="B113" s="23"/>
      <c r="C113" s="8"/>
      <c r="D113" s="8"/>
      <c r="E113" s="8"/>
      <c r="F113" s="8"/>
      <c r="G113" s="10"/>
      <c r="H113" s="25"/>
      <c r="I113" s="2"/>
      <c r="J113" s="2"/>
      <c r="K113" s="26"/>
      <c r="L113" s="23"/>
      <c r="M113" s="10"/>
      <c r="N113" s="5"/>
    </row>
    <row r="114" spans="1:14" ht="15.5" hidden="1" x14ac:dyDescent="0.35">
      <c r="A114" s="39" t="s">
        <v>88</v>
      </c>
      <c r="B114" s="23"/>
      <c r="C114" s="8"/>
      <c r="D114" s="8"/>
      <c r="E114" s="8"/>
      <c r="F114" s="8"/>
      <c r="G114" s="10"/>
      <c r="H114" s="25"/>
      <c r="I114" s="2"/>
      <c r="J114" s="2"/>
      <c r="K114" s="26"/>
      <c r="L114" s="23"/>
      <c r="M114" s="10"/>
      <c r="N114" s="5"/>
    </row>
    <row r="115" spans="1:14" ht="15.5" hidden="1" x14ac:dyDescent="0.35">
      <c r="A115" s="39" t="s">
        <v>90</v>
      </c>
      <c r="B115" s="23"/>
      <c r="C115" s="8"/>
      <c r="D115" s="8"/>
      <c r="E115" s="8"/>
      <c r="F115" s="8"/>
      <c r="G115" s="10"/>
      <c r="H115" s="25"/>
      <c r="I115" s="2"/>
      <c r="J115" s="2"/>
      <c r="K115" s="26"/>
      <c r="L115" s="23"/>
      <c r="M115" s="10"/>
      <c r="N115" s="5"/>
    </row>
    <row r="116" spans="1:14" ht="15.5" hidden="1" x14ac:dyDescent="0.35">
      <c r="A116" s="39" t="s">
        <v>92</v>
      </c>
      <c r="B116" s="23"/>
      <c r="C116" s="8"/>
      <c r="D116" s="8"/>
      <c r="E116" s="8"/>
      <c r="F116" s="8"/>
      <c r="G116" s="10"/>
      <c r="H116" s="25"/>
      <c r="I116" s="2"/>
      <c r="J116" s="2"/>
      <c r="K116" s="26"/>
      <c r="L116" s="23"/>
      <c r="M116" s="10"/>
      <c r="N116" s="5"/>
    </row>
    <row r="117" spans="1:14" ht="15.5" hidden="1" x14ac:dyDescent="0.35">
      <c r="A117" s="39" t="s">
        <v>93</v>
      </c>
      <c r="B117" s="23"/>
      <c r="C117" s="8"/>
      <c r="D117" s="8"/>
      <c r="E117" s="8"/>
      <c r="F117" s="8"/>
      <c r="G117" s="10"/>
      <c r="H117" s="25"/>
      <c r="I117" s="2"/>
      <c r="J117" s="2"/>
      <c r="K117" s="26"/>
      <c r="L117" s="23"/>
      <c r="M117" s="10"/>
      <c r="N117" s="5"/>
    </row>
    <row r="118" spans="1:14" ht="15.5" hidden="1" x14ac:dyDescent="0.35">
      <c r="A118" s="39" t="s">
        <v>94</v>
      </c>
      <c r="B118" s="23"/>
      <c r="C118" s="8"/>
      <c r="D118" s="8"/>
      <c r="E118" s="8"/>
      <c r="F118" s="8"/>
      <c r="G118" s="10"/>
      <c r="H118" s="25"/>
      <c r="I118" s="2"/>
      <c r="J118" s="2"/>
      <c r="K118" s="26"/>
      <c r="L118" s="23"/>
      <c r="M118" s="10"/>
      <c r="N118" s="5"/>
    </row>
    <row r="119" spans="1:14" ht="15.5" hidden="1" x14ac:dyDescent="0.35">
      <c r="A119" s="39" t="s">
        <v>95</v>
      </c>
      <c r="B119" s="23"/>
      <c r="C119" s="8"/>
      <c r="D119" s="8"/>
      <c r="E119" s="8"/>
      <c r="F119" s="8"/>
      <c r="G119" s="10"/>
      <c r="H119" s="25"/>
      <c r="I119" s="2"/>
      <c r="J119" s="2"/>
      <c r="K119" s="26"/>
      <c r="L119" s="23"/>
      <c r="M119" s="10"/>
      <c r="N119" s="5"/>
    </row>
    <row r="120" spans="1:14" ht="15.5" hidden="1" x14ac:dyDescent="0.35">
      <c r="A120" s="39" t="s">
        <v>96</v>
      </c>
      <c r="B120" s="23"/>
      <c r="C120" s="8"/>
      <c r="D120" s="8"/>
      <c r="E120" s="8"/>
      <c r="F120" s="8"/>
      <c r="G120" s="10"/>
      <c r="H120" s="25"/>
      <c r="I120" s="2"/>
      <c r="J120" s="2"/>
      <c r="K120" s="26"/>
      <c r="L120" s="23"/>
      <c r="M120" s="10"/>
      <c r="N120" s="5"/>
    </row>
    <row r="121" spans="1:14" ht="15.5" hidden="1" x14ac:dyDescent="0.35">
      <c r="A121" s="39" t="s">
        <v>97</v>
      </c>
      <c r="B121" s="23"/>
      <c r="C121" s="8"/>
      <c r="D121" s="8"/>
      <c r="E121" s="8"/>
      <c r="F121" s="8"/>
      <c r="G121" s="10"/>
      <c r="H121" s="24"/>
      <c r="I121" s="18"/>
      <c r="J121" s="18"/>
      <c r="K121" s="19"/>
      <c r="L121" s="23"/>
      <c r="M121" s="10"/>
      <c r="N121" s="5"/>
    </row>
    <row r="122" spans="1:14" ht="15.5" x14ac:dyDescent="0.35">
      <c r="A122" s="23" t="s">
        <v>118</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119</v>
      </c>
      <c r="B124" s="2"/>
      <c r="C124" s="2"/>
      <c r="D124" s="2"/>
      <c r="E124" s="2"/>
      <c r="F124" s="2"/>
      <c r="G124" s="2"/>
      <c r="H124" s="2"/>
      <c r="I124" s="2"/>
      <c r="J124" s="2"/>
      <c r="K124" s="2"/>
      <c r="L124" s="2"/>
      <c r="M124" s="2"/>
      <c r="N124" s="30"/>
    </row>
    <row r="125" spans="1:14" ht="46.5" x14ac:dyDescent="0.35">
      <c r="A125" s="42" t="s">
        <v>120</v>
      </c>
      <c r="B125" s="43" t="s">
        <v>121</v>
      </c>
      <c r="C125" s="8"/>
      <c r="D125" s="8"/>
      <c r="E125" s="8"/>
      <c r="F125" s="8"/>
      <c r="G125" s="10"/>
      <c r="H125" s="43" t="s">
        <v>122</v>
      </c>
      <c r="I125" s="8"/>
      <c r="J125" s="8"/>
      <c r="K125" s="10"/>
      <c r="L125" s="44" t="s">
        <v>123</v>
      </c>
      <c r="M125" s="10"/>
      <c r="N125" s="5"/>
    </row>
    <row r="126" spans="1:14" ht="15.5" x14ac:dyDescent="0.35">
      <c r="A126" s="45" t="s">
        <v>124</v>
      </c>
      <c r="B126" s="46" t="s">
        <v>125</v>
      </c>
      <c r="C126" s="14"/>
      <c r="D126" s="14"/>
      <c r="E126" s="14"/>
      <c r="F126" s="14"/>
      <c r="G126" s="15"/>
      <c r="H126" s="47" t="s">
        <v>126</v>
      </c>
      <c r="I126" s="8"/>
      <c r="J126" s="8"/>
      <c r="K126" s="48"/>
      <c r="L126" s="49">
        <f>1-SUM(L129:M131)</f>
        <v>0.6</v>
      </c>
      <c r="M126" s="15"/>
      <c r="N126" s="5"/>
    </row>
    <row r="127" spans="1:14" ht="15.5" x14ac:dyDescent="0.35">
      <c r="A127" s="50"/>
      <c r="B127" s="25"/>
      <c r="C127" s="2"/>
      <c r="D127" s="2"/>
      <c r="E127" s="2"/>
      <c r="F127" s="2"/>
      <c r="G127" s="26"/>
      <c r="H127" s="51" t="s">
        <v>127</v>
      </c>
      <c r="I127" s="8"/>
      <c r="J127" s="8"/>
      <c r="K127" s="48"/>
      <c r="L127" s="25"/>
      <c r="M127" s="26"/>
      <c r="N127" s="5"/>
    </row>
    <row r="128" spans="1:14" ht="15.5" x14ac:dyDescent="0.35">
      <c r="A128" s="35"/>
      <c r="B128" s="24"/>
      <c r="C128" s="18"/>
      <c r="D128" s="18"/>
      <c r="E128" s="18"/>
      <c r="F128" s="18"/>
      <c r="G128" s="19"/>
      <c r="H128" s="51" t="s">
        <v>128</v>
      </c>
      <c r="I128" s="8"/>
      <c r="J128" s="8"/>
      <c r="K128" s="48" t="s">
        <v>129</v>
      </c>
      <c r="L128" s="24"/>
      <c r="M128" s="19"/>
      <c r="N128" s="5"/>
    </row>
    <row r="129" spans="1:14" ht="68.25" hidden="1" customHeight="1" x14ac:dyDescent="0.35">
      <c r="A129" s="42" t="s">
        <v>130</v>
      </c>
      <c r="B129" s="52" t="s">
        <v>131</v>
      </c>
      <c r="C129" s="8"/>
      <c r="D129" s="8"/>
      <c r="E129" s="8"/>
      <c r="F129" s="8"/>
      <c r="G129" s="10"/>
      <c r="H129" s="51" t="s">
        <v>132</v>
      </c>
      <c r="I129" s="8"/>
      <c r="J129" s="8"/>
      <c r="K129" s="10"/>
      <c r="L129" s="53"/>
      <c r="M129" s="10"/>
      <c r="N129" s="5"/>
    </row>
    <row r="130" spans="1:14" ht="46.5" x14ac:dyDescent="0.35">
      <c r="A130" s="42" t="s">
        <v>133</v>
      </c>
      <c r="B130" s="52" t="s">
        <v>134</v>
      </c>
      <c r="C130" s="8"/>
      <c r="D130" s="8"/>
      <c r="E130" s="8"/>
      <c r="F130" s="8"/>
      <c r="G130" s="10"/>
      <c r="H130" s="51" t="s">
        <v>135</v>
      </c>
      <c r="I130" s="8"/>
      <c r="J130" s="8"/>
      <c r="K130" s="10"/>
      <c r="L130" s="53">
        <v>0.4</v>
      </c>
      <c r="M130" s="10"/>
      <c r="N130" s="5"/>
    </row>
    <row r="131" spans="1:14" ht="31" hidden="1" x14ac:dyDescent="0.35">
      <c r="A131" s="42" t="s">
        <v>136</v>
      </c>
      <c r="B131" s="52" t="s">
        <v>137</v>
      </c>
      <c r="C131" s="8"/>
      <c r="D131" s="8"/>
      <c r="E131" s="8"/>
      <c r="F131" s="8"/>
      <c r="G131" s="10"/>
      <c r="H131" s="51" t="s">
        <v>138</v>
      </c>
      <c r="I131" s="8"/>
      <c r="J131" s="8"/>
      <c r="K131" s="10"/>
      <c r="L131" s="53"/>
      <c r="M131" s="10"/>
      <c r="N131" s="5"/>
    </row>
    <row r="132" spans="1:14" ht="15.5" x14ac:dyDescent="0.35">
      <c r="A132" s="43" t="s">
        <v>139</v>
      </c>
      <c r="B132" s="8"/>
      <c r="C132" s="8"/>
      <c r="D132" s="8"/>
      <c r="E132" s="8"/>
      <c r="F132" s="8"/>
      <c r="G132" s="8"/>
      <c r="H132" s="8"/>
      <c r="I132" s="8"/>
      <c r="J132" s="8"/>
      <c r="K132" s="8"/>
      <c r="L132" s="8"/>
      <c r="M132" s="10"/>
      <c r="N132" s="5"/>
    </row>
    <row r="133" spans="1:14" ht="15.5" x14ac:dyDescent="0.35">
      <c r="A133" s="52" t="s">
        <v>140</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4" t="s">
        <v>141</v>
      </c>
      <c r="B135" s="10"/>
      <c r="C135" s="55">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4" t="s">
        <v>142</v>
      </c>
      <c r="B137" s="10"/>
      <c r="C137" s="9" t="str">
        <f>E15</f>
        <v>conf.dr.ing. Letitia Mirea</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6" t="s">
        <v>143</v>
      </c>
      <c r="B139" s="15"/>
      <c r="C139" s="9" t="str">
        <f t="shared" ref="C139:C141" si="0">E17</f>
        <v>conf.dr.ing. Letitia Mirea</v>
      </c>
      <c r="D139" s="8"/>
      <c r="E139" s="8"/>
      <c r="F139" s="8"/>
      <c r="G139" s="10"/>
      <c r="H139" s="9">
        <f t="shared" ref="H139:H141" si="1">E20</f>
        <v>0</v>
      </c>
      <c r="I139" s="8"/>
      <c r="J139" s="8"/>
      <c r="K139" s="8"/>
      <c r="L139" s="8"/>
      <c r="M139" s="10"/>
      <c r="N139" s="5"/>
    </row>
    <row r="140" spans="1:14" ht="32.25" customHeight="1" x14ac:dyDescent="0.35">
      <c r="A140" s="25"/>
      <c r="B140" s="26"/>
      <c r="C140" s="9" t="str">
        <f t="shared" si="0"/>
        <v>conf.dr.ing. Anca Maxim</v>
      </c>
      <c r="D140" s="8"/>
      <c r="E140" s="8"/>
      <c r="F140" s="8"/>
      <c r="G140" s="10"/>
      <c r="H140" s="9">
        <f t="shared" si="1"/>
        <v>0</v>
      </c>
      <c r="I140" s="8"/>
      <c r="J140" s="8"/>
      <c r="K140" s="8"/>
      <c r="L140" s="8"/>
      <c r="M140" s="10"/>
      <c r="N140" s="5"/>
    </row>
    <row r="141" spans="1:14" ht="32.25" customHeight="1" x14ac:dyDescent="0.35">
      <c r="A141" s="24"/>
      <c r="B141" s="19"/>
      <c r="C141" s="9" t="str">
        <f t="shared" si="0"/>
        <v>asist.drd.ing. Aura Ganciu</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4" t="s">
        <v>144</v>
      </c>
      <c r="B143" s="10"/>
      <c r="C143" s="57">
        <f>[1]Date!C33</f>
        <v>45915</v>
      </c>
      <c r="D143" s="10"/>
      <c r="E143" s="54" t="s">
        <v>145</v>
      </c>
      <c r="F143" s="8"/>
      <c r="G143" s="10"/>
      <c r="H143" s="58" t="str">
        <f>[1]Date!C35</f>
        <v>Conf.dr.ing. Mihai POSTOLACHE</v>
      </c>
      <c r="I143" s="8"/>
      <c r="J143" s="8"/>
      <c r="K143" s="8"/>
      <c r="L143" s="8"/>
      <c r="M143" s="10"/>
      <c r="N143" s="5"/>
    </row>
    <row r="144" spans="1:14" ht="21.75" customHeight="1" x14ac:dyDescent="0.35">
      <c r="A144" s="59"/>
      <c r="B144" s="59"/>
      <c r="C144" s="60"/>
      <c r="D144" s="60"/>
      <c r="E144" s="59"/>
      <c r="F144" s="59"/>
      <c r="G144" s="59"/>
      <c r="H144" s="60"/>
      <c r="I144" s="60"/>
      <c r="J144" s="60"/>
      <c r="K144" s="60"/>
      <c r="L144" s="60"/>
      <c r="M144" s="60"/>
      <c r="N144" s="5"/>
    </row>
    <row r="145" spans="1:14" ht="28.5" customHeight="1" x14ac:dyDescent="0.35">
      <c r="A145" s="54" t="s">
        <v>146</v>
      </c>
      <c r="B145" s="10"/>
      <c r="C145" s="57">
        <f>[1]Date!C34</f>
        <v>45918</v>
      </c>
      <c r="D145" s="10"/>
      <c r="E145" s="54" t="s">
        <v>147</v>
      </c>
      <c r="F145" s="8"/>
      <c r="G145" s="10"/>
      <c r="H145" s="58" t="str">
        <f>[1]Date!C36</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2026-03-01T08:54:09Z</dcterms:created>
  <dcterms:modified xsi:type="dcterms:W3CDTF">2026-03-01T08:54:14Z</dcterms:modified>
</cp:coreProperties>
</file>