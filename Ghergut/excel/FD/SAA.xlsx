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D96148C5-4E0B-4937-80BA-92F6F47DF04B}" xr6:coauthVersionLast="47" xr6:coauthVersionMax="47" xr10:uidLastSave="{00000000-0000-0000-0000-000000000000}"/>
  <bookViews>
    <workbookView xWindow="-110" yWindow="-110" windowWidth="25820" windowHeight="15500" xr2:uid="{B8AF9716-D14A-43E5-93E8-3917D5A07699}"/>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23" i="1"/>
  <c r="C9" i="1"/>
  <c r="C8" i="1"/>
  <c r="C7" i="1"/>
  <c r="A2" i="1"/>
  <c r="C34" i="1" a="1"/>
  <c r="C34" i="1" s="1"/>
  <c r="M33" i="1" s="1"/>
  <c r="E13" i="1" l="1" a="1"/>
  <c r="E13" i="1" s="1"/>
  <c r="G26" i="1" a="1"/>
  <c r="G26" i="1" s="1"/>
  <c r="G27" i="1" s="1"/>
  <c r="C36" i="1" a="1"/>
  <c r="C36" i="1" s="1"/>
  <c r="E14" i="1" a="1"/>
  <c r="E14" i="1" s="1"/>
  <c r="I26" i="1" a="1"/>
  <c r="I26" i="1" s="1"/>
  <c r="I27" i="1" s="1"/>
  <c r="M14" i="1" a="1"/>
  <c r="M14" i="1" s="1"/>
  <c r="K26" i="1" a="1"/>
  <c r="K26" i="1" s="1"/>
  <c r="K27" i="1" s="1"/>
  <c r="E23" i="1" a="1"/>
  <c r="E23" i="1" s="1"/>
  <c r="I23" i="1" a="1"/>
  <c r="I23" i="1" s="1"/>
  <c r="M23" i="1" a="1"/>
  <c r="M23" i="1" s="1"/>
  <c r="M32" i="1" a="1"/>
  <c r="M32" i="1" s="1"/>
  <c r="E26" i="1" a="1"/>
  <c r="E26"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275DEA4B-C251-4E57-81DB-D3D22CD2C167}">
      <text>
        <r>
          <rPr>
            <sz val="10"/>
            <color rgb="FF000000"/>
            <rFont val="Aptos Narrow"/>
            <scheme val="minor"/>
          </rPr>
          <t>Pondere din nota de la E / V</t>
        </r>
      </text>
    </comment>
    <comment ref="K128" authorId="0" shapeId="0" xr:uid="{1770C03C-8AA4-4514-8205-8ECDD44126CC}">
      <text>
        <r>
          <rPr>
            <sz val="10"/>
            <color rgb="FF000000"/>
            <rFont val="Aptos Narrow"/>
            <scheme val="minor"/>
          </rPr>
          <t>Pondere din nota de la E / V</t>
        </r>
      </text>
    </comment>
  </commentList>
</comments>
</file>

<file path=xl/sharedStrings.xml><?xml version="1.0" encoding="utf-8"?>
<sst xmlns="http://schemas.openxmlformats.org/spreadsheetml/2006/main" count="182" uniqueCount="132">
  <si>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</si>
  <si>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</si>
  <si>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</si>
  <si>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</si>
  <si>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</si>
  <si>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</si>
  <si>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</si>
  <si>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</si>
  <si>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</si>
  <si>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</si>
  <si>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</si>
  <si>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</si>
  <si>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</si>
  <si>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Sisteme de așteptare și aplicații</t>
  </si>
  <si>
    <t>(în limba engleză, conform Suplimentului la diplomă)</t>
  </si>
  <si>
    <t>2.1.2. Codul disciplinei</t>
  </si>
  <si>
    <t xml:space="preserve">2.1.3. Categoria formativă </t>
  </si>
  <si>
    <t>2.2 Titularul / titularii activităţilor de curs</t>
  </si>
  <si>
    <t>Prof.dr.ing. Mihaela-Hanako MATCOVSCHI</t>
  </si>
  <si>
    <t>2.3 Titularul / titularii activităţilor de aplicaţii (S, L, P, Pr)</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</si>
  <si>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</si>
  <si>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</si>
  <si>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</si>
  <si>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</si>
  <si>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</si>
  <si>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</si>
  <si>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</si>
  <si>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</si>
  <si>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</si>
  <si>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</si>
  <si>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</si>
  <si>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</si>
  <si>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</si>
  <si>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</si>
  <si>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</si>
  <si>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</si>
  <si>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</si>
  <si>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</si>
  <si>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</si>
  <si>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</si>
  <si>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</si>
  <si>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</si>
  <si>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</si>
  <si>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</si>
  <si>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</si>
  <si>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</si>
  <si>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</si>
  <si>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</si>
  <si>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</si>
  <si>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</si>
  <si>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</si>
  <si>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Algebră liniară și geometrie analitică– AIA.ALGA.101
Statistică și prelucrarea datelor – AIA.SPD.108
Sisteme cu evenimente discrete – AIA306</t>
  </si>
  <si>
    <t>5. Condiţii</t>
  </si>
  <si>
    <t>5.1 de desfăşurare a cursului</t>
  </si>
  <si>
    <t>videoproiector, tablă</t>
  </si>
  <si>
    <t>5.2 de desfăşurare a seminarului / laboratorului / proiectului</t>
  </si>
  <si>
    <t>calculatoare cu MATLAB și pachetele Statistics and Machine Learning Toolbox, SimEvents, videoproiector, tablă</t>
  </si>
  <si>
    <t>6. Obiectivul general al disciplinei</t>
  </si>
  <si>
    <t xml:space="preserve">Dezvoltarea competențelor studenților de a analiza, modela și evalua performanța sistemelor de așteptare (atat teoretic, cat si numeric), utilizând concepte de procese stochastice și markoviene, pentru a lua decizii informate în proiectarea și optimizarea sistemelor tehnice și de comunicații.
</t>
  </si>
  <si>
    <t>7. Rezultatele învățării</t>
  </si>
  <si>
    <t>Cunoștințe</t>
  </si>
  <si>
    <t>Studentul / Absolventul:</t>
  </si>
  <si>
    <t>- descrie principalele distribuții de probabilitate utilizate în modelarea proceselor de așteptare și proprietățile lor
- identifică și clasifică tipurile de lanțuri Markov în timp discret, respective în timp continuu, inclusiv procesele Poisson.
- explică conceptele fundamentale ale teoriei sistemelor de așteptare și procesele stochastice asociate 
- explică structura și caracteristicile modelelor M/M/1, M/M/m, M/M/m/k, M/M/m/k/p și ale rețelelor de așteptare.
- înțelege rolul și aplicațiile sistemelor de așteptare în domenii tehnologice precum sisteme de operare, comunicații, transport, fabricație.</t>
  </si>
  <si>
    <t>Aptitudini</t>
  </si>
  <si>
    <t xml:space="preserve">- aplică distribuții de probabilitate și lanțurile Markov pentru a modela și analiza sisteme de așteptare simple.
- calculează indicatori de performanță (timp mediu de așteptare, lungimea medie a cozii, utilizarea serverului) pentru diferite modele markoviene de cozi.
- modelează sisteme de așteptare mai complexe (cu capacitate și/sau populație finită) și să utilizeze tehnici matematice pentru a evalua performanțele lor.
- compară și evaluează diferite structuri de sisteme de așteptare în funcție de cerințele aplicațiilor concrete.
- elaborează studii de caz și proiectează modele de așteptare aplicate la probleme practice (ex. dimensionarea unui sistem de comunicație sau a unei linii de producție).
</t>
  </si>
  <si>
    <t>Responsabilitate și autonomie</t>
  </si>
  <si>
    <t xml:space="preserve">- lucrează individual și în echipă pentru a analiza și rezolva probleme legate de sisteme de așteptare.
- își asumă responsabilitatea pentru alegerea modelelor și metodelor de analiză potrivite în contexte aplicative.
- interpretează critic rezultatele obținute și a decide asupra implicațiilor practice în proiectarea și optimizarea sistemelor.
- utilizează în mod autonom resurse bibliografice și instrumente software pentru aprofundarea și extinderea analizei sistemelor de așteptare.
- manifestă o atitudine proactivă și responsabilă în rezolvarea problemelor complexe, având în vedere atât eficiența sistemului cât și impactul asupra utilizatorilor și resurselor.
- participă la discuțiile din cadrul cursurilor sau al ședințelor de laborator 
- </t>
  </si>
  <si>
    <t xml:space="preserve">8. Metode de predare </t>
  </si>
  <si>
    <t>Prezentarea cu videoproiectorul a materialelor de curs în format Power Point
Stimularea unui dialog permanent cu studenţii, ca mecanism de fixare a informaţiilor transmise în cadrul prelegerii
Realizarea de legături cu alte discipline de la ciclul de licență</t>
  </si>
  <si>
    <t>9. Conţinuturi</t>
  </si>
  <si>
    <t>9.1. Curs</t>
  </si>
  <si>
    <t>Metode de predare</t>
  </si>
  <si>
    <t>Timp alocat</t>
  </si>
  <si>
    <t>1</t>
  </si>
  <si>
    <t>Introducere în teoria sistemelor de aşteptare 
Scurt istoric. Noţiuni fundamentale. Exemple introductive de utilizare a sistemelor de aşteptare în diverse domenii tehnologice (sisteme de operare; sisteme de fabricaţie; sisteme de comunicaţie; sisteme de transport).</t>
  </si>
  <si>
    <t xml:space="preserve">Prezentarea cunoştinţelor aferente cursului – slide-uri prezentate cu videoproiectorul, rezolvări ale unor probleme la tablă, discuții cu studenții
Realizarea de conexiuni cu cunoştinţele prezentate la discipline înrudite de la ciclul de licenţă şi verificarea modului în care noile elemente introduse au fost receptate.  
Cunoştinţele teoretice sunt ilustrate prin numeroase exemple de modelare, analiză şi sinteză, cu referiri concrete la procese din realitatea fizico-tehnică.
</t>
  </si>
  <si>
    <t>2</t>
  </si>
  <si>
    <t>Procese stohastice in timp discret şi continuu
Elemente de teoria probabilităţilor. Distribuţii tipice de probabilitate şi proprietăţi. 
Tipuri de procese stohastice şi proprietăţi. 
Fluxuri de evenimente. 
Aplicaţii ilustrative.</t>
  </si>
  <si>
    <t>3</t>
  </si>
  <si>
    <t xml:space="preserve">Procese Markov                 
Definiţia proceselor Markov. Proprietăţi. 
Lanţuri Markov în timp discret. 
Lanţuri Markov în timp continuu. 
Lanţuri birth-death. 
Procese Poisson. </t>
  </si>
  <si>
    <t>4</t>
  </si>
  <si>
    <t>Sisteme de aşteptare markoviene                
Concepte şi tehnici de analiză specifice teoriei sistemelor de aşteptare. 
Performanţele unui sistem de aşteptare. 
Sisteme de aşteptare markoviene (M/M/1, M/M/m, M/M/m/k, M/M/m/k/p). 
Sisteme de aşteptare nemarkoviene (G/G/1). 
Studii de caz.</t>
  </si>
  <si>
    <t>5</t>
  </si>
  <si>
    <t>Reţele de aşteptare                
Reţele de aşteptare deschise (Jackson). 
Reţele de aşteptare închise (Gordon-Newell).</t>
  </si>
  <si>
    <t>6</t>
  </si>
  <si>
    <t>7</t>
  </si>
  <si>
    <t>8</t>
  </si>
  <si>
    <t>9</t>
  </si>
  <si>
    <t>10</t>
  </si>
  <si>
    <t>11</t>
  </si>
  <si>
    <t>12</t>
  </si>
  <si>
    <t>13</t>
  </si>
  <si>
    <t>14</t>
  </si>
  <si>
    <t xml:space="preserve">Bibliografie curs:
1. M.H. Matcovschi, Lanţuri şi sisteme de aşteptare markoviene, Ed. Gh. Asachi, Iaşi, 2003.
2. C.G. Cassandras, S. Lafortune, Introduction to Discrete Event Systems, Second Edition, Springer, New York, 2008.
3. G., Bolch, S. Greiner, H. de Meer, and K. Trivedi, Queueing Networks and Markov Chains: Modeling and Performance Evaluation with Computer Science Applications, John Wiley &amp; Sons, New York, 1998.
4. William Stewart - Probability, Markov Chains, Queues, and Simulation, Princeton University Press, 2009.
</t>
  </si>
  <si>
    <t>9.2a Seminar</t>
  </si>
  <si>
    <t>Metode de lucru</t>
  </si>
  <si>
    <t>9.2b Laborator</t>
  </si>
  <si>
    <t>Elemente de teoria probabilităţilor    
Studiul în mediul MATLAB a principalelor distribuţii de probabilitate discrete şi continue.</t>
  </si>
  <si>
    <t xml:space="preserve">Lucrările de laborator sunt în concordanţă tematică şi temporală cu cursurile predate. 
Metoda de studiu utilizată este bazată pe simulare în medii software dedicate.
Pentru fiecare şedinţă de laborator sunt furnizate studenţilor atât textele în format electronic ale lucrărilor cât şi programe demonstrative, disponibile pe Moodle. 
Se pune un accent deosebit pe înţelegerea intuitivă a fenomenelor şi pe interpretarea fizică a rezultatelor obținute prin simulare.
</t>
  </si>
  <si>
    <t>Proceses stohastice. Procese Poisson   
Studiul analitic și simularea în mediul MATLAB a comportării proceselor Poisson.</t>
  </si>
  <si>
    <t>Lanţuri Markov omogene în timp discret              
Studiul în mediul MATLAB a comportării lanţurilor Markov în timp discret (DTMC). Clasificarea stărilor. Analiza regimului tranzitoriu şi staţionar.</t>
  </si>
  <si>
    <t>Lanţuri Markov omogene în timp continuu              
Studiul în mediul MATLAB a comportării lanţurilor Markov în timp continuu (CTMC). Analiza regimului tranzitoriu şi staţionar.</t>
  </si>
  <si>
    <t>Utilizarea pachetului SimEvents pentru modelarea şi analiza performanţelor 
sistemelor de aşteptare                    
Prezentare generală a pachetului SimEvents. Construirea modelelor simple. Studii de caz. Comparație indicatori de performanță valori numerice vs. teoretice.</t>
  </si>
  <si>
    <t>9.2c Proiect</t>
  </si>
  <si>
    <r>
      <rPr>
        <sz val="12"/>
        <rFont val="Arial"/>
      </rPr>
      <t xml:space="preserve">Bibliografie aplicaţii (seminar / laborator / proiect):
1. M.H. Matcovschi, Lanţuri şi sisteme de aşteptare markoviene, Ed. Gh. Asachi, Iaşi, 2003.
2. C.G. Cassandras, S. Lafortune, Introduction to Discrete Event Systems, Second Edition, Springer, New York, 2008.
3. G., Bolch, S. Greiner, H. de Meer, and K. Trivedi, Queueing Networks and Markov Chains: Modeling and Performance Evaluation with Computer Science Applications, John Wiley &amp; Sons, New York, 1998.
4. William Stewart - Probability, Markov Chains, Queues, and Simulation, Princeton University Press, 2009.
5. The MathWorks Inc., Statistics and Machine Learning Toolbox documentation, </t>
    </r>
    <r>
      <rPr>
        <u/>
        <sz val="12"/>
        <color rgb="FF1155CC"/>
        <rFont val="Arial"/>
      </rPr>
      <t>https://www.mathworks.com/help/stats/</t>
    </r>
    <r>
      <rPr>
        <sz val="12"/>
        <rFont val="Arial"/>
      </rPr>
      <t xml:space="preserve">
6. The MathWorks Inc., SimEvents documentation, </t>
    </r>
    <r>
      <rPr>
        <u/>
        <sz val="12"/>
        <color rgb="FF1155CC"/>
        <rFont val="Arial"/>
      </rPr>
      <t>https://www.mathworks.com/help/simevents/</t>
    </r>
    <r>
      <rPr>
        <sz val="12"/>
        <rFont val="Arial"/>
      </rPr>
      <t xml:space="preserve"> 
</t>
    </r>
  </si>
  <si>
    <t>10. Evaluare</t>
  </si>
  <si>
    <t>Tip activitate</t>
  </si>
  <si>
    <t>10.1 Criterii de evaluare</t>
  </si>
  <si>
    <t>10.2 Metode de evaluare</t>
  </si>
  <si>
    <t>10.3 Pondere din nota finală [%]</t>
  </si>
  <si>
    <t>10.4 Examen / Colocviu</t>
  </si>
  <si>
    <t>Completitudinea şi corectitudinea cunoştinţelor. 
Capacitatea de analiză, de interpretare personală, originalitatea, creativitatea. 
Gradul de asimilare a limbajului de specialitate şi capacitatea de comunicare.
Capacitatea de a valorifica abilităţile dobândite.
Capacitatea de a prelucra datele și de arezolva problemele enunțate.</t>
  </si>
  <si>
    <t>- test de evaluare formativ (verificări pe parcursul semestrului).</t>
  </si>
  <si>
    <t>40%</t>
  </si>
  <si>
    <t>- test de evaluare sumativ (verificare finală).</t>
  </si>
  <si>
    <t>60%</t>
  </si>
  <si>
    <t>10.5a Seminar</t>
  </si>
  <si>
    <t>Capacitatea de aplicare în practică a cunoştinţelor învăţate. Capacitatea de analiză, de interpretare personală, originalitatea, creativitatea.</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</si>
  <si>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</si>
  <si>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</si>
  <si>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teme individuale ce trebuie predate pe parcursul semestrului).</t>
  </si>
  <si>
    <t>10.5c Proiect</t>
  </si>
  <si>
    <t>Participarea la activitatea de proicetare, capacitatea de documentare, aplicarea cunoștințelor în activitatea de proiectare.</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</si>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</sst>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1"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u/>
      <sz val="12"/>
      <color rgb="FF0000FF"/>
      <name val="Arial"/>
    </font>
    <font>
      <sz val="12"/>
      <name val="Arial"/>
    </font>
    <font>
      <u/>
      <sz val="12"/>
      <color rgb="FF1155CC"/>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5">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0" fontId="2" fillId="3" borderId="4" xfId="0" applyFont="1" applyFill="1" applyBorder="1" applyAlignment="1">
      <alignment vertical="top" wrapText="1"/>
    </xf>
    <xf numFmtId="0" fontId="7" fillId="3" borderId="1" xfId="0" applyFont="1" applyFill="1" applyBorder="1" applyAlignment="1">
      <alignment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4" xfId="0" applyNumberFormat="1" applyFont="1" applyFill="1" applyBorder="1" applyAlignment="1">
      <alignment vertical="center" wrapText="1"/>
    </xf>
    <xf numFmtId="49" fontId="2" fillId="3" borderId="13" xfId="0" applyNumberFormat="1" applyFont="1" applyFill="1" applyBorder="1" applyAlignment="1">
      <alignment horizontal="center" vertical="center"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9" fontId="2" fillId="3" borderId="1" xfId="0" applyNumberFormat="1" applyFont="1" applyFill="1" applyBorder="1" applyAlignment="1">
      <alignment horizontal="center" vertical="center" wrapText="1"/>
    </xf>
    <xf numFmtId="49" fontId="2" fillId="3" borderId="1" xfId="0" applyNumberFormat="1" applyFont="1" applyFill="1" applyBorder="1" applyAlignment="1">
      <alignment wrapText="1"/>
    </xf>
    <xf numFmtId="49" fontId="2" fillId="0" borderId="1" xfId="0" applyNumberFormat="1" applyFont="1" applyBorder="1" applyAlignment="1">
      <alignment vertical="center" wrapText="1"/>
    </xf>
    <xf numFmtId="49" fontId="2" fillId="0" borderId="1" xfId="0" applyNumberFormat="1" applyFont="1" applyBorder="1" applyAlignment="1">
      <alignment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4.xlsx" TargetMode="External"/><Relationship Id="rId1" Type="http://schemas.openxmlformats.org/officeDocument/2006/relationships/externalLinkPath" Target="/Users/Madalin/Downloads/FD%20AIA%20-%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IRA"/>
      <sheetName val="TD"/>
      <sheetName val="PATR"/>
      <sheetName val="DELTS"/>
      <sheetName val="CSC"/>
      <sheetName val="MAN"/>
      <sheetName val="PEPD"/>
      <sheetName val="EPD"/>
      <sheetName val="SCR"/>
      <sheetName val="FAC"/>
      <sheetName val="SDAMC"/>
      <sheetName val="RC"/>
      <sheetName val="SBC"/>
      <sheetName val="SAA"/>
      <sheetName val="SAR"/>
      <sheetName val="CDP"/>
      <sheetName val="SPRM"/>
      <sheetName val="RNLF"/>
      <sheetName val="SIAD"/>
      <sheetName val="PAI"/>
      <sheetName val="IRA-Pr"/>
      <sheetName val="PATR-Pr"/>
      <sheetName val="SBC-Pr"/>
      <sheetName val="EA-AD I"/>
      <sheetName val="EA-AD I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
          <cell r="C1" t="str">
            <v>Anul universitar: 2025-2026</v>
          </cell>
        </row>
        <row r="2">
          <cell r="B2" t="str">
            <v>Ingineria sistemelor</v>
          </cell>
        </row>
        <row r="3">
          <cell r="B3" t="str">
            <v>Licență</v>
          </cell>
        </row>
        <row r="4">
          <cell r="B4">
            <v>4</v>
          </cell>
        </row>
        <row r="5">
          <cell r="C5" t="str">
            <v>Automatică și Informatică Aplicată</v>
          </cell>
        </row>
        <row r="8">
          <cell r="A8">
            <v>1</v>
          </cell>
          <cell r="C8" t="str">
            <v>Ingineria reglării automate</v>
          </cell>
          <cell r="D8" t="str">
            <v>Control Engineering</v>
          </cell>
          <cell r="E8" t="str">
            <v>AIA401</v>
          </cell>
          <cell r="F8" t="str">
            <v>DI</v>
          </cell>
          <cell r="G8" t="str">
            <v>DD</v>
          </cell>
          <cell r="H8">
            <v>2</v>
          </cell>
          <cell r="I8">
            <v>0</v>
          </cell>
          <cell r="J8">
            <v>2</v>
          </cell>
          <cell r="K8">
            <v>0</v>
          </cell>
          <cell r="L8">
            <v>44</v>
          </cell>
          <cell r="M8" t="str">
            <v>E</v>
          </cell>
          <cell r="N8">
            <v>4</v>
          </cell>
        </row>
        <row r="9">
          <cell r="A9">
            <v>1</v>
          </cell>
          <cell r="C9" t="str">
            <v>Transmisia datelor</v>
          </cell>
          <cell r="D9" t="str">
            <v>Data Transmission</v>
          </cell>
          <cell r="E9" t="str">
            <v>AIA402</v>
          </cell>
          <cell r="F9" t="str">
            <v>DI</v>
          </cell>
          <cell r="G9" t="str">
            <v>DS</v>
          </cell>
          <cell r="H9">
            <v>2</v>
          </cell>
          <cell r="I9">
            <v>0</v>
          </cell>
          <cell r="J9">
            <v>2</v>
          </cell>
          <cell r="K9">
            <v>0</v>
          </cell>
          <cell r="L9">
            <v>44</v>
          </cell>
          <cell r="M9" t="str">
            <v>E</v>
          </cell>
          <cell r="N9">
            <v>4</v>
          </cell>
        </row>
        <row r="10">
          <cell r="A10">
            <v>1</v>
          </cell>
          <cell r="C10" t="str">
            <v>Programarea aplicațiilor de timp real</v>
          </cell>
          <cell r="D10" t="str">
            <v>Real-Time Application Programming</v>
          </cell>
          <cell r="E10" t="str">
            <v>AIA403</v>
          </cell>
          <cell r="F10" t="str">
            <v>DI</v>
          </cell>
          <cell r="G10" t="str">
            <v>DS</v>
          </cell>
          <cell r="H10">
            <v>3</v>
          </cell>
          <cell r="I10">
            <v>0</v>
          </cell>
          <cell r="J10">
            <v>2</v>
          </cell>
          <cell r="K10">
            <v>0</v>
          </cell>
          <cell r="L10">
            <v>55</v>
          </cell>
          <cell r="M10" t="str">
            <v>E</v>
          </cell>
          <cell r="N10">
            <v>5</v>
          </cell>
        </row>
        <row r="11">
          <cell r="A11">
            <v>1</v>
          </cell>
          <cell r="C11" t="str">
            <v>Documentarea și elaborarea lucrărilor tehnico-științifice</v>
          </cell>
          <cell r="D11" t="str">
            <v>Writing Technical Reports and Scientific Papers</v>
          </cell>
          <cell r="E11" t="str">
            <v>AIA404</v>
          </cell>
          <cell r="F11" t="str">
            <v>DI</v>
          </cell>
          <cell r="G11" t="str">
            <v>DC</v>
          </cell>
          <cell r="H11">
            <v>1</v>
          </cell>
          <cell r="I11">
            <v>0</v>
          </cell>
          <cell r="J11">
            <v>0</v>
          </cell>
          <cell r="K11">
            <v>0</v>
          </cell>
          <cell r="L11">
            <v>36</v>
          </cell>
          <cell r="M11" t="str">
            <v>C</v>
          </cell>
          <cell r="N11">
            <v>2</v>
          </cell>
        </row>
        <row r="12">
          <cell r="A12">
            <v>2</v>
          </cell>
          <cell r="C12" t="str">
            <v>Comunicații în sisteme de conducere</v>
          </cell>
          <cell r="D12" t="str">
            <v>Communications for Control Systems</v>
          </cell>
          <cell r="E12" t="str">
            <v>AIA405</v>
          </cell>
          <cell r="F12" t="str">
            <v>DI</v>
          </cell>
          <cell r="G12" t="str">
            <v>DS</v>
          </cell>
          <cell r="H12">
            <v>2</v>
          </cell>
          <cell r="I12">
            <v>0</v>
          </cell>
          <cell r="J12">
            <v>2</v>
          </cell>
          <cell r="K12">
            <v>1</v>
          </cell>
          <cell r="L12">
            <v>55</v>
          </cell>
          <cell r="M12" t="str">
            <v>C</v>
          </cell>
          <cell r="N12">
            <v>5</v>
          </cell>
        </row>
        <row r="13">
          <cell r="A13">
            <v>2</v>
          </cell>
          <cell r="C13" t="str">
            <v>Management</v>
          </cell>
          <cell r="D13" t="str">
            <v>Management</v>
          </cell>
          <cell r="E13" t="str">
            <v>AIA406</v>
          </cell>
          <cell r="F13" t="str">
            <v>DI</v>
          </cell>
          <cell r="G13" t="str">
            <v>DC</v>
          </cell>
          <cell r="H13">
            <v>2</v>
          </cell>
          <cell r="I13">
            <v>0</v>
          </cell>
          <cell r="J13">
            <v>1</v>
          </cell>
          <cell r="K13">
            <v>0</v>
          </cell>
          <cell r="L13">
            <v>33</v>
          </cell>
          <cell r="M13" t="str">
            <v>C</v>
          </cell>
          <cell r="N13">
            <v>3</v>
          </cell>
        </row>
        <row r="14">
          <cell r="A14">
            <v>2</v>
          </cell>
          <cell r="C14" t="str">
            <v>Elaborarea proiectului de diplomă</v>
          </cell>
          <cell r="D14" t="str">
            <v>Research and Development for Diploma Project</v>
          </cell>
          <cell r="E14" t="str">
            <v>AIA407</v>
          </cell>
          <cell r="F14" t="str">
            <v>DI</v>
          </cell>
          <cell r="G14" t="str">
            <v>DS</v>
          </cell>
          <cell r="H14">
            <v>0</v>
          </cell>
          <cell r="I14">
            <v>0</v>
          </cell>
          <cell r="J14">
            <v>0</v>
          </cell>
          <cell r="K14">
            <v>4</v>
          </cell>
          <cell r="L14">
            <v>44</v>
          </cell>
          <cell r="M14" t="str">
            <v>C</v>
          </cell>
          <cell r="N14">
            <v>4</v>
          </cell>
        </row>
        <row r="15">
          <cell r="A15">
            <v>1</v>
          </cell>
          <cell r="C15" t="str">
            <v>Practică pentru elaborarea proiectului de diplomă</v>
          </cell>
          <cell r="D15" t="str">
            <v>Practical Training for Diploma Project</v>
          </cell>
          <cell r="E15" t="str">
            <v>AIA408</v>
          </cell>
          <cell r="F15" t="str">
            <v>DI</v>
          </cell>
          <cell r="G15" t="str">
            <v>DS</v>
          </cell>
          <cell r="H15">
            <v>0</v>
          </cell>
          <cell r="I15">
            <v>0</v>
          </cell>
          <cell r="J15">
            <v>0</v>
          </cell>
          <cell r="K15">
            <v>0</v>
          </cell>
          <cell r="L15">
            <v>15</v>
          </cell>
          <cell r="M15" t="str">
            <v>VP
 A/R</v>
          </cell>
          <cell r="N15">
            <v>3</v>
          </cell>
        </row>
        <row r="16">
          <cell r="A16">
            <v>1</v>
          </cell>
          <cell r="C16" t="str">
            <v>Sisteme de conducere a roboților</v>
          </cell>
          <cell r="D16" t="str">
            <v>Robot Control Systems</v>
          </cell>
          <cell r="E16" t="str">
            <v>A409</v>
          </cell>
          <cell r="F16" t="str">
            <v>DO</v>
          </cell>
          <cell r="G16" t="str">
            <v>DS</v>
          </cell>
          <cell r="H16">
            <v>2</v>
          </cell>
          <cell r="I16">
            <v>0</v>
          </cell>
          <cell r="J16">
            <v>2</v>
          </cell>
          <cell r="K16">
            <v>0</v>
          </cell>
          <cell r="L16">
            <v>44</v>
          </cell>
          <cell r="M16" t="str">
            <v>C</v>
          </cell>
          <cell r="N16">
            <v>4</v>
          </cell>
        </row>
        <row r="17">
          <cell r="A17">
            <v>1</v>
          </cell>
          <cell r="C17" t="str">
            <v>Fabricație asistată de calculator</v>
          </cell>
          <cell r="D17" t="str">
            <v>Computer Aided Manufacturing</v>
          </cell>
          <cell r="E17" t="str">
            <v>A410</v>
          </cell>
          <cell r="F17" t="str">
            <v>DO</v>
          </cell>
          <cell r="G17" t="str">
            <v>DS</v>
          </cell>
          <cell r="H17">
            <v>2</v>
          </cell>
          <cell r="I17">
            <v>0</v>
          </cell>
          <cell r="J17">
            <v>2</v>
          </cell>
          <cell r="K17">
            <v>0</v>
          </cell>
          <cell r="L17">
            <v>44</v>
          </cell>
          <cell r="M17" t="str">
            <v>C</v>
          </cell>
          <cell r="N17">
            <v>4</v>
          </cell>
        </row>
        <row r="18">
          <cell r="A18">
            <v>1</v>
          </cell>
          <cell r="C18" t="str">
            <v>Sisteme distribuite de achiziție, monitorizare și conducere</v>
          </cell>
          <cell r="D18" t="str">
            <v>Supervisory Control and Data Acquisition</v>
          </cell>
          <cell r="E18" t="str">
            <v>A411</v>
          </cell>
          <cell r="F18" t="str">
            <v>DO</v>
          </cell>
          <cell r="G18" t="str">
            <v>DS</v>
          </cell>
          <cell r="H18">
            <v>2</v>
          </cell>
          <cell r="I18">
            <v>0</v>
          </cell>
          <cell r="J18">
            <v>2</v>
          </cell>
          <cell r="K18">
            <v>0</v>
          </cell>
          <cell r="L18">
            <v>44</v>
          </cell>
          <cell r="M18" t="str">
            <v>C</v>
          </cell>
          <cell r="N18">
            <v>4</v>
          </cell>
        </row>
        <row r="19">
          <cell r="A19">
            <v>1</v>
          </cell>
          <cell r="C19" t="str">
            <v>Rețele de calculatoare</v>
          </cell>
          <cell r="D19" t="str">
            <v>Computer Networks</v>
          </cell>
          <cell r="E19" t="str">
            <v>IA412</v>
          </cell>
          <cell r="F19" t="str">
            <v>DO</v>
          </cell>
          <cell r="G19" t="str">
            <v>DD</v>
          </cell>
          <cell r="H19">
            <v>2</v>
          </cell>
          <cell r="I19">
            <v>0</v>
          </cell>
          <cell r="J19">
            <v>2</v>
          </cell>
          <cell r="K19">
            <v>0</v>
          </cell>
          <cell r="L19">
            <v>44</v>
          </cell>
          <cell r="M19" t="str">
            <v>C</v>
          </cell>
          <cell r="N19">
            <v>4</v>
          </cell>
        </row>
        <row r="20">
          <cell r="A20">
            <v>1</v>
          </cell>
          <cell r="C20" t="str">
            <v>Sisteme bazate pe cunoaștere</v>
          </cell>
          <cell r="D20" t="str">
            <v>Knowledge Based Systems</v>
          </cell>
          <cell r="E20" t="str">
            <v>IA413</v>
          </cell>
          <cell r="F20" t="str">
            <v>DO</v>
          </cell>
          <cell r="G20" t="str">
            <v>DS</v>
          </cell>
          <cell r="H20">
            <v>2</v>
          </cell>
          <cell r="I20">
            <v>0</v>
          </cell>
          <cell r="J20">
            <v>2</v>
          </cell>
          <cell r="K20">
            <v>0</v>
          </cell>
          <cell r="L20">
            <v>44</v>
          </cell>
          <cell r="M20" t="str">
            <v>C</v>
          </cell>
          <cell r="N20">
            <v>4</v>
          </cell>
        </row>
        <row r="21">
          <cell r="A21">
            <v>1</v>
          </cell>
          <cell r="C21" t="str">
            <v>Sisteme de așteptare și aplicații</v>
          </cell>
          <cell r="D21" t="str">
            <v>Queuing Systems and Applications</v>
          </cell>
          <cell r="E21" t="str">
            <v>IA414</v>
          </cell>
          <cell r="F21" t="str">
            <v>DO</v>
          </cell>
          <cell r="G21" t="str">
            <v>DS</v>
          </cell>
          <cell r="H21">
            <v>2</v>
          </cell>
          <cell r="I21">
            <v>0</v>
          </cell>
          <cell r="J21">
            <v>2</v>
          </cell>
          <cell r="K21">
            <v>0</v>
          </cell>
          <cell r="L21">
            <v>44</v>
          </cell>
          <cell r="M21" t="str">
            <v>C</v>
          </cell>
          <cell r="N21">
            <v>4</v>
          </cell>
        </row>
        <row r="22">
          <cell r="A22">
            <v>2</v>
          </cell>
          <cell r="C22" t="str">
            <v>Sisteme adaptive și robuste</v>
          </cell>
          <cell r="D22" t="str">
            <v>Adaptive and Robust Control</v>
          </cell>
          <cell r="E22" t="str">
            <v>A415</v>
          </cell>
          <cell r="F22" t="str">
            <v>DO</v>
          </cell>
          <cell r="G22" t="str">
            <v>DS</v>
          </cell>
          <cell r="H22">
            <v>2</v>
          </cell>
          <cell r="I22">
            <v>0</v>
          </cell>
          <cell r="J22">
            <v>2</v>
          </cell>
          <cell r="K22">
            <v>0</v>
          </cell>
          <cell r="L22">
            <v>69</v>
          </cell>
          <cell r="M22" t="str">
            <v>E</v>
          </cell>
          <cell r="N22">
            <v>5</v>
          </cell>
        </row>
        <row r="23">
          <cell r="A23">
            <v>2</v>
          </cell>
          <cell r="C23" t="str">
            <v>Controlul la distanță al proceselor</v>
          </cell>
          <cell r="D23" t="str">
            <v>Process Remote Control</v>
          </cell>
          <cell r="E23" t="str">
            <v>A416</v>
          </cell>
          <cell r="F23" t="str">
            <v>DO</v>
          </cell>
          <cell r="G23" t="str">
            <v>DS</v>
          </cell>
          <cell r="H23">
            <v>2</v>
          </cell>
          <cell r="I23">
            <v>0</v>
          </cell>
          <cell r="J23">
            <v>2</v>
          </cell>
          <cell r="K23">
            <v>0</v>
          </cell>
          <cell r="L23">
            <v>69</v>
          </cell>
          <cell r="M23" t="str">
            <v>E</v>
          </cell>
          <cell r="N23">
            <v>5</v>
          </cell>
        </row>
        <row r="24">
          <cell r="A24">
            <v>2</v>
          </cell>
          <cell r="C24" t="str">
            <v>Strategii de planificare a roboţilor mobili</v>
          </cell>
          <cell r="D24" t="str">
            <v>Strategies for Planning and Control of Mobile Robots</v>
          </cell>
          <cell r="E24" t="str">
            <v>A417</v>
          </cell>
          <cell r="F24" t="str">
            <v>DO</v>
          </cell>
          <cell r="G24" t="str">
            <v>DS</v>
          </cell>
          <cell r="H24">
            <v>2</v>
          </cell>
          <cell r="I24">
            <v>0</v>
          </cell>
          <cell r="J24">
            <v>2</v>
          </cell>
          <cell r="K24">
            <v>0</v>
          </cell>
          <cell r="L24">
            <v>69</v>
          </cell>
          <cell r="M24" t="str">
            <v>E</v>
          </cell>
          <cell r="N24">
            <v>5</v>
          </cell>
        </row>
        <row r="25">
          <cell r="A25">
            <v>2</v>
          </cell>
          <cell r="C25" t="str">
            <v>Rețele neuronale și logică fuzzy</v>
          </cell>
          <cell r="D25" t="str">
            <v>Neural Networks and Fuzzy Logic</v>
          </cell>
          <cell r="E25" t="str">
            <v>IA418</v>
          </cell>
          <cell r="F25" t="str">
            <v>DO</v>
          </cell>
          <cell r="G25" t="str">
            <v>DS</v>
          </cell>
          <cell r="H25">
            <v>2</v>
          </cell>
          <cell r="I25">
            <v>0</v>
          </cell>
          <cell r="J25">
            <v>2</v>
          </cell>
          <cell r="K25">
            <v>0</v>
          </cell>
          <cell r="L25">
            <v>69</v>
          </cell>
          <cell r="M25" t="str">
            <v>E</v>
          </cell>
          <cell r="N25">
            <v>5</v>
          </cell>
        </row>
        <row r="26">
          <cell r="A26">
            <v>2</v>
          </cell>
          <cell r="C26" t="str">
            <v>Sisteme de inteligență artificială distribuite</v>
          </cell>
          <cell r="D26" t="str">
            <v>Distributed Artificial Intelligence Systems</v>
          </cell>
          <cell r="E26" t="str">
            <v>IA419</v>
          </cell>
          <cell r="F26" t="str">
            <v>DO</v>
          </cell>
          <cell r="G26" t="str">
            <v>DS</v>
          </cell>
          <cell r="H26">
            <v>2</v>
          </cell>
          <cell r="I26">
            <v>0</v>
          </cell>
          <cell r="J26">
            <v>2</v>
          </cell>
          <cell r="K26">
            <v>0</v>
          </cell>
          <cell r="L26">
            <v>69</v>
          </cell>
          <cell r="M26" t="str">
            <v>E</v>
          </cell>
          <cell r="N26">
            <v>5</v>
          </cell>
        </row>
        <row r="27">
          <cell r="A27">
            <v>2</v>
          </cell>
          <cell r="C27" t="str">
            <v>Programarea aplicațiilor internet</v>
          </cell>
          <cell r="D27" t="str">
            <v>Internet Applications Programming</v>
          </cell>
          <cell r="E27" t="str">
            <v>IA420</v>
          </cell>
          <cell r="F27" t="str">
            <v>DO</v>
          </cell>
          <cell r="G27" t="str">
            <v>DS</v>
          </cell>
          <cell r="H27">
            <v>2</v>
          </cell>
          <cell r="I27">
            <v>0</v>
          </cell>
          <cell r="J27">
            <v>2</v>
          </cell>
          <cell r="K27">
            <v>0</v>
          </cell>
          <cell r="L27">
            <v>69</v>
          </cell>
          <cell r="M27" t="str">
            <v>E</v>
          </cell>
          <cell r="N27">
            <v>5</v>
          </cell>
        </row>
        <row r="28">
          <cell r="A28">
            <v>2</v>
          </cell>
          <cell r="C28" t="str">
            <v>Ingineria reglării automate - proiect</v>
          </cell>
          <cell r="D28" t="str">
            <v>Control Engineering – project work</v>
          </cell>
          <cell r="E28" t="str">
            <v>AIA421</v>
          </cell>
          <cell r="F28" t="str">
            <v>DO</v>
          </cell>
          <cell r="G28" t="str">
            <v>DD</v>
          </cell>
          <cell r="H28">
            <v>0</v>
          </cell>
          <cell r="I28">
            <v>0</v>
          </cell>
          <cell r="J28">
            <v>0</v>
          </cell>
          <cell r="K28">
            <v>2</v>
          </cell>
          <cell r="L28">
            <v>47</v>
          </cell>
          <cell r="M28" t="str">
            <v>C</v>
          </cell>
          <cell r="N28">
            <v>3</v>
          </cell>
        </row>
        <row r="29">
          <cell r="A29">
            <v>2</v>
          </cell>
          <cell r="C29" t="str">
            <v>Programarea aplicațiilor de timp real - proiect</v>
          </cell>
          <cell r="D29" t="str">
            <v>Real-Time Application Programming – project work</v>
          </cell>
          <cell r="E29" t="str">
            <v>AIA422</v>
          </cell>
          <cell r="F29" t="str">
            <v>DO</v>
          </cell>
          <cell r="G29" t="str">
            <v>DS</v>
          </cell>
          <cell r="H29">
            <v>0</v>
          </cell>
          <cell r="I29">
            <v>0</v>
          </cell>
          <cell r="J29">
            <v>0</v>
          </cell>
          <cell r="K29">
            <v>2</v>
          </cell>
          <cell r="L29">
            <v>47</v>
          </cell>
          <cell r="M29" t="str">
            <v>C</v>
          </cell>
          <cell r="N29">
            <v>3</v>
          </cell>
        </row>
        <row r="30">
          <cell r="A30">
            <v>2</v>
          </cell>
          <cell r="C30" t="str">
            <v>Sisteme bazate pe cunoaștere - proiect</v>
          </cell>
          <cell r="D30" t="str">
            <v>Knowledge Based Systems – project work</v>
          </cell>
          <cell r="E30" t="str">
            <v>AIA423</v>
          </cell>
          <cell r="F30" t="str">
            <v>DO</v>
          </cell>
          <cell r="G30" t="str">
            <v>DS</v>
          </cell>
          <cell r="H30">
            <v>0</v>
          </cell>
          <cell r="I30">
            <v>0</v>
          </cell>
          <cell r="J30">
            <v>0</v>
          </cell>
          <cell r="K30">
            <v>2</v>
          </cell>
          <cell r="L30">
            <v>47</v>
          </cell>
          <cell r="M30" t="str">
            <v>C</v>
          </cell>
          <cell r="N30">
            <v>3</v>
          </cell>
        </row>
        <row r="31">
          <cell r="A31">
            <v>1</v>
          </cell>
          <cell r="C31" t="str">
            <v>Educație antreprenorială - Afaceri digitale I</v>
          </cell>
          <cell r="D31" t="str">
            <v>Antrepreneurship Education - Digital Business I</v>
          </cell>
          <cell r="E31" t="str">
            <v>AIA424</v>
          </cell>
          <cell r="F31" t="str">
            <v>DL</v>
          </cell>
          <cell r="G31" t="str">
            <v>DC</v>
          </cell>
          <cell r="H31">
            <v>1</v>
          </cell>
          <cell r="I31">
            <v>0</v>
          </cell>
          <cell r="J31">
            <v>2</v>
          </cell>
          <cell r="K31">
            <v>0</v>
          </cell>
          <cell r="L31">
            <v>83</v>
          </cell>
          <cell r="M31" t="str">
            <v>C</v>
          </cell>
          <cell r="N31">
            <v>5</v>
          </cell>
        </row>
        <row r="32">
          <cell r="A32">
            <v>2</v>
          </cell>
          <cell r="C32" t="str">
            <v>Educație antreprenorială - Afaceri digitale II</v>
          </cell>
          <cell r="D32" t="str">
            <v>Antrepreneurship Education - Digital Business II</v>
          </cell>
          <cell r="E32" t="str">
            <v>AIA425</v>
          </cell>
          <cell r="F32" t="str">
            <v>DL</v>
          </cell>
          <cell r="G32" t="str">
            <v>DC</v>
          </cell>
          <cell r="H32">
            <v>2</v>
          </cell>
          <cell r="I32">
            <v>0</v>
          </cell>
          <cell r="J32">
            <v>0</v>
          </cell>
          <cell r="K32">
            <v>1</v>
          </cell>
          <cell r="L32">
            <v>33</v>
          </cell>
          <cell r="M32" t="str">
            <v>C</v>
          </cell>
          <cell r="N32">
            <v>3</v>
          </cell>
        </row>
        <row r="35">
          <cell r="C35">
            <v>45915</v>
          </cell>
        </row>
        <row r="36">
          <cell r="C36">
            <v>45918</v>
          </cell>
        </row>
        <row r="37">
          <cell r="C37" t="str">
            <v>Conf.dr.ing. Mihai POSTOLACHE</v>
          </cell>
        </row>
        <row r="38">
          <cell r="C38"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mathworks.com/help/stat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B257-A8E0-4E68-B0CC-AD5FAE10B4A8}">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INDEX([1]Date!D8:D32, MATCH(E12,[1]Date!C8:C32,0),0)</f>
        <v>Queuing Systems and Applications</v>
      </c>
      <c r="F13" s="18"/>
      <c r="G13" s="18"/>
      <c r="H13" s="18"/>
      <c r="I13" s="18"/>
      <c r="J13" s="18"/>
      <c r="K13" s="18"/>
      <c r="L13" s="18"/>
      <c r="M13" s="19"/>
      <c r="N13" s="5"/>
    </row>
    <row r="14" spans="1:14" ht="15.5" x14ac:dyDescent="0.35">
      <c r="A14" s="7" t="s">
        <v>15</v>
      </c>
      <c r="B14" s="8"/>
      <c r="C14" s="8"/>
      <c r="D14" s="10"/>
      <c r="E14" s="21" t="str">
        <f t="array" aca="1" ref="E14" ca="1">INDEX([1]Date!E8:E32, MATCH(E12,[1]Date!C8:C32,0),0)</f>
        <v>IA414</v>
      </c>
      <c r="F14" s="18"/>
      <c r="G14" s="18"/>
      <c r="H14" s="18"/>
      <c r="I14" s="7" t="s">
        <v>16</v>
      </c>
      <c r="J14" s="8"/>
      <c r="K14" s="8"/>
      <c r="L14" s="10"/>
      <c r="M14" s="22" t="str">
        <f t="array" aca="1" ref="M14" ca="1">INDEX([1]Date!G8:G32, MATCH(E12,[1]Date!C8:C32,0),0)</f>
        <v>DS</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3" t="s">
        <v>18</v>
      </c>
      <c r="F17" s="8"/>
      <c r="G17" s="8"/>
      <c r="H17" s="8"/>
      <c r="I17" s="8"/>
      <c r="J17" s="8"/>
      <c r="K17" s="8"/>
      <c r="L17" s="8"/>
      <c r="M17" s="10"/>
      <c r="N17" s="5"/>
    </row>
    <row r="18" spans="1:14" ht="15.5" x14ac:dyDescent="0.35">
      <c r="A18" s="25"/>
      <c r="B18" s="2"/>
      <c r="C18" s="2"/>
      <c r="D18" s="26"/>
      <c r="E18" s="23"/>
      <c r="F18" s="8"/>
      <c r="G18" s="8"/>
      <c r="H18" s="8"/>
      <c r="I18" s="8"/>
      <c r="J18" s="8"/>
      <c r="K18" s="8"/>
      <c r="L18" s="8"/>
      <c r="M18" s="10"/>
      <c r="N18" s="5"/>
    </row>
    <row r="19" spans="1:14" ht="15.5" hidden="1"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20</v>
      </c>
      <c r="B23" s="10"/>
      <c r="C23" s="27">
        <f>[1]Date!B4</f>
        <v>4</v>
      </c>
      <c r="D23" s="28" t="s">
        <v>21</v>
      </c>
      <c r="E23" s="27">
        <f t="array" aca="1" ref="E23" ca="1">INDEX([1]Date!A8:A32, MATCH(E12,[1]Date!C8:C32,0),0)</f>
        <v>1</v>
      </c>
      <c r="F23" s="29" t="s">
        <v>22</v>
      </c>
      <c r="G23" s="8"/>
      <c r="H23" s="10"/>
      <c r="I23" s="22" t="str">
        <f t="array" aca="1" ref="I23" ca="1">INDEX([1]Date!M8:M32, MATCH(E12,[1]Date!C8:C32,0),0)</f>
        <v>C</v>
      </c>
      <c r="J23" s="29" t="s">
        <v>23</v>
      </c>
      <c r="K23" s="8"/>
      <c r="L23" s="10"/>
      <c r="M23" s="27" t="str">
        <f t="array" aca="1" ref="M23" ca="1">INDEX([1]Date!F8:F32, MATCH(E12,[1]Date!C8:C32,0),0)</f>
        <v>DO</v>
      </c>
      <c r="N23" s="5"/>
    </row>
    <row r="24" spans="1:14" ht="15.5" x14ac:dyDescent="0.35">
      <c r="A24" s="12"/>
      <c r="B24" s="2"/>
      <c r="C24" s="2"/>
      <c r="D24" s="2"/>
      <c r="E24" s="2"/>
      <c r="F24" s="2"/>
      <c r="G24" s="2"/>
      <c r="H24" s="2"/>
      <c r="I24" s="2"/>
      <c r="J24" s="2"/>
      <c r="K24" s="2"/>
      <c r="L24" s="2"/>
      <c r="M24" s="2"/>
      <c r="N24" s="5"/>
    </row>
    <row r="25" spans="1:14" ht="15.5" x14ac:dyDescent="0.35">
      <c r="A25" s="6" t="s">
        <v>24</v>
      </c>
      <c r="B25" s="2"/>
      <c r="C25" s="2"/>
      <c r="D25" s="2"/>
      <c r="E25" s="2"/>
      <c r="F25" s="2"/>
      <c r="G25" s="2"/>
      <c r="H25" s="2"/>
      <c r="I25" s="2"/>
      <c r="J25" s="2"/>
      <c r="K25" s="2"/>
      <c r="L25" s="2"/>
      <c r="M25" s="2"/>
      <c r="N25" s="30"/>
    </row>
    <row r="26" spans="1:14" ht="31" x14ac:dyDescent="0.35">
      <c r="A26" s="7" t="s">
        <v>25</v>
      </c>
      <c r="B26" s="10"/>
      <c r="C26" s="31">
        <f ca="1">SUM(E26+G26+I26+K26)</f>
        <v>4</v>
      </c>
      <c r="D26" s="28" t="s">
        <v>26</v>
      </c>
      <c r="E26" s="27">
        <f t="array" aca="1" ref="E26" ca="1">INDEX([1]Date!H8:H32, MATCH(E12,[1]Date!C8:C32,0),0)</f>
        <v>2</v>
      </c>
      <c r="F26" s="28" t="s">
        <v>27</v>
      </c>
      <c r="G26" s="27">
        <f t="array" aca="1" ref="G26" ca="1">INDEX([1]Date!I8:I32, MATCH(E12,[1]Date!C8:C32,0),0)</f>
        <v>0</v>
      </c>
      <c r="H26" s="28" t="s">
        <v>28</v>
      </c>
      <c r="I26" s="31">
        <f t="array" aca="1" ref="I26" ca="1">INDEX([1]Date!J8:J32, MATCH(E12,[1]Date!C8:C32,0),0)</f>
        <v>2</v>
      </c>
      <c r="J26" s="28" t="s">
        <v>29</v>
      </c>
      <c r="K26" s="27">
        <f t="array" aca="1" ref="K26" ca="1">INDEX([1]Date!K8:K32, MATCH(E12,[1]Date!C8:C32,0),0)</f>
        <v>0</v>
      </c>
      <c r="L26" s="7" t="s">
        <v>30</v>
      </c>
      <c r="M26" s="10"/>
      <c r="N26" s="30"/>
    </row>
    <row r="27" spans="1:14" ht="31" x14ac:dyDescent="0.35">
      <c r="A27" s="7" t="s">
        <v>31</v>
      </c>
      <c r="B27" s="10"/>
      <c r="C27" s="27">
        <f ca="1">C26*14</f>
        <v>56</v>
      </c>
      <c r="D27" s="28" t="s">
        <v>32</v>
      </c>
      <c r="E27" s="27">
        <f ca="1">E26*14</f>
        <v>28</v>
      </c>
      <c r="F27" s="28" t="s">
        <v>33</v>
      </c>
      <c r="G27" s="27">
        <f ca="1">G26*14</f>
        <v>0</v>
      </c>
      <c r="H27" s="28" t="s">
        <v>34</v>
      </c>
      <c r="I27" s="27">
        <f ca="1">I26*14</f>
        <v>28</v>
      </c>
      <c r="J27" s="28" t="s">
        <v>35</v>
      </c>
      <c r="K27" s="27">
        <f ca="1">K26*14</f>
        <v>0</v>
      </c>
      <c r="L27" s="28" t="s">
        <v>36</v>
      </c>
      <c r="M27" s="27">
        <v>0</v>
      </c>
      <c r="N27" s="5"/>
    </row>
    <row r="28" spans="1:14" ht="15.5" x14ac:dyDescent="0.35">
      <c r="A28" s="7" t="s">
        <v>37</v>
      </c>
      <c r="B28" s="8"/>
      <c r="C28" s="8"/>
      <c r="D28" s="8"/>
      <c r="E28" s="8"/>
      <c r="F28" s="8"/>
      <c r="G28" s="8"/>
      <c r="H28" s="8"/>
      <c r="I28" s="8"/>
      <c r="J28" s="8"/>
      <c r="K28" s="8"/>
      <c r="L28" s="10"/>
      <c r="M28" s="27" t="s">
        <v>38</v>
      </c>
      <c r="N28" s="5"/>
    </row>
    <row r="29" spans="1:14" ht="15.5" x14ac:dyDescent="0.35">
      <c r="A29" s="7" t="s">
        <v>39</v>
      </c>
      <c r="B29" s="8"/>
      <c r="C29" s="8"/>
      <c r="D29" s="8"/>
      <c r="E29" s="8"/>
      <c r="F29" s="8"/>
      <c r="G29" s="8"/>
      <c r="H29" s="8"/>
      <c r="I29" s="8"/>
      <c r="J29" s="8"/>
      <c r="K29" s="8"/>
      <c r="L29" s="10"/>
      <c r="M29" s="32">
        <v>16</v>
      </c>
      <c r="N29" s="5"/>
    </row>
    <row r="30" spans="1:14" ht="15.5" x14ac:dyDescent="0.35">
      <c r="A30" s="7" t="s">
        <v>40</v>
      </c>
      <c r="B30" s="8"/>
      <c r="C30" s="8"/>
      <c r="D30" s="8"/>
      <c r="E30" s="8"/>
      <c r="F30" s="8"/>
      <c r="G30" s="8"/>
      <c r="H30" s="8"/>
      <c r="I30" s="8"/>
      <c r="J30" s="8"/>
      <c r="K30" s="8"/>
      <c r="L30" s="10"/>
      <c r="M30" s="32">
        <v>14</v>
      </c>
      <c r="N30" s="5"/>
    </row>
    <row r="31" spans="1:14" ht="15.5" x14ac:dyDescent="0.35">
      <c r="A31" s="7" t="s">
        <v>41</v>
      </c>
      <c r="B31" s="8"/>
      <c r="C31" s="8"/>
      <c r="D31" s="8"/>
      <c r="E31" s="8"/>
      <c r="F31" s="8"/>
      <c r="G31" s="8"/>
      <c r="H31" s="8"/>
      <c r="I31" s="8"/>
      <c r="J31" s="8"/>
      <c r="K31" s="8"/>
      <c r="L31" s="10"/>
      <c r="M31" s="32">
        <v>14</v>
      </c>
      <c r="N31" s="5"/>
    </row>
    <row r="32" spans="1:14" ht="15.5" x14ac:dyDescent="0.35">
      <c r="A32" s="7" t="s">
        <v>42</v>
      </c>
      <c r="B32" s="8"/>
      <c r="C32" s="8"/>
      <c r="D32" s="8"/>
      <c r="E32" s="8"/>
      <c r="F32" s="8"/>
      <c r="G32" s="8"/>
      <c r="H32" s="8"/>
      <c r="I32" s="8"/>
      <c r="J32" s="8"/>
      <c r="K32" s="8"/>
      <c r="L32" s="10"/>
      <c r="M32" s="27">
        <f t="array" aca="1" ref="M32" ca="1">IF(INDEX([1]Date!M8:M32, MATCH(E12,[1]Date!C8:C32,0),0)="E",3,0)</f>
        <v>0</v>
      </c>
      <c r="N32" s="5"/>
    </row>
    <row r="33" spans="1:14" ht="15.5" x14ac:dyDescent="0.35">
      <c r="A33" s="7" t="s">
        <v>43</v>
      </c>
      <c r="B33" s="8"/>
      <c r="C33" s="8"/>
      <c r="D33" s="8"/>
      <c r="E33" s="8"/>
      <c r="F33" s="8"/>
      <c r="G33" s="8"/>
      <c r="H33" s="8"/>
      <c r="I33" s="8"/>
      <c r="J33" s="8"/>
      <c r="K33" s="8"/>
      <c r="L33" s="10"/>
      <c r="M33" s="27">
        <f ca="1">C34-SUM(M29:M31)</f>
        <v>0</v>
      </c>
      <c r="N33" s="5"/>
    </row>
    <row r="34" spans="1:14" ht="15.5" x14ac:dyDescent="0.35">
      <c r="A34" s="7" t="s">
        <v>44</v>
      </c>
      <c r="B34" s="10"/>
      <c r="C34" s="27">
        <f t="array" aca="1" ref="C34" ca="1">INDEX([1]Date!L8:L32, MATCH(E12,[1]Date!C8:C32,0),0)</f>
        <v>44</v>
      </c>
      <c r="D34" s="5"/>
      <c r="E34" s="5"/>
      <c r="F34" s="5"/>
      <c r="G34" s="5"/>
      <c r="H34" s="5"/>
      <c r="I34" s="5"/>
      <c r="J34" s="5"/>
      <c r="K34" s="5"/>
      <c r="L34" s="5"/>
      <c r="M34" s="5"/>
      <c r="N34" s="5"/>
    </row>
    <row r="35" spans="1:14" ht="15.5" x14ac:dyDescent="0.35">
      <c r="A35" s="7" t="s">
        <v>45</v>
      </c>
      <c r="B35" s="10"/>
      <c r="C35" s="27">
        <f ca="1">C27+C34</f>
        <v>100</v>
      </c>
      <c r="D35" s="5"/>
      <c r="E35" s="5"/>
      <c r="F35" s="5"/>
      <c r="G35" s="5"/>
      <c r="H35" s="5"/>
      <c r="I35" s="5"/>
      <c r="J35" s="5"/>
      <c r="K35" s="5"/>
      <c r="L35" s="5"/>
      <c r="M35" s="5"/>
      <c r="N35" s="5"/>
    </row>
    <row r="36" spans="1:14" ht="15.5" x14ac:dyDescent="0.35">
      <c r="A36" s="7" t="s">
        <v>46</v>
      </c>
      <c r="B36" s="10"/>
      <c r="C36" s="27">
        <f t="array" aca="1" ref="C36" ca="1">INDEX([1]Date!N8:N32, MATCH(E12,[1]Date!C8:C32,0),0)</f>
        <v>4</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47</v>
      </c>
      <c r="B38" s="2"/>
      <c r="C38" s="2"/>
      <c r="D38" s="2"/>
      <c r="E38" s="2"/>
      <c r="F38" s="2"/>
      <c r="G38" s="2"/>
      <c r="H38" s="2"/>
      <c r="I38" s="2"/>
      <c r="J38" s="2"/>
      <c r="K38" s="2"/>
      <c r="L38" s="2"/>
      <c r="M38" s="2"/>
      <c r="N38" s="30"/>
    </row>
    <row r="39" spans="1:14" ht="15.5" x14ac:dyDescent="0.35">
      <c r="A39" s="7" t="s">
        <v>48</v>
      </c>
      <c r="B39" s="10"/>
      <c r="C39" s="9" t="s">
        <v>49</v>
      </c>
      <c r="D39" s="8"/>
      <c r="E39" s="8"/>
      <c r="F39" s="8"/>
      <c r="G39" s="8"/>
      <c r="H39" s="8"/>
      <c r="I39" s="8"/>
      <c r="J39" s="8"/>
      <c r="K39" s="8"/>
      <c r="L39" s="8"/>
      <c r="M39" s="10"/>
      <c r="N39" s="30"/>
    </row>
    <row r="40" spans="1:14" ht="15.5" x14ac:dyDescent="0.35">
      <c r="A40" s="7" t="s">
        <v>50</v>
      </c>
      <c r="B40" s="10"/>
      <c r="C40" s="23" t="s">
        <v>51</v>
      </c>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52</v>
      </c>
      <c r="B42" s="2"/>
      <c r="C42" s="2"/>
      <c r="D42" s="2"/>
      <c r="E42" s="2"/>
      <c r="F42" s="2"/>
      <c r="G42" s="2"/>
      <c r="H42" s="2"/>
      <c r="I42" s="2"/>
      <c r="J42" s="2"/>
      <c r="K42" s="2"/>
      <c r="L42" s="2"/>
      <c r="M42" s="2"/>
      <c r="N42" s="30"/>
    </row>
    <row r="43" spans="1:14" ht="15.5" x14ac:dyDescent="0.35">
      <c r="A43" s="7" t="s">
        <v>53</v>
      </c>
      <c r="B43" s="10"/>
      <c r="C43" s="23" t="s">
        <v>54</v>
      </c>
      <c r="D43" s="8"/>
      <c r="E43" s="8"/>
      <c r="F43" s="8"/>
      <c r="G43" s="8"/>
      <c r="H43" s="8"/>
      <c r="I43" s="8"/>
      <c r="J43" s="8"/>
      <c r="K43" s="8"/>
      <c r="L43" s="8"/>
      <c r="M43" s="10"/>
      <c r="N43" s="30"/>
    </row>
    <row r="44" spans="1:14" ht="15.5" x14ac:dyDescent="0.35">
      <c r="A44" s="7" t="s">
        <v>55</v>
      </c>
      <c r="B44" s="10"/>
      <c r="C44" s="23" t="s">
        <v>56</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57</v>
      </c>
      <c r="B46" s="2"/>
      <c r="C46" s="2"/>
      <c r="D46" s="2"/>
      <c r="E46" s="2"/>
      <c r="F46" s="2"/>
      <c r="G46" s="2"/>
      <c r="H46" s="2"/>
      <c r="I46" s="2"/>
      <c r="J46" s="2"/>
      <c r="K46" s="2"/>
      <c r="L46" s="2"/>
      <c r="M46" s="2"/>
      <c r="N46" s="30"/>
    </row>
    <row r="47" spans="1:14" ht="62.25" customHeight="1" x14ac:dyDescent="0.35">
      <c r="A47" s="23" t="s">
        <v>58</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59</v>
      </c>
      <c r="B49" s="2"/>
      <c r="C49" s="2"/>
      <c r="D49" s="2"/>
      <c r="E49" s="2"/>
      <c r="F49" s="2"/>
      <c r="G49" s="2"/>
      <c r="H49" s="2"/>
      <c r="I49" s="2"/>
      <c r="J49" s="2"/>
      <c r="K49" s="2"/>
      <c r="L49" s="2"/>
      <c r="M49" s="2"/>
      <c r="N49" s="30"/>
    </row>
    <row r="50" spans="1:14" ht="15.5" x14ac:dyDescent="0.35">
      <c r="A50" s="33" t="s">
        <v>60</v>
      </c>
      <c r="B50" s="34" t="s">
        <v>61</v>
      </c>
      <c r="C50" s="8"/>
      <c r="D50" s="8"/>
      <c r="E50" s="8"/>
      <c r="F50" s="8"/>
      <c r="G50" s="8"/>
      <c r="H50" s="8"/>
      <c r="I50" s="8"/>
      <c r="J50" s="8"/>
      <c r="K50" s="8"/>
      <c r="L50" s="8"/>
      <c r="M50" s="10"/>
      <c r="N50" s="5"/>
    </row>
    <row r="51" spans="1:14" ht="15.5" x14ac:dyDescent="0.35">
      <c r="A51" s="35"/>
      <c r="B51" s="36" t="s">
        <v>62</v>
      </c>
      <c r="C51" s="8"/>
      <c r="D51" s="8"/>
      <c r="E51" s="8"/>
      <c r="F51" s="8"/>
      <c r="G51" s="8"/>
      <c r="H51" s="8"/>
      <c r="I51" s="8"/>
      <c r="J51" s="8"/>
      <c r="K51" s="8"/>
      <c r="L51" s="8"/>
      <c r="M51" s="10"/>
      <c r="N51" s="5"/>
    </row>
    <row r="52" spans="1:14" ht="15.5" x14ac:dyDescent="0.35">
      <c r="A52" s="33" t="s">
        <v>63</v>
      </c>
      <c r="B52" s="34" t="s">
        <v>61</v>
      </c>
      <c r="C52" s="8"/>
      <c r="D52" s="8"/>
      <c r="E52" s="8"/>
      <c r="F52" s="8"/>
      <c r="G52" s="8"/>
      <c r="H52" s="8"/>
      <c r="I52" s="8"/>
      <c r="J52" s="8"/>
      <c r="K52" s="8"/>
      <c r="L52" s="8"/>
      <c r="M52" s="10"/>
      <c r="N52" s="5"/>
    </row>
    <row r="53" spans="1:14" ht="15.5" x14ac:dyDescent="0.35">
      <c r="A53" s="35"/>
      <c r="B53" s="36" t="s">
        <v>64</v>
      </c>
      <c r="C53" s="8"/>
      <c r="D53" s="8"/>
      <c r="E53" s="8"/>
      <c r="F53" s="8"/>
      <c r="G53" s="8"/>
      <c r="H53" s="8"/>
      <c r="I53" s="8"/>
      <c r="J53" s="8"/>
      <c r="K53" s="8"/>
      <c r="L53" s="8"/>
      <c r="M53" s="10"/>
      <c r="N53" s="5"/>
    </row>
    <row r="54" spans="1:14" ht="18" customHeight="1" x14ac:dyDescent="0.35">
      <c r="A54" s="33" t="s">
        <v>65</v>
      </c>
      <c r="B54" s="34" t="s">
        <v>61</v>
      </c>
      <c r="C54" s="8"/>
      <c r="D54" s="8"/>
      <c r="E54" s="8"/>
      <c r="F54" s="8"/>
      <c r="G54" s="8"/>
      <c r="H54" s="8"/>
      <c r="I54" s="8"/>
      <c r="J54" s="8"/>
      <c r="K54" s="8"/>
      <c r="L54" s="8"/>
      <c r="M54" s="10"/>
      <c r="N54" s="5"/>
    </row>
    <row r="55" spans="1:14" ht="104.25" customHeight="1" x14ac:dyDescent="0.35">
      <c r="A55" s="35"/>
      <c r="B55" s="37" t="s">
        <v>66</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67</v>
      </c>
      <c r="B57" s="2"/>
      <c r="C57" s="2"/>
      <c r="D57" s="2"/>
      <c r="E57" s="2"/>
      <c r="F57" s="2"/>
      <c r="G57" s="2"/>
      <c r="H57" s="2"/>
      <c r="I57" s="2"/>
      <c r="J57" s="2"/>
      <c r="K57" s="2"/>
      <c r="L57" s="2"/>
      <c r="M57" s="2"/>
      <c r="N57" s="30"/>
    </row>
    <row r="58" spans="1:14" ht="53.25" customHeight="1" x14ac:dyDescent="0.35">
      <c r="A58" s="23" t="s">
        <v>68</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69</v>
      </c>
      <c r="B60" s="2"/>
      <c r="C60" s="2"/>
      <c r="D60" s="2"/>
      <c r="E60" s="2"/>
      <c r="F60" s="2"/>
      <c r="G60" s="2"/>
      <c r="H60" s="2"/>
      <c r="I60" s="2"/>
      <c r="J60" s="2"/>
      <c r="K60" s="2"/>
      <c r="L60" s="2"/>
      <c r="M60" s="2"/>
      <c r="N60" s="30"/>
    </row>
    <row r="61" spans="1:14" ht="24.75" customHeight="1" x14ac:dyDescent="0.35">
      <c r="A61" s="38" t="s">
        <v>70</v>
      </c>
      <c r="B61" s="8"/>
      <c r="C61" s="8"/>
      <c r="D61" s="8"/>
      <c r="E61" s="8"/>
      <c r="F61" s="8"/>
      <c r="G61" s="10"/>
      <c r="H61" s="38" t="s">
        <v>71</v>
      </c>
      <c r="I61" s="8"/>
      <c r="J61" s="8"/>
      <c r="K61" s="10"/>
      <c r="L61" s="38" t="s">
        <v>72</v>
      </c>
      <c r="M61" s="10"/>
      <c r="N61" s="30"/>
    </row>
    <row r="62" spans="1:14" ht="15.5" x14ac:dyDescent="0.35">
      <c r="A62" s="39" t="s">
        <v>73</v>
      </c>
      <c r="B62" s="23" t="s">
        <v>74</v>
      </c>
      <c r="C62" s="8"/>
      <c r="D62" s="8"/>
      <c r="E62" s="8"/>
      <c r="F62" s="8"/>
      <c r="G62" s="10"/>
      <c r="H62" s="40" t="s">
        <v>75</v>
      </c>
      <c r="I62" s="14"/>
      <c r="J62" s="14"/>
      <c r="K62" s="15"/>
      <c r="L62" s="41">
        <v>2</v>
      </c>
      <c r="M62" s="10"/>
      <c r="N62" s="5"/>
    </row>
    <row r="63" spans="1:14" ht="15.5" x14ac:dyDescent="0.35">
      <c r="A63" s="39" t="s">
        <v>76</v>
      </c>
      <c r="B63" s="23" t="s">
        <v>77</v>
      </c>
      <c r="C63" s="8"/>
      <c r="D63" s="8"/>
      <c r="E63" s="8"/>
      <c r="F63" s="8"/>
      <c r="G63" s="10"/>
      <c r="H63" s="25"/>
      <c r="I63" s="2"/>
      <c r="J63" s="2"/>
      <c r="K63" s="26"/>
      <c r="L63" s="41">
        <v>6</v>
      </c>
      <c r="M63" s="10"/>
      <c r="N63" s="5"/>
    </row>
    <row r="64" spans="1:14" ht="15.5" x14ac:dyDescent="0.35">
      <c r="A64" s="39" t="s">
        <v>78</v>
      </c>
      <c r="B64" s="23" t="s">
        <v>79</v>
      </c>
      <c r="C64" s="8"/>
      <c r="D64" s="8"/>
      <c r="E64" s="8"/>
      <c r="F64" s="8"/>
      <c r="G64" s="10"/>
      <c r="H64" s="25"/>
      <c r="I64" s="2"/>
      <c r="J64" s="2"/>
      <c r="K64" s="26"/>
      <c r="L64" s="41">
        <v>8</v>
      </c>
      <c r="M64" s="10"/>
      <c r="N64" s="5"/>
    </row>
    <row r="65" spans="1:14" ht="15.5" x14ac:dyDescent="0.35">
      <c r="A65" s="39" t="s">
        <v>80</v>
      </c>
      <c r="B65" s="23" t="s">
        <v>81</v>
      </c>
      <c r="C65" s="8"/>
      <c r="D65" s="8"/>
      <c r="E65" s="8"/>
      <c r="F65" s="8"/>
      <c r="G65" s="10"/>
      <c r="H65" s="25"/>
      <c r="I65" s="2"/>
      <c r="J65" s="2"/>
      <c r="K65" s="26"/>
      <c r="L65" s="41">
        <v>8</v>
      </c>
      <c r="M65" s="10"/>
      <c r="N65" s="5"/>
    </row>
    <row r="66" spans="1:14" ht="15.5" x14ac:dyDescent="0.35">
      <c r="A66" s="39" t="s">
        <v>82</v>
      </c>
      <c r="B66" s="23" t="s">
        <v>83</v>
      </c>
      <c r="C66" s="8"/>
      <c r="D66" s="8"/>
      <c r="E66" s="8"/>
      <c r="F66" s="8"/>
      <c r="G66" s="10"/>
      <c r="H66" s="25"/>
      <c r="I66" s="2"/>
      <c r="J66" s="2"/>
      <c r="K66" s="26"/>
      <c r="L66" s="41">
        <v>4</v>
      </c>
      <c r="M66" s="10"/>
      <c r="N66" s="5"/>
    </row>
    <row r="67" spans="1:14" ht="15.5" x14ac:dyDescent="0.35">
      <c r="A67" s="39" t="s">
        <v>84</v>
      </c>
      <c r="B67" s="23"/>
      <c r="C67" s="8"/>
      <c r="D67" s="8"/>
      <c r="E67" s="8"/>
      <c r="F67" s="8"/>
      <c r="G67" s="10"/>
      <c r="H67" s="25"/>
      <c r="I67" s="2"/>
      <c r="J67" s="2"/>
      <c r="K67" s="26"/>
      <c r="L67" s="41"/>
      <c r="M67" s="10"/>
      <c r="N67" s="5"/>
    </row>
    <row r="68" spans="1:14" ht="15.5" hidden="1" x14ac:dyDescent="0.35">
      <c r="A68" s="39" t="s">
        <v>85</v>
      </c>
      <c r="B68" s="23"/>
      <c r="C68" s="8"/>
      <c r="D68" s="8"/>
      <c r="E68" s="8"/>
      <c r="F68" s="8"/>
      <c r="G68" s="10"/>
      <c r="H68" s="25"/>
      <c r="I68" s="2"/>
      <c r="J68" s="2"/>
      <c r="K68" s="26"/>
      <c r="L68" s="41"/>
      <c r="M68" s="10"/>
      <c r="N68" s="5"/>
    </row>
    <row r="69" spans="1:14" ht="15.5" hidden="1" x14ac:dyDescent="0.35">
      <c r="A69" s="39" t="s">
        <v>86</v>
      </c>
      <c r="B69" s="23"/>
      <c r="C69" s="8"/>
      <c r="D69" s="8"/>
      <c r="E69" s="8"/>
      <c r="F69" s="8"/>
      <c r="G69" s="10"/>
      <c r="H69" s="25"/>
      <c r="I69" s="2"/>
      <c r="J69" s="2"/>
      <c r="K69" s="26"/>
      <c r="L69" s="41"/>
      <c r="M69" s="10"/>
      <c r="N69" s="5"/>
    </row>
    <row r="70" spans="1:14" ht="15.5" hidden="1" x14ac:dyDescent="0.35">
      <c r="A70" s="39" t="s">
        <v>87</v>
      </c>
      <c r="B70" s="23"/>
      <c r="C70" s="8"/>
      <c r="D70" s="8"/>
      <c r="E70" s="8"/>
      <c r="F70" s="8"/>
      <c r="G70" s="10"/>
      <c r="H70" s="25"/>
      <c r="I70" s="2"/>
      <c r="J70" s="2"/>
      <c r="K70" s="26"/>
      <c r="L70" s="41"/>
      <c r="M70" s="10"/>
      <c r="N70" s="5"/>
    </row>
    <row r="71" spans="1:14" ht="15.5" hidden="1" x14ac:dyDescent="0.35">
      <c r="A71" s="39" t="s">
        <v>88</v>
      </c>
      <c r="B71" s="23"/>
      <c r="C71" s="8"/>
      <c r="D71" s="8"/>
      <c r="E71" s="8"/>
      <c r="F71" s="8"/>
      <c r="G71" s="10"/>
      <c r="H71" s="25"/>
      <c r="I71" s="2"/>
      <c r="J71" s="2"/>
      <c r="K71" s="26"/>
      <c r="L71" s="41"/>
      <c r="M71" s="10"/>
      <c r="N71" s="5"/>
    </row>
    <row r="72" spans="1:14" ht="15.5" hidden="1" x14ac:dyDescent="0.35">
      <c r="A72" s="39" t="s">
        <v>89</v>
      </c>
      <c r="B72" s="23"/>
      <c r="C72" s="8"/>
      <c r="D72" s="8"/>
      <c r="E72" s="8"/>
      <c r="F72" s="8"/>
      <c r="G72" s="10"/>
      <c r="H72" s="25"/>
      <c r="I72" s="2"/>
      <c r="J72" s="2"/>
      <c r="K72" s="26"/>
      <c r="L72" s="23"/>
      <c r="M72" s="10"/>
      <c r="N72" s="5"/>
    </row>
    <row r="73" spans="1:14" ht="15.5" hidden="1" x14ac:dyDescent="0.35">
      <c r="A73" s="39" t="s">
        <v>90</v>
      </c>
      <c r="B73" s="23"/>
      <c r="C73" s="8"/>
      <c r="D73" s="8"/>
      <c r="E73" s="8"/>
      <c r="F73" s="8"/>
      <c r="G73" s="10"/>
      <c r="H73" s="25"/>
      <c r="I73" s="2"/>
      <c r="J73" s="2"/>
      <c r="K73" s="26"/>
      <c r="L73" s="23"/>
      <c r="M73" s="10"/>
      <c r="N73" s="5"/>
    </row>
    <row r="74" spans="1:14" ht="15.5" hidden="1" x14ac:dyDescent="0.35">
      <c r="A74" s="39" t="s">
        <v>91</v>
      </c>
      <c r="B74" s="23"/>
      <c r="C74" s="8"/>
      <c r="D74" s="8"/>
      <c r="E74" s="8"/>
      <c r="F74" s="8"/>
      <c r="G74" s="10"/>
      <c r="H74" s="25"/>
      <c r="I74" s="2"/>
      <c r="J74" s="2"/>
      <c r="K74" s="26"/>
      <c r="L74" s="23"/>
      <c r="M74" s="10"/>
      <c r="N74" s="5"/>
    </row>
    <row r="75" spans="1:14" ht="15.5" hidden="1" x14ac:dyDescent="0.35">
      <c r="A75" s="39" t="s">
        <v>92</v>
      </c>
      <c r="B75" s="23"/>
      <c r="C75" s="8"/>
      <c r="D75" s="8"/>
      <c r="E75" s="8"/>
      <c r="F75" s="8"/>
      <c r="G75" s="10"/>
      <c r="H75" s="24"/>
      <c r="I75" s="18"/>
      <c r="J75" s="18"/>
      <c r="K75" s="19"/>
      <c r="L75" s="23"/>
      <c r="M75" s="10"/>
      <c r="N75" s="5"/>
    </row>
    <row r="76" spans="1:14" ht="15.5" x14ac:dyDescent="0.35">
      <c r="A76" s="37" t="s">
        <v>93</v>
      </c>
      <c r="B76" s="8"/>
      <c r="C76" s="8"/>
      <c r="D76" s="8"/>
      <c r="E76" s="8"/>
      <c r="F76" s="8"/>
      <c r="G76" s="8"/>
      <c r="H76" s="8"/>
      <c r="I76" s="8"/>
      <c r="J76" s="8"/>
      <c r="K76" s="8"/>
      <c r="L76" s="8"/>
      <c r="M76" s="10"/>
      <c r="N76" s="5"/>
    </row>
    <row r="77" spans="1:14" ht="24.75" hidden="1" customHeight="1" x14ac:dyDescent="0.35">
      <c r="A77" s="38" t="s">
        <v>94</v>
      </c>
      <c r="B77" s="8"/>
      <c r="C77" s="8"/>
      <c r="D77" s="8"/>
      <c r="E77" s="8"/>
      <c r="F77" s="8"/>
      <c r="G77" s="10"/>
      <c r="H77" s="38" t="s">
        <v>95</v>
      </c>
      <c r="I77" s="8"/>
      <c r="J77" s="8"/>
      <c r="K77" s="10"/>
      <c r="L77" s="38" t="s">
        <v>72</v>
      </c>
      <c r="M77" s="10"/>
      <c r="N77" s="30"/>
    </row>
    <row r="78" spans="1:14" ht="15.5" hidden="1" x14ac:dyDescent="0.35">
      <c r="A78" s="39" t="s">
        <v>73</v>
      </c>
      <c r="B78" s="23"/>
      <c r="C78" s="8"/>
      <c r="D78" s="8"/>
      <c r="E78" s="8"/>
      <c r="F78" s="8"/>
      <c r="G78" s="10"/>
      <c r="H78" s="40"/>
      <c r="I78" s="14"/>
      <c r="J78" s="14"/>
      <c r="K78" s="15"/>
      <c r="L78" s="23"/>
      <c r="M78" s="10"/>
      <c r="N78" s="5"/>
    </row>
    <row r="79" spans="1:14" ht="15.5" hidden="1" x14ac:dyDescent="0.35">
      <c r="A79" s="39" t="s">
        <v>76</v>
      </c>
      <c r="B79" s="23"/>
      <c r="C79" s="8"/>
      <c r="D79" s="8"/>
      <c r="E79" s="8"/>
      <c r="F79" s="8"/>
      <c r="G79" s="10"/>
      <c r="H79" s="25"/>
      <c r="I79" s="2"/>
      <c r="J79" s="2"/>
      <c r="K79" s="26"/>
      <c r="L79" s="23"/>
      <c r="M79" s="10"/>
      <c r="N79" s="5"/>
    </row>
    <row r="80" spans="1:14" ht="15.5" hidden="1" x14ac:dyDescent="0.35">
      <c r="A80" s="39" t="s">
        <v>78</v>
      </c>
      <c r="B80" s="23"/>
      <c r="C80" s="8"/>
      <c r="D80" s="8"/>
      <c r="E80" s="8"/>
      <c r="F80" s="8"/>
      <c r="G80" s="10"/>
      <c r="H80" s="25"/>
      <c r="I80" s="2"/>
      <c r="J80" s="2"/>
      <c r="K80" s="26"/>
      <c r="L80" s="23"/>
      <c r="M80" s="10"/>
      <c r="N80" s="5"/>
    </row>
    <row r="81" spans="1:14" ht="15.5" hidden="1" x14ac:dyDescent="0.35">
      <c r="A81" s="39" t="s">
        <v>80</v>
      </c>
      <c r="B81" s="23"/>
      <c r="C81" s="8"/>
      <c r="D81" s="8"/>
      <c r="E81" s="8"/>
      <c r="F81" s="8"/>
      <c r="G81" s="10"/>
      <c r="H81" s="25"/>
      <c r="I81" s="2"/>
      <c r="J81" s="2"/>
      <c r="K81" s="26"/>
      <c r="L81" s="23"/>
      <c r="M81" s="10"/>
      <c r="N81" s="5"/>
    </row>
    <row r="82" spans="1:14" ht="15.5" hidden="1" x14ac:dyDescent="0.35">
      <c r="A82" s="39" t="s">
        <v>82</v>
      </c>
      <c r="B82" s="23"/>
      <c r="C82" s="8"/>
      <c r="D82" s="8"/>
      <c r="E82" s="8"/>
      <c r="F82" s="8"/>
      <c r="G82" s="10"/>
      <c r="H82" s="25"/>
      <c r="I82" s="2"/>
      <c r="J82" s="2"/>
      <c r="K82" s="26"/>
      <c r="L82" s="23"/>
      <c r="M82" s="10"/>
      <c r="N82" s="5"/>
    </row>
    <row r="83" spans="1:14" ht="15.5" hidden="1" x14ac:dyDescent="0.35">
      <c r="A83" s="39" t="s">
        <v>84</v>
      </c>
      <c r="B83" s="23"/>
      <c r="C83" s="8"/>
      <c r="D83" s="8"/>
      <c r="E83" s="8"/>
      <c r="F83" s="8"/>
      <c r="G83" s="10"/>
      <c r="H83" s="25"/>
      <c r="I83" s="2"/>
      <c r="J83" s="2"/>
      <c r="K83" s="26"/>
      <c r="L83" s="23"/>
      <c r="M83" s="10"/>
      <c r="N83" s="5"/>
    </row>
    <row r="84" spans="1:14" ht="15.5" hidden="1" x14ac:dyDescent="0.35">
      <c r="A84" s="39" t="s">
        <v>85</v>
      </c>
      <c r="B84" s="23"/>
      <c r="C84" s="8"/>
      <c r="D84" s="8"/>
      <c r="E84" s="8"/>
      <c r="F84" s="8"/>
      <c r="G84" s="10"/>
      <c r="H84" s="25"/>
      <c r="I84" s="2"/>
      <c r="J84" s="2"/>
      <c r="K84" s="26"/>
      <c r="L84" s="23"/>
      <c r="M84" s="10"/>
      <c r="N84" s="5"/>
    </row>
    <row r="85" spans="1:14" ht="15.5" hidden="1" x14ac:dyDescent="0.35">
      <c r="A85" s="39" t="s">
        <v>86</v>
      </c>
      <c r="B85" s="23"/>
      <c r="C85" s="8"/>
      <c r="D85" s="8"/>
      <c r="E85" s="8"/>
      <c r="F85" s="8"/>
      <c r="G85" s="10"/>
      <c r="H85" s="25"/>
      <c r="I85" s="2"/>
      <c r="J85" s="2"/>
      <c r="K85" s="26"/>
      <c r="L85" s="23"/>
      <c r="M85" s="10"/>
      <c r="N85" s="5"/>
    </row>
    <row r="86" spans="1:14" ht="15.5" hidden="1" x14ac:dyDescent="0.35">
      <c r="A86" s="39" t="s">
        <v>87</v>
      </c>
      <c r="B86" s="23"/>
      <c r="C86" s="8"/>
      <c r="D86" s="8"/>
      <c r="E86" s="8"/>
      <c r="F86" s="8"/>
      <c r="G86" s="10"/>
      <c r="H86" s="25"/>
      <c r="I86" s="2"/>
      <c r="J86" s="2"/>
      <c r="K86" s="26"/>
      <c r="L86" s="23"/>
      <c r="M86" s="10"/>
      <c r="N86" s="5"/>
    </row>
    <row r="87" spans="1:14" ht="15.5" hidden="1" x14ac:dyDescent="0.35">
      <c r="A87" s="39" t="s">
        <v>88</v>
      </c>
      <c r="B87" s="23"/>
      <c r="C87" s="8"/>
      <c r="D87" s="8"/>
      <c r="E87" s="8"/>
      <c r="F87" s="8"/>
      <c r="G87" s="10"/>
      <c r="H87" s="25"/>
      <c r="I87" s="2"/>
      <c r="J87" s="2"/>
      <c r="K87" s="26"/>
      <c r="L87" s="23"/>
      <c r="M87" s="10"/>
      <c r="N87" s="5"/>
    </row>
    <row r="88" spans="1:14" ht="15.5" hidden="1" x14ac:dyDescent="0.35">
      <c r="A88" s="39" t="s">
        <v>89</v>
      </c>
      <c r="B88" s="23"/>
      <c r="C88" s="8"/>
      <c r="D88" s="8"/>
      <c r="E88" s="8"/>
      <c r="F88" s="8"/>
      <c r="G88" s="10"/>
      <c r="H88" s="25"/>
      <c r="I88" s="2"/>
      <c r="J88" s="2"/>
      <c r="K88" s="26"/>
      <c r="L88" s="23"/>
      <c r="M88" s="10"/>
      <c r="N88" s="5"/>
    </row>
    <row r="89" spans="1:14" ht="15.5" hidden="1" x14ac:dyDescent="0.35">
      <c r="A89" s="39" t="s">
        <v>90</v>
      </c>
      <c r="B89" s="23"/>
      <c r="C89" s="8"/>
      <c r="D89" s="8"/>
      <c r="E89" s="8"/>
      <c r="F89" s="8"/>
      <c r="G89" s="10"/>
      <c r="H89" s="25"/>
      <c r="I89" s="2"/>
      <c r="J89" s="2"/>
      <c r="K89" s="26"/>
      <c r="L89" s="23"/>
      <c r="M89" s="10"/>
      <c r="N89" s="5"/>
    </row>
    <row r="90" spans="1:14" ht="15.5" hidden="1" x14ac:dyDescent="0.35">
      <c r="A90" s="39" t="s">
        <v>91</v>
      </c>
      <c r="B90" s="23"/>
      <c r="C90" s="8"/>
      <c r="D90" s="8"/>
      <c r="E90" s="8"/>
      <c r="F90" s="8"/>
      <c r="G90" s="10"/>
      <c r="H90" s="25"/>
      <c r="I90" s="2"/>
      <c r="J90" s="2"/>
      <c r="K90" s="26"/>
      <c r="L90" s="23"/>
      <c r="M90" s="10"/>
      <c r="N90" s="5"/>
    </row>
    <row r="91" spans="1:14" ht="15.5" hidden="1" x14ac:dyDescent="0.35">
      <c r="A91" s="39" t="s">
        <v>92</v>
      </c>
      <c r="B91" s="23"/>
      <c r="C91" s="8"/>
      <c r="D91" s="8"/>
      <c r="E91" s="8"/>
      <c r="F91" s="8"/>
      <c r="G91" s="10"/>
      <c r="H91" s="24"/>
      <c r="I91" s="18"/>
      <c r="J91" s="18"/>
      <c r="K91" s="19"/>
      <c r="L91" s="23"/>
      <c r="M91" s="10"/>
      <c r="N91" s="5"/>
    </row>
    <row r="92" spans="1:14" ht="24" customHeight="1" x14ac:dyDescent="0.35">
      <c r="A92" s="38" t="s">
        <v>96</v>
      </c>
      <c r="B92" s="8"/>
      <c r="C92" s="8"/>
      <c r="D92" s="8"/>
      <c r="E92" s="8"/>
      <c r="F92" s="8"/>
      <c r="G92" s="10"/>
      <c r="H92" s="38" t="s">
        <v>95</v>
      </c>
      <c r="I92" s="8"/>
      <c r="J92" s="8"/>
      <c r="K92" s="10"/>
      <c r="L92" s="38" t="s">
        <v>72</v>
      </c>
      <c r="M92" s="10"/>
      <c r="N92" s="30"/>
    </row>
    <row r="93" spans="1:14" ht="15.5" x14ac:dyDescent="0.35">
      <c r="A93" s="39" t="s">
        <v>73</v>
      </c>
      <c r="B93" s="23" t="s">
        <v>97</v>
      </c>
      <c r="C93" s="8"/>
      <c r="D93" s="8"/>
      <c r="E93" s="8"/>
      <c r="F93" s="8"/>
      <c r="G93" s="10"/>
      <c r="H93" s="42" t="s">
        <v>98</v>
      </c>
      <c r="I93" s="14"/>
      <c r="J93" s="14"/>
      <c r="K93" s="15"/>
      <c r="L93" s="41">
        <v>6</v>
      </c>
      <c r="M93" s="10"/>
      <c r="N93" s="5"/>
    </row>
    <row r="94" spans="1:14" ht="15.5" x14ac:dyDescent="0.35">
      <c r="A94" s="39" t="s">
        <v>76</v>
      </c>
      <c r="B94" s="23" t="s">
        <v>99</v>
      </c>
      <c r="C94" s="8"/>
      <c r="D94" s="8"/>
      <c r="E94" s="8"/>
      <c r="F94" s="8"/>
      <c r="G94" s="10"/>
      <c r="H94" s="25"/>
      <c r="I94" s="2"/>
      <c r="J94" s="2"/>
      <c r="K94" s="26"/>
      <c r="L94" s="41">
        <v>4</v>
      </c>
      <c r="M94" s="10"/>
      <c r="N94" s="5"/>
    </row>
    <row r="95" spans="1:14" ht="15.5" x14ac:dyDescent="0.35">
      <c r="A95" s="39" t="s">
        <v>78</v>
      </c>
      <c r="B95" s="23" t="s">
        <v>100</v>
      </c>
      <c r="C95" s="8"/>
      <c r="D95" s="8"/>
      <c r="E95" s="8"/>
      <c r="F95" s="8"/>
      <c r="G95" s="10"/>
      <c r="H95" s="25"/>
      <c r="I95" s="2"/>
      <c r="J95" s="2"/>
      <c r="K95" s="26"/>
      <c r="L95" s="41">
        <v>6</v>
      </c>
      <c r="M95" s="10"/>
      <c r="N95" s="5"/>
    </row>
    <row r="96" spans="1:14" ht="15.5" x14ac:dyDescent="0.35">
      <c r="A96" s="39" t="s">
        <v>80</v>
      </c>
      <c r="B96" s="23" t="s">
        <v>101</v>
      </c>
      <c r="C96" s="8"/>
      <c r="D96" s="8"/>
      <c r="E96" s="8"/>
      <c r="F96" s="8"/>
      <c r="G96" s="10"/>
      <c r="H96" s="25"/>
      <c r="I96" s="2"/>
      <c r="J96" s="2"/>
      <c r="K96" s="26"/>
      <c r="L96" s="41">
        <v>4</v>
      </c>
      <c r="M96" s="10"/>
      <c r="N96" s="5"/>
    </row>
    <row r="97" spans="1:14" ht="15.5" x14ac:dyDescent="0.35">
      <c r="A97" s="39" t="s">
        <v>82</v>
      </c>
      <c r="B97" s="23" t="s">
        <v>102</v>
      </c>
      <c r="C97" s="8"/>
      <c r="D97" s="8"/>
      <c r="E97" s="8"/>
      <c r="F97" s="8"/>
      <c r="G97" s="10"/>
      <c r="H97" s="25"/>
      <c r="I97" s="2"/>
      <c r="J97" s="2"/>
      <c r="K97" s="26"/>
      <c r="L97" s="41">
        <v>8</v>
      </c>
      <c r="M97" s="10"/>
      <c r="N97" s="5"/>
    </row>
    <row r="98" spans="1:14" ht="15.5" x14ac:dyDescent="0.35">
      <c r="A98" s="39" t="s">
        <v>84</v>
      </c>
      <c r="B98" s="23"/>
      <c r="C98" s="8"/>
      <c r="D98" s="8"/>
      <c r="E98" s="8"/>
      <c r="F98" s="8"/>
      <c r="G98" s="10"/>
      <c r="H98" s="25"/>
      <c r="I98" s="2"/>
      <c r="J98" s="2"/>
      <c r="K98" s="26"/>
      <c r="L98" s="41"/>
      <c r="M98" s="10"/>
      <c r="N98" s="5"/>
    </row>
    <row r="99" spans="1:14" ht="15.5" hidden="1" x14ac:dyDescent="0.35">
      <c r="A99" s="39" t="s">
        <v>85</v>
      </c>
      <c r="B99" s="23"/>
      <c r="C99" s="8"/>
      <c r="D99" s="8"/>
      <c r="E99" s="8"/>
      <c r="F99" s="8"/>
      <c r="G99" s="10"/>
      <c r="H99" s="25"/>
      <c r="I99" s="2"/>
      <c r="J99" s="2"/>
      <c r="K99" s="26"/>
      <c r="L99" s="41"/>
      <c r="M99" s="10"/>
      <c r="N99" s="5"/>
    </row>
    <row r="100" spans="1:14" ht="15.5" hidden="1" x14ac:dyDescent="0.35">
      <c r="A100" s="39" t="s">
        <v>86</v>
      </c>
      <c r="B100" s="23"/>
      <c r="C100" s="8"/>
      <c r="D100" s="8"/>
      <c r="E100" s="8"/>
      <c r="F100" s="8"/>
      <c r="G100" s="10"/>
      <c r="H100" s="25"/>
      <c r="I100" s="2"/>
      <c r="J100" s="2"/>
      <c r="K100" s="26"/>
      <c r="L100" s="41"/>
      <c r="M100" s="10"/>
      <c r="N100" s="5"/>
    </row>
    <row r="101" spans="1:14" ht="15.5" hidden="1" x14ac:dyDescent="0.35">
      <c r="A101" s="39" t="s">
        <v>87</v>
      </c>
      <c r="B101" s="23"/>
      <c r="C101" s="8"/>
      <c r="D101" s="8"/>
      <c r="E101" s="8"/>
      <c r="F101" s="8"/>
      <c r="G101" s="10"/>
      <c r="H101" s="25"/>
      <c r="I101" s="2"/>
      <c r="J101" s="2"/>
      <c r="K101" s="26"/>
      <c r="L101" s="41"/>
      <c r="M101" s="10"/>
      <c r="N101" s="5"/>
    </row>
    <row r="102" spans="1:14" ht="15.5" hidden="1" x14ac:dyDescent="0.35">
      <c r="A102" s="39" t="s">
        <v>88</v>
      </c>
      <c r="B102" s="23"/>
      <c r="C102" s="8"/>
      <c r="D102" s="8"/>
      <c r="E102" s="8"/>
      <c r="F102" s="8"/>
      <c r="G102" s="10"/>
      <c r="H102" s="25"/>
      <c r="I102" s="2"/>
      <c r="J102" s="2"/>
      <c r="K102" s="26"/>
      <c r="L102" s="41"/>
      <c r="M102" s="10"/>
      <c r="N102" s="5"/>
    </row>
    <row r="103" spans="1:14" ht="15.5" hidden="1" x14ac:dyDescent="0.35">
      <c r="A103" s="39" t="s">
        <v>89</v>
      </c>
      <c r="B103" s="23"/>
      <c r="C103" s="8"/>
      <c r="D103" s="8"/>
      <c r="E103" s="8"/>
      <c r="F103" s="8"/>
      <c r="G103" s="10"/>
      <c r="H103" s="25"/>
      <c r="I103" s="2"/>
      <c r="J103" s="2"/>
      <c r="K103" s="26"/>
      <c r="L103" s="23"/>
      <c r="M103" s="10"/>
      <c r="N103" s="5"/>
    </row>
    <row r="104" spans="1:14" ht="15.5" hidden="1" x14ac:dyDescent="0.35">
      <c r="A104" s="39" t="s">
        <v>90</v>
      </c>
      <c r="B104" s="23"/>
      <c r="C104" s="8"/>
      <c r="D104" s="8"/>
      <c r="E104" s="8"/>
      <c r="F104" s="8"/>
      <c r="G104" s="10"/>
      <c r="H104" s="25"/>
      <c r="I104" s="2"/>
      <c r="J104" s="2"/>
      <c r="K104" s="26"/>
      <c r="L104" s="23"/>
      <c r="M104" s="10"/>
      <c r="N104" s="5"/>
    </row>
    <row r="105" spans="1:14" ht="15.5" hidden="1" x14ac:dyDescent="0.35">
      <c r="A105" s="39" t="s">
        <v>91</v>
      </c>
      <c r="B105" s="23"/>
      <c r="C105" s="8"/>
      <c r="D105" s="8"/>
      <c r="E105" s="8"/>
      <c r="F105" s="8"/>
      <c r="G105" s="10"/>
      <c r="H105" s="25"/>
      <c r="I105" s="2"/>
      <c r="J105" s="2"/>
      <c r="K105" s="26"/>
      <c r="L105" s="23"/>
      <c r="M105" s="10"/>
      <c r="N105" s="5"/>
    </row>
    <row r="106" spans="1:14" ht="15.5" hidden="1" x14ac:dyDescent="0.35">
      <c r="A106" s="39" t="s">
        <v>92</v>
      </c>
      <c r="B106" s="23"/>
      <c r="C106" s="8"/>
      <c r="D106" s="8"/>
      <c r="E106" s="8"/>
      <c r="F106" s="8"/>
      <c r="G106" s="10"/>
      <c r="H106" s="24"/>
      <c r="I106" s="18"/>
      <c r="J106" s="18"/>
      <c r="K106" s="19"/>
      <c r="L106" s="23"/>
      <c r="M106" s="10"/>
      <c r="N106" s="5"/>
    </row>
    <row r="107" spans="1:14" ht="24" hidden="1" customHeight="1" x14ac:dyDescent="0.35">
      <c r="A107" s="38" t="s">
        <v>103</v>
      </c>
      <c r="B107" s="8"/>
      <c r="C107" s="8"/>
      <c r="D107" s="8"/>
      <c r="E107" s="8"/>
      <c r="F107" s="8"/>
      <c r="G107" s="10"/>
      <c r="H107" s="38" t="s">
        <v>95</v>
      </c>
      <c r="I107" s="8"/>
      <c r="J107" s="8"/>
      <c r="K107" s="10"/>
      <c r="L107" s="38" t="s">
        <v>72</v>
      </c>
      <c r="M107" s="10"/>
      <c r="N107" s="30"/>
    </row>
    <row r="108" spans="1:14" ht="15.5" hidden="1" x14ac:dyDescent="0.35">
      <c r="A108" s="39" t="s">
        <v>73</v>
      </c>
      <c r="B108" s="23"/>
      <c r="C108" s="8"/>
      <c r="D108" s="8"/>
      <c r="E108" s="8"/>
      <c r="F108" s="8"/>
      <c r="G108" s="10"/>
      <c r="H108" s="40"/>
      <c r="I108" s="14"/>
      <c r="J108" s="14"/>
      <c r="K108" s="15"/>
      <c r="L108" s="23"/>
      <c r="M108" s="10"/>
      <c r="N108" s="5"/>
    </row>
    <row r="109" spans="1:14" ht="15.5" hidden="1" x14ac:dyDescent="0.35">
      <c r="A109" s="39" t="s">
        <v>76</v>
      </c>
      <c r="B109" s="23"/>
      <c r="C109" s="8"/>
      <c r="D109" s="8"/>
      <c r="E109" s="8"/>
      <c r="F109" s="8"/>
      <c r="G109" s="10"/>
      <c r="H109" s="25"/>
      <c r="I109" s="2"/>
      <c r="J109" s="2"/>
      <c r="K109" s="26"/>
      <c r="L109" s="23"/>
      <c r="M109" s="10"/>
      <c r="N109" s="5"/>
    </row>
    <row r="110" spans="1:14" ht="15.5" hidden="1" x14ac:dyDescent="0.35">
      <c r="A110" s="39" t="s">
        <v>78</v>
      </c>
      <c r="B110" s="23"/>
      <c r="C110" s="8"/>
      <c r="D110" s="8"/>
      <c r="E110" s="8"/>
      <c r="F110" s="8"/>
      <c r="G110" s="10"/>
      <c r="H110" s="25"/>
      <c r="I110" s="2"/>
      <c r="J110" s="2"/>
      <c r="K110" s="26"/>
      <c r="L110" s="23"/>
      <c r="M110" s="10"/>
      <c r="N110" s="5"/>
    </row>
    <row r="111" spans="1:14" ht="15.5" hidden="1" x14ac:dyDescent="0.35">
      <c r="A111" s="39" t="s">
        <v>80</v>
      </c>
      <c r="B111" s="23"/>
      <c r="C111" s="8"/>
      <c r="D111" s="8"/>
      <c r="E111" s="8"/>
      <c r="F111" s="8"/>
      <c r="G111" s="10"/>
      <c r="H111" s="25"/>
      <c r="I111" s="2"/>
      <c r="J111" s="2"/>
      <c r="K111" s="26"/>
      <c r="L111" s="23"/>
      <c r="M111" s="10"/>
      <c r="N111" s="5"/>
    </row>
    <row r="112" spans="1:14" ht="15.5" hidden="1" x14ac:dyDescent="0.35">
      <c r="A112" s="39" t="s">
        <v>82</v>
      </c>
      <c r="B112" s="23"/>
      <c r="C112" s="8"/>
      <c r="D112" s="8"/>
      <c r="E112" s="8"/>
      <c r="F112" s="8"/>
      <c r="G112" s="10"/>
      <c r="H112" s="25"/>
      <c r="I112" s="2"/>
      <c r="J112" s="2"/>
      <c r="K112" s="26"/>
      <c r="L112" s="23"/>
      <c r="M112" s="10"/>
      <c r="N112" s="5"/>
    </row>
    <row r="113" spans="1:14" ht="15.5" hidden="1" x14ac:dyDescent="0.35">
      <c r="A113" s="39" t="s">
        <v>84</v>
      </c>
      <c r="B113" s="23"/>
      <c r="C113" s="8"/>
      <c r="D113" s="8"/>
      <c r="E113" s="8"/>
      <c r="F113" s="8"/>
      <c r="G113" s="10"/>
      <c r="H113" s="25"/>
      <c r="I113" s="2"/>
      <c r="J113" s="2"/>
      <c r="K113" s="26"/>
      <c r="L113" s="23"/>
      <c r="M113" s="10"/>
      <c r="N113" s="5"/>
    </row>
    <row r="114" spans="1:14" ht="15.5" hidden="1" x14ac:dyDescent="0.35">
      <c r="A114" s="39" t="s">
        <v>85</v>
      </c>
      <c r="B114" s="23"/>
      <c r="C114" s="8"/>
      <c r="D114" s="8"/>
      <c r="E114" s="8"/>
      <c r="F114" s="8"/>
      <c r="G114" s="10"/>
      <c r="H114" s="25"/>
      <c r="I114" s="2"/>
      <c r="J114" s="2"/>
      <c r="K114" s="26"/>
      <c r="L114" s="23"/>
      <c r="M114" s="10"/>
      <c r="N114" s="5"/>
    </row>
    <row r="115" spans="1:14" ht="15.5" hidden="1" x14ac:dyDescent="0.35">
      <c r="A115" s="39" t="s">
        <v>86</v>
      </c>
      <c r="B115" s="23"/>
      <c r="C115" s="8"/>
      <c r="D115" s="8"/>
      <c r="E115" s="8"/>
      <c r="F115" s="8"/>
      <c r="G115" s="10"/>
      <c r="H115" s="25"/>
      <c r="I115" s="2"/>
      <c r="J115" s="2"/>
      <c r="K115" s="26"/>
      <c r="L115" s="23"/>
      <c r="M115" s="10"/>
      <c r="N115" s="5"/>
    </row>
    <row r="116" spans="1:14" ht="15.5" hidden="1" x14ac:dyDescent="0.35">
      <c r="A116" s="39" t="s">
        <v>87</v>
      </c>
      <c r="B116" s="23"/>
      <c r="C116" s="8"/>
      <c r="D116" s="8"/>
      <c r="E116" s="8"/>
      <c r="F116" s="8"/>
      <c r="G116" s="10"/>
      <c r="H116" s="25"/>
      <c r="I116" s="2"/>
      <c r="J116" s="2"/>
      <c r="K116" s="26"/>
      <c r="L116" s="23"/>
      <c r="M116" s="10"/>
      <c r="N116" s="5"/>
    </row>
    <row r="117" spans="1:14" ht="15.5" hidden="1" x14ac:dyDescent="0.35">
      <c r="A117" s="39" t="s">
        <v>88</v>
      </c>
      <c r="B117" s="23"/>
      <c r="C117" s="8"/>
      <c r="D117" s="8"/>
      <c r="E117" s="8"/>
      <c r="F117" s="8"/>
      <c r="G117" s="10"/>
      <c r="H117" s="25"/>
      <c r="I117" s="2"/>
      <c r="J117" s="2"/>
      <c r="K117" s="26"/>
      <c r="L117" s="23"/>
      <c r="M117" s="10"/>
      <c r="N117" s="5"/>
    </row>
    <row r="118" spans="1:14" ht="15.5" hidden="1" x14ac:dyDescent="0.35">
      <c r="A118" s="39" t="s">
        <v>89</v>
      </c>
      <c r="B118" s="23"/>
      <c r="C118" s="8"/>
      <c r="D118" s="8"/>
      <c r="E118" s="8"/>
      <c r="F118" s="8"/>
      <c r="G118" s="10"/>
      <c r="H118" s="25"/>
      <c r="I118" s="2"/>
      <c r="J118" s="2"/>
      <c r="K118" s="26"/>
      <c r="L118" s="23"/>
      <c r="M118" s="10"/>
      <c r="N118" s="5"/>
    </row>
    <row r="119" spans="1:14" ht="15.5" hidden="1" x14ac:dyDescent="0.35">
      <c r="A119" s="39" t="s">
        <v>90</v>
      </c>
      <c r="B119" s="23"/>
      <c r="C119" s="8"/>
      <c r="D119" s="8"/>
      <c r="E119" s="8"/>
      <c r="F119" s="8"/>
      <c r="G119" s="10"/>
      <c r="H119" s="25"/>
      <c r="I119" s="2"/>
      <c r="J119" s="2"/>
      <c r="K119" s="26"/>
      <c r="L119" s="23"/>
      <c r="M119" s="10"/>
      <c r="N119" s="5"/>
    </row>
    <row r="120" spans="1:14" ht="15.5" hidden="1" x14ac:dyDescent="0.35">
      <c r="A120" s="39" t="s">
        <v>91</v>
      </c>
      <c r="B120" s="23"/>
      <c r="C120" s="8"/>
      <c r="D120" s="8"/>
      <c r="E120" s="8"/>
      <c r="F120" s="8"/>
      <c r="G120" s="10"/>
      <c r="H120" s="25"/>
      <c r="I120" s="2"/>
      <c r="J120" s="2"/>
      <c r="K120" s="26"/>
      <c r="L120" s="23"/>
      <c r="M120" s="10"/>
      <c r="N120" s="5"/>
    </row>
    <row r="121" spans="1:14" ht="15.5" hidden="1" x14ac:dyDescent="0.35">
      <c r="A121" s="39" t="s">
        <v>92</v>
      </c>
      <c r="B121" s="23"/>
      <c r="C121" s="8"/>
      <c r="D121" s="8"/>
      <c r="E121" s="8"/>
      <c r="F121" s="8"/>
      <c r="G121" s="10"/>
      <c r="H121" s="24"/>
      <c r="I121" s="18"/>
      <c r="J121" s="18"/>
      <c r="K121" s="19"/>
      <c r="L121" s="23"/>
      <c r="M121" s="10"/>
      <c r="N121" s="5"/>
    </row>
    <row r="122" spans="1:14" ht="115.5" customHeight="1" x14ac:dyDescent="0.35">
      <c r="A122" s="43" t="s">
        <v>104</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105</v>
      </c>
      <c r="B124" s="2"/>
      <c r="C124" s="2"/>
      <c r="D124" s="2"/>
      <c r="E124" s="2"/>
      <c r="F124" s="2"/>
      <c r="G124" s="2"/>
      <c r="H124" s="2"/>
      <c r="I124" s="2"/>
      <c r="J124" s="2"/>
      <c r="K124" s="2"/>
      <c r="L124" s="2"/>
      <c r="M124" s="2"/>
      <c r="N124" s="30"/>
    </row>
    <row r="125" spans="1:14" ht="46.5" x14ac:dyDescent="0.35">
      <c r="A125" s="44" t="s">
        <v>106</v>
      </c>
      <c r="B125" s="45" t="s">
        <v>107</v>
      </c>
      <c r="C125" s="8"/>
      <c r="D125" s="8"/>
      <c r="E125" s="8"/>
      <c r="F125" s="8"/>
      <c r="G125" s="10"/>
      <c r="H125" s="45" t="s">
        <v>108</v>
      </c>
      <c r="I125" s="8"/>
      <c r="J125" s="8"/>
      <c r="K125" s="10"/>
      <c r="L125" s="46" t="s">
        <v>109</v>
      </c>
      <c r="M125" s="10"/>
      <c r="N125" s="5"/>
    </row>
    <row r="126" spans="1:14" ht="36" customHeight="1" x14ac:dyDescent="0.35">
      <c r="A126" s="47" t="s">
        <v>110</v>
      </c>
      <c r="B126" s="48" t="s">
        <v>111</v>
      </c>
      <c r="C126" s="14"/>
      <c r="D126" s="14"/>
      <c r="E126" s="14"/>
      <c r="F126" s="14"/>
      <c r="G126" s="15"/>
      <c r="H126" s="49" t="s">
        <v>112</v>
      </c>
      <c r="I126" s="14"/>
      <c r="J126" s="14"/>
      <c r="K126" s="50" t="s">
        <v>113</v>
      </c>
      <c r="L126" s="51">
        <f>1-SUM(L129:M131)</f>
        <v>0.6</v>
      </c>
      <c r="M126" s="15"/>
      <c r="N126" s="5"/>
    </row>
    <row r="127" spans="1:14" ht="15.5" x14ac:dyDescent="0.35">
      <c r="A127" s="52"/>
      <c r="B127" s="25"/>
      <c r="C127" s="2"/>
      <c r="D127" s="2"/>
      <c r="E127" s="2"/>
      <c r="F127" s="2"/>
      <c r="G127" s="26"/>
      <c r="H127" s="24"/>
      <c r="I127" s="18"/>
      <c r="J127" s="18"/>
      <c r="K127" s="35"/>
      <c r="L127" s="25"/>
      <c r="M127" s="26"/>
      <c r="N127" s="5"/>
    </row>
    <row r="128" spans="1:14" ht="55.5" customHeight="1" x14ac:dyDescent="0.35">
      <c r="A128" s="35"/>
      <c r="B128" s="24"/>
      <c r="C128" s="18"/>
      <c r="D128" s="18"/>
      <c r="E128" s="18"/>
      <c r="F128" s="18"/>
      <c r="G128" s="19"/>
      <c r="H128" s="53" t="s">
        <v>114</v>
      </c>
      <c r="I128" s="8"/>
      <c r="J128" s="8"/>
      <c r="K128" s="39" t="s">
        <v>115</v>
      </c>
      <c r="L128" s="24"/>
      <c r="M128" s="19"/>
      <c r="N128" s="5"/>
    </row>
    <row r="129" spans="1:14" ht="68.25" hidden="1" customHeight="1" x14ac:dyDescent="0.35">
      <c r="A129" s="44" t="s">
        <v>116</v>
      </c>
      <c r="B129" s="53" t="s">
        <v>117</v>
      </c>
      <c r="C129" s="8"/>
      <c r="D129" s="8"/>
      <c r="E129" s="8"/>
      <c r="F129" s="8"/>
      <c r="G129" s="10"/>
      <c r="H129" s="53"/>
      <c r="I129" s="8"/>
      <c r="J129" s="8"/>
      <c r="K129" s="10"/>
      <c r="L129" s="54"/>
      <c r="M129" s="10"/>
      <c r="N129" s="5"/>
    </row>
    <row r="130" spans="1:14" ht="46.5" x14ac:dyDescent="0.35">
      <c r="A130" s="44" t="s">
        <v>118</v>
      </c>
      <c r="B130" s="53" t="s">
        <v>119</v>
      </c>
      <c r="C130" s="8"/>
      <c r="D130" s="8"/>
      <c r="E130" s="8"/>
      <c r="F130" s="8"/>
      <c r="G130" s="10"/>
      <c r="H130" s="55" t="s">
        <v>120</v>
      </c>
      <c r="I130" s="8"/>
      <c r="J130" s="8"/>
      <c r="K130" s="10"/>
      <c r="L130" s="54">
        <v>0.4</v>
      </c>
      <c r="M130" s="10"/>
      <c r="N130" s="5"/>
    </row>
    <row r="131" spans="1:14" ht="31" hidden="1" x14ac:dyDescent="0.35">
      <c r="A131" s="44" t="s">
        <v>121</v>
      </c>
      <c r="B131" s="56" t="s">
        <v>122</v>
      </c>
      <c r="C131" s="8"/>
      <c r="D131" s="8"/>
      <c r="E131" s="8"/>
      <c r="F131" s="8"/>
      <c r="G131" s="10"/>
      <c r="H131" s="53"/>
      <c r="I131" s="8"/>
      <c r="J131" s="8"/>
      <c r="K131" s="10"/>
      <c r="L131" s="54"/>
      <c r="M131" s="10"/>
      <c r="N131" s="5"/>
    </row>
    <row r="132" spans="1:14" ht="15.5" x14ac:dyDescent="0.35">
      <c r="A132" s="45" t="s">
        <v>123</v>
      </c>
      <c r="B132" s="8"/>
      <c r="C132" s="8"/>
      <c r="D132" s="8"/>
      <c r="E132" s="8"/>
      <c r="F132" s="8"/>
      <c r="G132" s="8"/>
      <c r="H132" s="8"/>
      <c r="I132" s="8"/>
      <c r="J132" s="8"/>
      <c r="K132" s="8"/>
      <c r="L132" s="8"/>
      <c r="M132" s="10"/>
      <c r="N132" s="5"/>
    </row>
    <row r="133" spans="1:14" ht="15.5" x14ac:dyDescent="0.35">
      <c r="A133" s="57" t="s">
        <v>124</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8" t="s">
        <v>125</v>
      </c>
      <c r="B135" s="10"/>
      <c r="C135" s="59">
        <v>45910</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8" t="s">
        <v>126</v>
      </c>
      <c r="B137" s="10"/>
      <c r="C137" s="9" t="str">
        <f>E15</f>
        <v>Prof.dr.ing. Mihaela-Hanako MATCOVSCHI</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60" t="s">
        <v>127</v>
      </c>
      <c r="B139" s="15"/>
      <c r="C139" s="9" t="str">
        <f t="shared" ref="C139:C141" si="0">E17</f>
        <v>Prof.dr.ing. Mihaela-Hanako MATCOVSCHI</v>
      </c>
      <c r="D139" s="8"/>
      <c r="E139" s="8"/>
      <c r="F139" s="8"/>
      <c r="G139" s="10"/>
      <c r="H139" s="9">
        <f t="shared" ref="H139:H141" si="1">E20</f>
        <v>0</v>
      </c>
      <c r="I139" s="8"/>
      <c r="J139" s="8"/>
      <c r="K139" s="8"/>
      <c r="L139" s="8"/>
      <c r="M139" s="10"/>
      <c r="N139" s="5"/>
    </row>
    <row r="140" spans="1:14" ht="32.25" hidden="1" customHeight="1" x14ac:dyDescent="0.35">
      <c r="A140" s="25"/>
      <c r="B140" s="26"/>
      <c r="C140" s="9">
        <f t="shared" si="0"/>
        <v>0</v>
      </c>
      <c r="D140" s="8"/>
      <c r="E140" s="8"/>
      <c r="F140" s="8"/>
      <c r="G140" s="10"/>
      <c r="H140" s="9">
        <f t="shared" si="1"/>
        <v>0</v>
      </c>
      <c r="I140" s="8"/>
      <c r="J140" s="8"/>
      <c r="K140" s="8"/>
      <c r="L140" s="8"/>
      <c r="M140" s="10"/>
      <c r="N140" s="5"/>
    </row>
    <row r="141" spans="1:14" ht="32.25" hidden="1"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8" t="s">
        <v>128</v>
      </c>
      <c r="B143" s="10"/>
      <c r="C143" s="61">
        <f>[1]Date!C35</f>
        <v>45915</v>
      </c>
      <c r="D143" s="10"/>
      <c r="E143" s="58" t="s">
        <v>129</v>
      </c>
      <c r="F143" s="8"/>
      <c r="G143" s="10"/>
      <c r="H143" s="62" t="str">
        <f>[1]Date!C37</f>
        <v>Conf.dr.ing. Mihai POSTOLACHE</v>
      </c>
      <c r="I143" s="8"/>
      <c r="J143" s="8"/>
      <c r="K143" s="8"/>
      <c r="L143" s="8"/>
      <c r="M143" s="10"/>
      <c r="N143" s="5"/>
    </row>
    <row r="144" spans="1:14" ht="21.75" customHeight="1" x14ac:dyDescent="0.35">
      <c r="A144" s="63"/>
      <c r="B144" s="63"/>
      <c r="C144" s="64"/>
      <c r="D144" s="64"/>
      <c r="E144" s="63"/>
      <c r="F144" s="63"/>
      <c r="G144" s="63"/>
      <c r="H144" s="64"/>
      <c r="I144" s="64"/>
      <c r="J144" s="64"/>
      <c r="K144" s="64"/>
      <c r="L144" s="64"/>
      <c r="M144" s="64"/>
      <c r="N144" s="5"/>
    </row>
    <row r="145" spans="1:14" ht="28.5" customHeight="1" x14ac:dyDescent="0.35">
      <c r="A145" s="58" t="s">
        <v>130</v>
      </c>
      <c r="B145" s="10"/>
      <c r="C145" s="61">
        <f>[1]Date!C36</f>
        <v>45918</v>
      </c>
      <c r="D145" s="10"/>
      <c r="E145" s="58" t="s">
        <v>131</v>
      </c>
      <c r="F145" s="8"/>
      <c r="G145" s="10"/>
      <c r="H145" s="62" t="str">
        <f>[1]Date!C38</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7"/>
    <mergeCell ref="K126:K127"/>
    <mergeCell ref="L126:M128"/>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hyperlinks>
    <hyperlink ref="A122" r:id="rId1" xr:uid="{C380CF16-B540-487D-875F-8C71FA7B7C04}"/>
  </hyperlink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2026-03-01T09:16:16Z</dcterms:created>
  <dcterms:modified xsi:type="dcterms:W3CDTF">2026-03-01T09:16:18Z</dcterms:modified>
</cp:coreProperties>
</file>