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wamp64\www\licenta\excel\FD\"/>
    </mc:Choice>
  </mc:AlternateContent>
  <xr:revisionPtr revIDLastSave="0" documentId="8_{83FC265F-707C-487B-ACAF-E4F99325CC7B}" xr6:coauthVersionLast="47" xr6:coauthVersionMax="47" xr10:uidLastSave="{00000000-0000-0000-0000-000000000000}"/>
  <bookViews>
    <workbookView xWindow="-110" yWindow="-110" windowWidth="25820" windowHeight="15500" xr2:uid="{E1FCBB00-E666-4A90-AD37-7F0CA801BD6C}"/>
  </bookViews>
  <sheets>
    <sheet name="Sheet1"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45" i="1" l="1"/>
  <c r="C145" i="1"/>
  <c r="H143" i="1"/>
  <c r="C143" i="1"/>
  <c r="H141" i="1"/>
  <c r="C141" i="1"/>
  <c r="H140" i="1"/>
  <c r="C140" i="1"/>
  <c r="H139" i="1"/>
  <c r="C139" i="1"/>
  <c r="H137" i="1"/>
  <c r="C137" i="1"/>
  <c r="L126" i="1"/>
  <c r="C36" i="1" a="1"/>
  <c r="C36" i="1" s="1"/>
  <c r="C23" i="1"/>
  <c r="E14" i="1" a="1"/>
  <c r="E14" i="1" s="1"/>
  <c r="C9" i="1"/>
  <c r="C8" i="1"/>
  <c r="C7" i="1"/>
  <c r="A2" i="1"/>
  <c r="I26" i="1" a="1"/>
  <c r="I26" i="1" s="1"/>
  <c r="I27" i="1" s="1"/>
  <c r="I23" i="1" a="1"/>
  <c r="I23" i="1" s="1"/>
  <c r="C34" i="1" a="1"/>
  <c r="C34" i="1" s="1"/>
  <c r="M33" i="1" s="1"/>
  <c r="E13" i="1" l="1" a="1"/>
  <c r="E13" i="1" s="1"/>
  <c r="G26" i="1" a="1"/>
  <c r="G26" i="1" s="1"/>
  <c r="G27" i="1" s="1"/>
  <c r="M14" i="1" a="1"/>
  <c r="M14" i="1" s="1"/>
  <c r="K26" i="1" a="1"/>
  <c r="K26" i="1" s="1"/>
  <c r="K27" i="1" s="1"/>
  <c r="E23" i="1" a="1"/>
  <c r="E23" i="1" s="1"/>
  <c r="M23" i="1" a="1"/>
  <c r="M23" i="1" s="1"/>
  <c r="M32" i="1" a="1"/>
  <c r="M32" i="1" s="1"/>
  <c r="E26" i="1" a="1"/>
  <c r="E26" i="1" s="1"/>
  <c r="C26" i="1" l="1"/>
  <c r="C27" i="1" s="1"/>
  <c r="C35" i="1" s="1"/>
  <c r="E27"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K126" authorId="0" shapeId="0" xr:uid="{2A77BA90-EC60-4567-A185-E95BDC3C4E29}">
      <text>
        <r>
          <rPr>
            <sz val="10"/>
            <color rgb="FF000000"/>
            <rFont val="Aptos Narrow"/>
            <scheme val="minor"/>
          </rPr>
          <t>Pondere din nota de la E / V</t>
        </r>
      </text>
    </comment>
    <comment ref="K127" authorId="0" shapeId="0" xr:uid="{A801C47A-7F14-4134-A1CF-935D83A95E6B}">
      <text>
        <r>
          <rPr>
            <sz val="10"/>
            <color rgb="FF000000"/>
            <rFont val="Aptos Narrow"/>
            <scheme val="minor"/>
          </rPr>
          <t>Pondere din nota de la E / V</t>
        </r>
      </text>
    </comment>
    <comment ref="K128" authorId="0" shapeId="0" xr:uid="{0126FDAB-C943-4D04-830F-B6EE685E10D5}">
      <text>
        <r>
          <rPr>
            <sz val="10"/>
            <color rgb="FF000000"/>
            <rFont val="Aptos Narrow"/>
            <scheme val="minor"/>
          </rPr>
          <t>Pondere din nota de la E / V</t>
        </r>
      </text>
    </comment>
  </commentList>
</comments>
</file>

<file path=xl/sharedStrings.xml><?xml version="1.0" encoding="utf-8"?>
<sst xmlns="http://schemas.openxmlformats.org/spreadsheetml/2006/main" count="199" uniqueCount="135">
  <si>
    <t>FIȘA DISCIPLINEI</t>
  </si>
  <si>
    <t>1. Date despre program</t>
  </si>
  <si>
    <t>1.1 Instituţia de învăţământ superior</t>
  </si>
  <si>
    <t>Universitatea Tehnică „Gheorghe Asachi” din Iaşi</t>
  </si>
  <si>
    <t>1.2 Facultatea</t>
  </si>
  <si>
    <t>Automatică și Calculatoare</t>
  </si>
  <si>
    <t>1.3 Departamentul</t>
  </si>
  <si>
    <t>Automatică și Informatică Aplicată</t>
  </si>
  <si>
    <t>1.4 Domeniul de studii</t>
  </si>
  <si>
    <t>1.5 Ciclul de studii</t>
  </si>
  <si>
    <t>1.6. Programul de studii</t>
  </si>
  <si>
    <t>2. Date despre disciplină</t>
  </si>
  <si>
    <t xml:space="preserve">2.1.1 Denumirea disciplinei – (în limba română) </t>
  </si>
  <si>
    <t>Limba engleză III</t>
  </si>
  <si>
    <t>(în limba engleză, conform Suplimentului la diplomă)</t>
  </si>
  <si>
    <t>2.1.2. Codul disciplinei</t>
  </si>
  <si>
    <t xml:space="preserve">2.1.3. Categoria formativă </t>
  </si>
  <si>
    <t>2.2 Titularul / titularii activităţilor de curs</t>
  </si>
  <si>
    <t xml:space="preserve">Lect. dr. Ioana Baciu </t>
  </si>
  <si>
    <t>2.3 Titularul / titularii activităţilor de aplicaţii (S, L, P, Pr)</t>
  </si>
  <si>
    <t>2.4 Anul de studii</t>
  </si>
  <si>
    <t>2.5 Semestrul</t>
  </si>
  <si>
    <t>2.6 Tipul de evaluare</t>
  </si>
  <si>
    <t>2.7 Opționalitate</t>
  </si>
  <si>
    <r>
      <rPr>
        <b/>
        <sz val="12"/>
        <color theme="1"/>
        <rFont val="Arial"/>
      </rPr>
      <t>3. Timpul total estimat al activităţilor zilnice</t>
    </r>
    <r>
      <rPr>
        <sz val="12"/>
        <color theme="1"/>
        <rFont val="Arial"/>
      </rPr>
      <t xml:space="preserve"> (ore pe semestru)</t>
    </r>
  </si>
  <si>
    <t>3.1 Număr de ore pe săptămână</t>
  </si>
  <si>
    <t>3.2 curs</t>
  </si>
  <si>
    <t>3.3a sem.</t>
  </si>
  <si>
    <t>3.3b laborator</t>
  </si>
  <si>
    <t>3.3c proiect</t>
  </si>
  <si>
    <t>3.3.d practică</t>
  </si>
  <si>
    <t>3.4 Total ore din planul de învăţământ</t>
  </si>
  <si>
    <t>3.5 curs</t>
  </si>
  <si>
    <t>3.6a sem.</t>
  </si>
  <si>
    <t>3.6b laborator</t>
  </si>
  <si>
    <t>3.6c proiect</t>
  </si>
  <si>
    <t>3.6.d</t>
  </si>
  <si>
    <t>Distribuţia fondului de timp</t>
  </si>
  <si>
    <t>Nr. ore</t>
  </si>
  <si>
    <t>Studiul după manual, suport de curs, bibliografie şi notiţe</t>
  </si>
  <si>
    <t>Documentare suplimentară în bibliotecă, pe platformele electronice de specialitate şi pe teren</t>
  </si>
  <si>
    <t>Pregătire seminarii/ laboratoare/ proiecte, teme, referate şi portofolii</t>
  </si>
  <si>
    <t>Examinări</t>
  </si>
  <si>
    <t>Alte activităţi:</t>
  </si>
  <si>
    <t>3.7 Total ore studiu individual</t>
  </si>
  <si>
    <t>3.8 Total ore pe semestru</t>
  </si>
  <si>
    <t>3.9 Numărul de credite</t>
  </si>
  <si>
    <r>
      <rPr>
        <b/>
        <sz val="12"/>
        <color theme="1"/>
        <rFont val="Arial"/>
      </rPr>
      <t>4. Precondiţii</t>
    </r>
    <r>
      <rPr>
        <sz val="12"/>
        <color theme="1"/>
        <rFont val="Arial"/>
      </rPr>
      <t xml:space="preserve"> (acolo unde este cazul)</t>
    </r>
  </si>
  <si>
    <t>4.1 de curriculum</t>
  </si>
  <si>
    <t>-</t>
  </si>
  <si>
    <t>4.2 de rezultate ale învățării</t>
  </si>
  <si>
    <t xml:space="preserve">-	abilități de documentare și prezentare orală a unui subiect tehnic în limba engleză;
-	abilități de redactare a documentelor necesare angajării în limba engleză – CV, scrisoare de intenție;
</t>
  </si>
  <si>
    <t>5. Condiţii</t>
  </si>
  <si>
    <t>5.1 de desfăşurare a cursului</t>
  </si>
  <si>
    <t>amfiteatru dotat cu videoproiector</t>
  </si>
  <si>
    <t>5.2 de desfăşurare a seminarului / laboratorului / proiectului</t>
  </si>
  <si>
    <t>6. Obiectivul general al disciplinei</t>
  </si>
  <si>
    <t xml:space="preserve">Dobândirea de competențe de comunicare potrivit Cadrului General Comun de Referință pentru Limbile Străine, dezvoltarea competențelor de comunicare scrisă şi orală în limba engleză într-o universitate cu profil tehnic, dezvoltarea competențelor de receptare a mesajului scris şi oral în limba engleză, atât în contexte sociale, cât și profesionale și tehnice. Se urmărește consolidarea deprinderilor lingvistice prin utilizarea adecvată a vocabularului de specialitate, a structurilor gramaticale corecte și a strategiilor discursive necesare transmiterii eficiente a informațiilor pentru o colaborare activă cu vorbitori nativi și non-nativi. </t>
  </si>
  <si>
    <t>7. Rezultatele învățării</t>
  </si>
  <si>
    <t>Cunoștințe</t>
  </si>
  <si>
    <t>Studentul / Absolventul:</t>
  </si>
  <si>
    <t xml:space="preserve">•       înțelege și explică concepte și structuri gramaticale fundamentale ale limbii engleze, adaptate nivelului de studiu; 
•	distinge și aplică vocabular general și de specialitate, relevant pentru domeniul tehnic și științific;
•	identifică surse de informare lingvistică și resurse lexicale (dicționare, baze de date, corpusuri online) și le integrează în procesul de învățare; 
•	înțelege mecanismele de receptare a mesajelor orale și scrise în limba engleză și particularitățile comunicării academice. 
</t>
  </si>
  <si>
    <t>Aptitudini</t>
  </si>
  <si>
    <t>•	utilizează instrumente specifice (dicționare tipărite și online, glosare de specialitate, baze de date lingvistice) pentru verificarea și însușirea lexicului general și de specialitate;
•	elaborează texte adecvate stilistic și gramatical, corespunzătoare contextului academic și profesional;
•	operează cu vocabular de specialitate și structuri lingvistice în redactarea și interpretarea textelor în limba engleză;
•	utilizează corect limba engleză în comunicarea orală și scrisă, adaptată la situații diverse (academice, profesionale, interculturale);
•	participă activ la discuții, dezbateri și proiecte de grup, demonstrând capacități de colaborare în contexte interculturale;
•	realizează prezentări orale clare și structurate pe teme generale și de specialitate;
•	interpretează și sintetizează informații din texte și materiale audio-video în limba engleză.</t>
  </si>
  <si>
    <t>Responsabilitate și autonomie</t>
  </si>
  <si>
    <t xml:space="preserve">•	dovedește autonomie și spirit critic în receptarea și interpretarea mesajelor în limba engleză.
•	manifestă responsabilitate în aplicarea competențelor lingvistice dobândite în contexte academice și profesionale;
•	își asumă autonomia în învățarea și perfecționarea continuă a limbii engleze;
•	demonstrează capacitatea de a organiza și gestiona individual sarcini de redactare și prezentare în limba engleză;
•	colaborează eficient în echipe, asumându-și roluri și responsabilități diverse în proiecte comune;
•	manifestă inițiativă și adaptabilitate în situații de comunicare interculturală;
•	integrează în mod responsabil resursele lingvistice și culturale în procesul de învățare și în dezvoltarea profesională;
</t>
  </si>
  <si>
    <t xml:space="preserve">8. Metode de predare </t>
  </si>
  <si>
    <t xml:space="preserve"> În activitatea de predare vor fi utilizate materiale specifice pentru gramatică, vocabular și limbaj de specialitate în limba engleză, precum și prezentări Power Point. Prezentările conțin imagini și sinteze, astfel încât informațiile să fie ușor de înțeles și asimilat. Metoda de predare este bazată şi pe modele de învățare comunicative prin descoperire, facilitate de explorarea directă și indirectă a realității, dar și pe metode bazate pe acțiune, precum exercițiul și activitățile practice scrise și orale.</t>
  </si>
  <si>
    <t>9. Conţinuturi</t>
  </si>
  <si>
    <t>9.1. Curs</t>
  </si>
  <si>
    <t>Metode de predare</t>
  </si>
  <si>
    <t>Timp alocat</t>
  </si>
  <si>
    <t>1</t>
  </si>
  <si>
    <t>Introduction: syllabus and emails</t>
  </si>
  <si>
    <t>Expunere utilizand videoproiectorul.</t>
  </si>
  <si>
    <t>2 ore</t>
  </si>
  <si>
    <t>2</t>
  </si>
  <si>
    <t>Job application documents: CVs</t>
  </si>
  <si>
    <t>3</t>
  </si>
  <si>
    <t>Cover letters and job interviews</t>
  </si>
  <si>
    <t>4</t>
  </si>
  <si>
    <t>Technical presentations - topics</t>
  </si>
  <si>
    <t>5</t>
  </si>
  <si>
    <t>Research and referencing</t>
  </si>
  <si>
    <t>6</t>
  </si>
  <si>
    <t xml:space="preserve">Creating engagement </t>
  </si>
  <si>
    <t>7</t>
  </si>
  <si>
    <t>Visuals and feedback</t>
  </si>
  <si>
    <t>8</t>
  </si>
  <si>
    <t>9</t>
  </si>
  <si>
    <t>10</t>
  </si>
  <si>
    <t>11</t>
  </si>
  <si>
    <t>12</t>
  </si>
  <si>
    <t>13</t>
  </si>
  <si>
    <t>14</t>
  </si>
  <si>
    <t xml:space="preserve">Bibliografie curs:
1.        Daniela Lucia Ene, Academic Writing: A Handbook for Computer Science Students, Editura Performantica - Institutul Național de Inventică, Iași, 2015
2.        Alison Pohl, Nick Brieger, Technical English. Vocabulary and Grammar, Summertown Publishing Ltd., 2002 
3.        Ian MacKenzie, English for Business Studies, Cambridge University Press 2013 
4.        Nicoleta Mariana Iftimie, English for Electronics. A Practical Course, Performantica, 2015
5.        Santiago Remacha Esteras, Infotech. English for Computer Users, Cambridge University Press, 2003
6.        Rada Proca, Gramatica practică a limbii engleze, Editura Polirom, Iași, 1999
</t>
  </si>
  <si>
    <t>9.2a Seminar</t>
  </si>
  <si>
    <t>Metode de lucru</t>
  </si>
  <si>
    <t>CVs</t>
  </si>
  <si>
    <t xml:space="preserve">Cover letters </t>
  </si>
  <si>
    <t>Job interviews</t>
  </si>
  <si>
    <t>Picking a presentation topic</t>
  </si>
  <si>
    <t xml:space="preserve">Research and referencing </t>
  </si>
  <si>
    <t>Creating engagement</t>
  </si>
  <si>
    <t>9.2b Laborator</t>
  </si>
  <si>
    <t>9.2c Proiect</t>
  </si>
  <si>
    <t xml:space="preserve">Bibliografie aplicaţii (seminar / laborator / proiect):
1.     Daniela Lucia Ene, Academic Writing: A Handbook for Computer Science Students, Editura Performantica - Institutul Național de Inventică, Iași, 2015
2.	Alison Pohl, Nick Brieger, Technical English. Vocabulary and Grammar, Summertown Publishing Ltd., 2002 
3.	Ian MacKenzie, English for Business Studies, Cambridge University Press 2013 
4.	Nicoleta Mariana Iftimie, English for Electronics. A Practical Course, Performantica, 2015
5.	Santiago Remacha Esteras, Infotech. English for Computer Users, Cambridge University Press, 2003
Rada Proca, Gramatica practică a limbii engleze, Editura Polirom, Iași, 1999
</t>
  </si>
  <si>
    <t>10. Evaluare</t>
  </si>
  <si>
    <t>Tip activitate</t>
  </si>
  <si>
    <t>10.1 Criterii de evaluare</t>
  </si>
  <si>
    <t>10.2 Metode de evaluare</t>
  </si>
  <si>
    <t>10.3 Pondere din nota finală [%]</t>
  </si>
  <si>
    <t>10.4 Examen / Colocviu</t>
  </si>
  <si>
    <t>Completitudinea şi corectitudinea cunoştinţelor. 
Coerenţa logică, fluenţa, forţa de argumentare. 
Capacitatea de analiză, de interpretare personală, originalitatea, creativitatea. 
Gradul de asimilare a limbajului de specialitate şi capacitatea de comunicare.
Capacitatea de a valorifica abilităţile dobândite.
Capacitatea de a prelucra datele și problemele enunțate.</t>
  </si>
  <si>
    <t>- observarea sistematică a studenţilor (teme individuale/ de echipă - temele trebuie efectuate în săptămâna dintre cursuri, pregătirea unui referat - studiu de caz).</t>
  </si>
  <si>
    <t>- test de evaluare formativ (verificări pe parcursul semestrului).</t>
  </si>
  <si>
    <t>- test de evaluare sumativ (verificare finală).</t>
  </si>
  <si>
    <t>10.5a Seminar</t>
  </si>
  <si>
    <t>Capacitatea de aplicare în practică a cunoştinţelor învăţate. Capacitatea de analiză, de interpretare personală, originalitatea, creativitatea.</t>
  </si>
  <si>
    <t>- participare activă la activități;
- test de evaluare.</t>
  </si>
  <si>
    <t>10.5b Laborator</t>
  </si>
  <si>
    <t>Activitatea de laborator – Capacitatea de lucra în echipă, Capacitatea de aplicare în practică, în contexte diferite, a cunoştinţelor învăţate.
Capacitatea de analiză, de interpretare personală, originalitatea, creativitatea.</t>
  </si>
  <si>
    <t>- realizarea fişelor de laborator (toate lucrările de laborator trebuie efectuate, admiţându-se recuperarea doar a unei lucrări de laborator restante);
 - test de evaluare (colocviu de laborator).</t>
  </si>
  <si>
    <t>10.5c Proiect</t>
  </si>
  <si>
    <t>Participarea la activitatea de proicetare, capacitatea de documentare, aplicarea cunoștințelor în activitatea de proiectare.</t>
  </si>
  <si>
    <t>- efectuarea activității de proiectare;
- finalizarea proiectului;
- susținerea proiectului.</t>
  </si>
  <si>
    <t>10.6 Condiții de promovare</t>
  </si>
  <si>
    <t>Rezultatul evaluării finale la o disciplină rezultă prin considerarea punctajelor și ponderilor alocate fiecărei activităţi din cadrul disciplinei. Se vor acorda note întregi de la 10 la 1, nota 5 certificând dobândirea rezultatelor învăţării minimale aferente unei discipline şi acordarea creditelor de studii aferente acesteia.</t>
  </si>
  <si>
    <t>Data completării:</t>
  </si>
  <si>
    <t>Titular/ titulari de curs:</t>
  </si>
  <si>
    <t>Titular/ titulari de aplicații:</t>
  </si>
  <si>
    <t>Data avizării în departament:</t>
  </si>
  <si>
    <t>Director de departament:</t>
  </si>
  <si>
    <t>Data aprobării în Consiliul Facultății:</t>
  </si>
  <si>
    <t>Decan: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</si>
</sst>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8" x14ac:knownFonts="1">
    <font>
      <sz val="11"/>
      <color theme="1"/>
      <name val="Aptos Narrow"/>
      <family val="2"/>
      <scheme val="minor"/>
    </font>
    <font>
      <b/>
      <sz val="14"/>
      <color theme="1"/>
      <name val="Arial"/>
    </font>
    <font>
      <sz val="12"/>
      <color theme="1"/>
      <name val="Arial"/>
    </font>
    <font>
      <b/>
      <sz val="12"/>
      <color theme="1"/>
      <name val="Arial"/>
    </font>
    <font>
      <sz val="10"/>
      <name val="Arial"/>
    </font>
    <font>
      <sz val="12"/>
      <color rgb="FF000000"/>
      <name val="Arial"/>
    </font>
    <font>
      <i/>
      <sz val="12"/>
      <color theme="1"/>
      <name val="Arial"/>
    </font>
    <font>
      <sz val="10"/>
      <color rgb="FF000000"/>
      <name val="Aptos Narrow"/>
      <scheme val="minor"/>
    </font>
  </fonts>
  <fills count="4">
    <fill>
      <patternFill patternType="none"/>
    </fill>
    <fill>
      <patternFill patternType="gray125"/>
    </fill>
    <fill>
      <patternFill patternType="solid">
        <fgColor rgb="FFEFEFEF"/>
        <bgColor rgb="FFEFEFEF"/>
      </patternFill>
    </fill>
    <fill>
      <patternFill patternType="solid">
        <fgColor rgb="FFD9EAD3"/>
        <bgColor rgb="FFD9EAD3"/>
      </patternFill>
    </fill>
  </fills>
  <borders count="16">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s>
  <cellStyleXfs count="1">
    <xf numFmtId="0" fontId="0" fillId="0" borderId="0"/>
  </cellStyleXfs>
  <cellXfs count="62">
    <xf numFmtId="0" fontId="0" fillId="0" borderId="0" xfId="0"/>
    <xf numFmtId="0" fontId="1" fillId="0" borderId="0" xfId="0" applyFont="1" applyAlignment="1">
      <alignment horizontal="center" vertical="center" wrapText="1"/>
    </xf>
    <xf numFmtId="0" fontId="0" fillId="0" borderId="0" xfId="0"/>
    <xf numFmtId="0" fontId="1" fillId="0" borderId="0" xfId="0" applyFont="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vertical="center" wrapText="1"/>
    </xf>
    <xf numFmtId="0" fontId="3" fillId="0" borderId="0" xfId="0" applyFont="1" applyAlignment="1">
      <alignment vertical="center" wrapText="1"/>
    </xf>
    <xf numFmtId="0" fontId="2" fillId="2" borderId="1" xfId="0" applyFont="1" applyFill="1" applyBorder="1" applyAlignment="1">
      <alignment vertical="center" wrapText="1"/>
    </xf>
    <xf numFmtId="0" fontId="4" fillId="0" borderId="2" xfId="0" applyFont="1" applyBorder="1"/>
    <xf numFmtId="0" fontId="2" fillId="0" borderId="1" xfId="0" applyFont="1" applyBorder="1" applyAlignment="1">
      <alignment vertical="center" wrapText="1"/>
    </xf>
    <xf numFmtId="0" fontId="4" fillId="0" borderId="3" xfId="0" applyFont="1" applyBorder="1"/>
    <xf numFmtId="0" fontId="5" fillId="2" borderId="1" xfId="0" applyFont="1" applyFill="1" applyBorder="1" applyAlignment="1">
      <alignment vertical="center" wrapText="1"/>
    </xf>
    <xf numFmtId="0" fontId="2" fillId="0" borderId="0" xfId="0" applyFont="1" applyAlignment="1">
      <alignment vertical="center" wrapText="1"/>
    </xf>
    <xf numFmtId="0" fontId="2" fillId="2" borderId="4" xfId="0" applyFont="1" applyFill="1" applyBorder="1" applyAlignment="1">
      <alignment vertical="center" wrapText="1"/>
    </xf>
    <xf numFmtId="0" fontId="4" fillId="0" borderId="5" xfId="0" applyFont="1" applyBorder="1"/>
    <xf numFmtId="0" fontId="4" fillId="0" borderId="6" xfId="0" applyFont="1" applyBorder="1"/>
    <xf numFmtId="0" fontId="2" fillId="0" borderId="4" xfId="0" applyFont="1" applyBorder="1" applyAlignment="1">
      <alignment horizontal="center" vertical="center" wrapText="1"/>
    </xf>
    <xf numFmtId="0" fontId="2" fillId="2" borderId="7" xfId="0" applyFont="1" applyFill="1" applyBorder="1" applyAlignment="1">
      <alignment vertical="center" wrapText="1"/>
    </xf>
    <xf numFmtId="0" fontId="4" fillId="0" borderId="8" xfId="0" applyFont="1" applyBorder="1"/>
    <xf numFmtId="0" fontId="4" fillId="0" borderId="9" xfId="0" applyFont="1" applyBorder="1"/>
    <xf numFmtId="0" fontId="6" fillId="0" borderId="7" xfId="0" applyFont="1" applyBorder="1" applyAlignment="1">
      <alignment horizontal="center" vertical="center" wrapText="1"/>
    </xf>
    <xf numFmtId="0" fontId="2" fillId="0" borderId="7" xfId="0" applyFont="1" applyBorder="1" applyAlignment="1">
      <alignment horizontal="center" vertical="center" wrapText="1"/>
    </xf>
    <xf numFmtId="0" fontId="2" fillId="0" borderId="3" xfId="0" applyFont="1" applyBorder="1" applyAlignment="1">
      <alignment horizontal="center" vertical="center" wrapText="1"/>
    </xf>
    <xf numFmtId="0" fontId="2" fillId="3" borderId="1" xfId="0" applyFont="1" applyFill="1" applyBorder="1" applyAlignment="1">
      <alignment vertical="center" wrapText="1"/>
    </xf>
    <xf numFmtId="0" fontId="4" fillId="0" borderId="7" xfId="0" applyFont="1" applyBorder="1"/>
    <xf numFmtId="0" fontId="4" fillId="0" borderId="10" xfId="0" applyFont="1" applyBorder="1"/>
    <xf numFmtId="0" fontId="4" fillId="0" borderId="11" xfId="0" applyFont="1" applyBorder="1"/>
    <xf numFmtId="0" fontId="2" fillId="0" borderId="12" xfId="0" applyFont="1" applyBorder="1" applyAlignment="1">
      <alignment horizontal="center" vertical="center" wrapText="1"/>
    </xf>
    <xf numFmtId="0" fontId="2" fillId="2" borderId="12" xfId="0" applyFont="1" applyFill="1" applyBorder="1" applyAlignment="1">
      <alignment vertical="center" wrapText="1"/>
    </xf>
    <xf numFmtId="0" fontId="2" fillId="2" borderId="1" xfId="0" applyFont="1" applyFill="1" applyBorder="1" applyAlignment="1">
      <alignment horizontal="right" vertical="center" wrapText="1"/>
    </xf>
    <xf numFmtId="0" fontId="3" fillId="0" borderId="0" xfId="0" applyFont="1" applyAlignment="1">
      <alignment vertical="center" wrapText="1"/>
    </xf>
    <xf numFmtId="1" fontId="2" fillId="0" borderId="12" xfId="0" applyNumberFormat="1" applyFont="1" applyBorder="1" applyAlignment="1">
      <alignment horizontal="center" vertical="center" wrapText="1"/>
    </xf>
    <xf numFmtId="0" fontId="2" fillId="3" borderId="12" xfId="0" applyFont="1" applyFill="1" applyBorder="1" applyAlignment="1">
      <alignment horizontal="center" vertical="center" wrapText="1"/>
    </xf>
    <xf numFmtId="0" fontId="3" fillId="2" borderId="13" xfId="0" applyFont="1" applyFill="1" applyBorder="1" applyAlignment="1">
      <alignment horizontal="center" vertical="center" textRotation="90" wrapText="1"/>
    </xf>
    <xf numFmtId="0" fontId="2" fillId="2" borderId="1" xfId="0" applyFont="1" applyFill="1" applyBorder="1" applyAlignment="1">
      <alignment horizontal="left" vertical="top" wrapText="1"/>
    </xf>
    <xf numFmtId="0" fontId="4" fillId="0" borderId="14" xfId="0" applyFont="1" applyBorder="1"/>
    <xf numFmtId="0" fontId="2" fillId="3" borderId="1" xfId="0" applyFont="1" applyFill="1" applyBorder="1" applyAlignment="1">
      <alignment horizontal="left" vertical="top" wrapText="1"/>
    </xf>
    <xf numFmtId="0" fontId="2" fillId="3" borderId="1" xfId="0" applyFont="1" applyFill="1" applyBorder="1" applyAlignment="1">
      <alignment vertical="top" wrapText="1"/>
    </xf>
    <xf numFmtId="0" fontId="3" fillId="2" borderId="1" xfId="0" applyFont="1" applyFill="1" applyBorder="1" applyAlignment="1">
      <alignment horizontal="center" vertical="center" wrapText="1"/>
    </xf>
    <xf numFmtId="49" fontId="2" fillId="3" borderId="12" xfId="0" applyNumberFormat="1" applyFont="1" applyFill="1" applyBorder="1" applyAlignment="1">
      <alignment horizontal="center" vertical="center" wrapText="1"/>
    </xf>
    <xf numFmtId="0" fontId="2" fillId="3" borderId="4"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3" borderId="4" xfId="0" applyFont="1" applyFill="1" applyBorder="1" applyAlignment="1">
      <alignment vertical="center" wrapText="1"/>
    </xf>
    <xf numFmtId="49" fontId="3" fillId="2" borderId="12" xfId="0" applyNumberFormat="1" applyFont="1" applyFill="1" applyBorder="1" applyAlignment="1">
      <alignment horizontal="center" vertical="center" wrapText="1"/>
    </xf>
    <xf numFmtId="49" fontId="3" fillId="2" borderId="1" xfId="0" applyNumberFormat="1" applyFont="1" applyFill="1" applyBorder="1" applyAlignment="1">
      <alignment vertical="center" wrapText="1"/>
    </xf>
    <xf numFmtId="49" fontId="3" fillId="2" borderId="1" xfId="0" applyNumberFormat="1" applyFont="1" applyFill="1" applyBorder="1" applyAlignment="1">
      <alignment horizontal="center" vertical="center" wrapText="1"/>
    </xf>
    <xf numFmtId="49" fontId="3" fillId="2" borderId="13" xfId="0" applyNumberFormat="1" applyFont="1" applyFill="1" applyBorder="1" applyAlignment="1">
      <alignment horizontal="center" vertical="center" wrapText="1"/>
    </xf>
    <xf numFmtId="49" fontId="2" fillId="0" borderId="4" xfId="0" applyNumberFormat="1" applyFont="1" applyBorder="1" applyAlignment="1">
      <alignment vertical="top" wrapText="1"/>
    </xf>
    <xf numFmtId="49" fontId="2" fillId="3" borderId="1" xfId="0" applyNumberFormat="1" applyFont="1" applyFill="1" applyBorder="1" applyAlignment="1">
      <alignment vertical="top" wrapText="1"/>
    </xf>
    <xf numFmtId="49" fontId="2" fillId="3" borderId="12" xfId="0" applyNumberFormat="1" applyFont="1" applyFill="1" applyBorder="1" applyAlignment="1">
      <alignment vertical="top" wrapText="1"/>
    </xf>
    <xf numFmtId="9" fontId="2" fillId="0" borderId="4" xfId="0" applyNumberFormat="1" applyFont="1" applyBorder="1" applyAlignment="1">
      <alignment horizontal="center" vertical="center" wrapText="1"/>
    </xf>
    <xf numFmtId="0" fontId="4" fillId="0" borderId="15" xfId="0" applyFont="1" applyBorder="1"/>
    <xf numFmtId="49" fontId="2" fillId="3" borderId="1" xfId="0" applyNumberFormat="1" applyFont="1" applyFill="1" applyBorder="1" applyAlignment="1">
      <alignment vertical="center" wrapText="1"/>
    </xf>
    <xf numFmtId="49" fontId="2" fillId="0" borderId="1" xfId="0" applyNumberFormat="1" applyFont="1" applyBorder="1" applyAlignment="1">
      <alignment vertical="center" wrapText="1"/>
    </xf>
    <xf numFmtId="9" fontId="2" fillId="3" borderId="1" xfId="0" applyNumberFormat="1" applyFont="1" applyFill="1" applyBorder="1" applyAlignment="1">
      <alignment horizontal="center" vertical="center" wrapText="1"/>
    </xf>
    <xf numFmtId="0" fontId="3" fillId="2" borderId="1" xfId="0" applyFont="1" applyFill="1" applyBorder="1" applyAlignment="1">
      <alignment horizontal="right" vertical="center" wrapText="1"/>
    </xf>
    <xf numFmtId="164" fontId="2" fillId="3" borderId="1" xfId="0" applyNumberFormat="1" applyFont="1" applyFill="1" applyBorder="1" applyAlignment="1">
      <alignment horizontal="left" vertical="center" wrapText="1"/>
    </xf>
    <xf numFmtId="0" fontId="3" fillId="2" borderId="4" xfId="0" applyFont="1" applyFill="1" applyBorder="1" applyAlignment="1">
      <alignment horizontal="right" vertical="center" wrapText="1"/>
    </xf>
    <xf numFmtId="164" fontId="2" fillId="0" borderId="1" xfId="0" applyNumberFormat="1" applyFont="1" applyBorder="1" applyAlignment="1">
      <alignment horizontal="left" vertical="center" wrapText="1"/>
    </xf>
    <xf numFmtId="0" fontId="2" fillId="0" borderId="1" xfId="0" applyFont="1" applyBorder="1" applyAlignment="1">
      <alignment horizontal="left" vertical="center" wrapText="1"/>
    </xf>
    <xf numFmtId="0" fontId="2" fillId="0" borderId="0" xfId="0" applyFont="1" applyAlignment="1">
      <alignment horizontal="right" vertical="center" wrapText="1"/>
    </xf>
    <xf numFmtId="0" fontId="2"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Madalin\Downloads\FD%20AIA%20-%203.xlsx" TargetMode="External"/><Relationship Id="rId1" Type="http://schemas.openxmlformats.org/officeDocument/2006/relationships/externalLinkPath" Target="/Users/Madalin/Downloads/FD%20AIA%20-%20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odel"/>
      <sheetName val="TS"/>
      <sheetName val="SMP"/>
      <sheetName val="SAE"/>
      <sheetName val="BD"/>
      <sheetName val="ROB"/>
      <sheetName val="SED"/>
      <sheetName val="IS"/>
      <sheetName val="AC"/>
      <sheetName val="LE III"/>
      <sheetName val="PD"/>
      <sheetName val="PS"/>
      <sheetName val="MAE"/>
      <sheetName val="EHP"/>
      <sheetName val="ISP"/>
      <sheetName val="PIP"/>
      <sheetName val="SVA"/>
      <sheetName val="SAIP"/>
      <sheetName val="PNS"/>
      <sheetName val="MAP"/>
      <sheetName val="SAE-Pr"/>
      <sheetName val="SAIP-Pr"/>
      <sheetName val="PIP-Pr"/>
      <sheetName val="EA"/>
      <sheetName val="Dat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ow r="1">
          <cell r="C1" t="str">
            <v>Anul universitar: 2025-2026</v>
          </cell>
        </row>
        <row r="2">
          <cell r="B2" t="str">
            <v>Ingineria sistemelor</v>
          </cell>
        </row>
        <row r="3">
          <cell r="B3" t="str">
            <v>Licență</v>
          </cell>
        </row>
        <row r="4">
          <cell r="B4">
            <v>3</v>
          </cell>
        </row>
        <row r="5">
          <cell r="C5" t="str">
            <v>Automatică și Informatică Aplicată</v>
          </cell>
        </row>
        <row r="8">
          <cell r="A8">
            <v>1</v>
          </cell>
          <cell r="C8" t="str">
            <v>Teoria sistemelor</v>
          </cell>
          <cell r="D8" t="str">
            <v>Systems Theory</v>
          </cell>
          <cell r="E8" t="str">
            <v>AIA301</v>
          </cell>
          <cell r="F8" t="str">
            <v>DI</v>
          </cell>
          <cell r="G8" t="str">
            <v>DD</v>
          </cell>
          <cell r="H8">
            <v>2</v>
          </cell>
          <cell r="I8">
            <v>0</v>
          </cell>
          <cell r="J8">
            <v>2</v>
          </cell>
          <cell r="K8">
            <v>0</v>
          </cell>
          <cell r="L8">
            <v>44</v>
          </cell>
          <cell r="M8" t="str">
            <v>E</v>
          </cell>
          <cell r="N8">
            <v>4</v>
          </cell>
        </row>
        <row r="9">
          <cell r="A9">
            <v>1</v>
          </cell>
          <cell r="C9" t="str">
            <v>Sisteme cu microprocesoare</v>
          </cell>
          <cell r="D9" t="str">
            <v>Microprocessor Based Systems</v>
          </cell>
          <cell r="E9" t="str">
            <v>AIA302</v>
          </cell>
          <cell r="F9" t="str">
            <v>DI</v>
          </cell>
          <cell r="G9" t="str">
            <v>DD</v>
          </cell>
          <cell r="H9">
            <v>2</v>
          </cell>
          <cell r="I9">
            <v>0</v>
          </cell>
          <cell r="J9">
            <v>2</v>
          </cell>
          <cell r="K9">
            <v>0</v>
          </cell>
          <cell r="L9">
            <v>69</v>
          </cell>
          <cell r="M9" t="str">
            <v>C</v>
          </cell>
          <cell r="N9">
            <v>5</v>
          </cell>
        </row>
        <row r="10">
          <cell r="A10">
            <v>1</v>
          </cell>
          <cell r="C10" t="str">
            <v>Sisteme automate cu eșantionare</v>
          </cell>
          <cell r="D10" t="str">
            <v>Sampled Data Control Systems</v>
          </cell>
          <cell r="E10" t="str">
            <v>AIA303</v>
          </cell>
          <cell r="F10" t="str">
            <v>DI</v>
          </cell>
          <cell r="G10" t="str">
            <v>DD</v>
          </cell>
          <cell r="H10">
            <v>2</v>
          </cell>
          <cell r="I10">
            <v>0</v>
          </cell>
          <cell r="J10">
            <v>2</v>
          </cell>
          <cell r="K10">
            <v>0</v>
          </cell>
          <cell r="L10">
            <v>44</v>
          </cell>
          <cell r="M10" t="str">
            <v>C</v>
          </cell>
          <cell r="N10">
            <v>4</v>
          </cell>
        </row>
        <row r="11">
          <cell r="A11">
            <v>1</v>
          </cell>
          <cell r="C11" t="str">
            <v>Baze de date</v>
          </cell>
          <cell r="D11" t="str">
            <v>Database Systems</v>
          </cell>
          <cell r="E11" t="str">
            <v>AIA304</v>
          </cell>
          <cell r="F11" t="str">
            <v>DI</v>
          </cell>
          <cell r="G11" t="str">
            <v>DD</v>
          </cell>
          <cell r="H11">
            <v>2</v>
          </cell>
          <cell r="I11">
            <v>0</v>
          </cell>
          <cell r="J11">
            <v>2</v>
          </cell>
          <cell r="K11">
            <v>0</v>
          </cell>
          <cell r="L11">
            <v>69</v>
          </cell>
          <cell r="M11" t="str">
            <v>E</v>
          </cell>
          <cell r="N11">
            <v>5</v>
          </cell>
        </row>
        <row r="12">
          <cell r="A12">
            <v>2</v>
          </cell>
          <cell r="C12" t="str">
            <v>Robotică</v>
          </cell>
          <cell r="D12" t="str">
            <v>Robotics</v>
          </cell>
          <cell r="E12" t="str">
            <v>AIA305</v>
          </cell>
          <cell r="F12" t="str">
            <v>DI</v>
          </cell>
          <cell r="G12" t="str">
            <v>DD</v>
          </cell>
          <cell r="H12">
            <v>2</v>
          </cell>
          <cell r="I12">
            <v>0</v>
          </cell>
          <cell r="J12">
            <v>2</v>
          </cell>
          <cell r="K12">
            <v>0</v>
          </cell>
          <cell r="L12">
            <v>44</v>
          </cell>
          <cell r="M12" t="str">
            <v>E</v>
          </cell>
          <cell r="N12">
            <v>4</v>
          </cell>
        </row>
        <row r="13">
          <cell r="A13">
            <v>2</v>
          </cell>
          <cell r="C13" t="str">
            <v>Sisteme cu evenimente discrete</v>
          </cell>
          <cell r="D13" t="str">
            <v>Discrete Event Systems</v>
          </cell>
          <cell r="E13" t="str">
            <v>AIA306</v>
          </cell>
          <cell r="F13" t="str">
            <v>DI</v>
          </cell>
          <cell r="G13" t="str">
            <v>DD</v>
          </cell>
          <cell r="H13">
            <v>2</v>
          </cell>
          <cell r="I13">
            <v>0</v>
          </cell>
          <cell r="J13">
            <v>2</v>
          </cell>
          <cell r="K13">
            <v>0</v>
          </cell>
          <cell r="L13">
            <v>19</v>
          </cell>
          <cell r="M13" t="str">
            <v>C</v>
          </cell>
          <cell r="N13">
            <v>3</v>
          </cell>
        </row>
        <row r="14">
          <cell r="A14">
            <v>2</v>
          </cell>
          <cell r="C14" t="str">
            <v>Identificarea sistemelor</v>
          </cell>
          <cell r="D14" t="str">
            <v>Systems Identification</v>
          </cell>
          <cell r="E14" t="str">
            <v>AIA307</v>
          </cell>
          <cell r="F14" t="str">
            <v>DI</v>
          </cell>
          <cell r="G14" t="str">
            <v>DD</v>
          </cell>
          <cell r="H14">
            <v>2</v>
          </cell>
          <cell r="I14">
            <v>0</v>
          </cell>
          <cell r="J14">
            <v>2</v>
          </cell>
          <cell r="K14">
            <v>0</v>
          </cell>
          <cell r="L14">
            <v>44</v>
          </cell>
          <cell r="M14" t="str">
            <v>E</v>
          </cell>
          <cell r="N14">
            <v>4</v>
          </cell>
        </row>
        <row r="15">
          <cell r="A15">
            <v>2</v>
          </cell>
          <cell r="C15" t="str">
            <v>Arhitecturi de calculatoare</v>
          </cell>
          <cell r="D15" t="str">
            <v>Computer Architectures</v>
          </cell>
          <cell r="E15" t="str">
            <v>AIA308</v>
          </cell>
          <cell r="F15" t="str">
            <v>DI</v>
          </cell>
          <cell r="G15" t="str">
            <v>DD</v>
          </cell>
          <cell r="H15">
            <v>2</v>
          </cell>
          <cell r="I15">
            <v>0</v>
          </cell>
          <cell r="J15">
            <v>2</v>
          </cell>
          <cell r="K15">
            <v>0</v>
          </cell>
          <cell r="L15">
            <v>19</v>
          </cell>
          <cell r="M15" t="str">
            <v>C</v>
          </cell>
          <cell r="N15">
            <v>3</v>
          </cell>
        </row>
        <row r="16">
          <cell r="A16">
            <v>1</v>
          </cell>
          <cell r="C16" t="str">
            <v>Limba engleză III</v>
          </cell>
          <cell r="D16" t="str">
            <v>The English Language III</v>
          </cell>
          <cell r="E16" t="str">
            <v>AIA309</v>
          </cell>
          <cell r="F16" t="str">
            <v>DI</v>
          </cell>
          <cell r="G16" t="str">
            <v>DC</v>
          </cell>
          <cell r="H16">
            <v>1</v>
          </cell>
          <cell r="I16">
            <v>1</v>
          </cell>
          <cell r="J16">
            <v>0</v>
          </cell>
          <cell r="K16">
            <v>0</v>
          </cell>
          <cell r="L16">
            <v>22</v>
          </cell>
          <cell r="M16" t="str">
            <v>C</v>
          </cell>
          <cell r="N16">
            <v>2</v>
          </cell>
        </row>
        <row r="17">
          <cell r="A17">
            <v>2</v>
          </cell>
          <cell r="C17" t="str">
            <v>Practică de domeniu</v>
          </cell>
          <cell r="D17" t="str">
            <v>Practical Training in Systems Engineering</v>
          </cell>
          <cell r="E17" t="str">
            <v>AIA310</v>
          </cell>
          <cell r="F17" t="str">
            <v>DI</v>
          </cell>
          <cell r="G17" t="str">
            <v>DD</v>
          </cell>
          <cell r="H17">
            <v>0</v>
          </cell>
          <cell r="I17">
            <v>0</v>
          </cell>
          <cell r="J17">
            <v>0</v>
          </cell>
          <cell r="K17">
            <v>0</v>
          </cell>
          <cell r="L17">
            <v>10</v>
          </cell>
          <cell r="M17" t="str">
            <v>C</v>
          </cell>
          <cell r="N17">
            <v>4</v>
          </cell>
        </row>
        <row r="18">
          <cell r="A18">
            <v>2</v>
          </cell>
          <cell r="C18" t="str">
            <v>Practică de specialitate</v>
          </cell>
          <cell r="D18" t="str">
            <v>Practical Training in Automatic Control and Applied Informatics</v>
          </cell>
          <cell r="E18" t="str">
            <v>AIA311</v>
          </cell>
          <cell r="F18" t="str">
            <v>DI</v>
          </cell>
          <cell r="G18" t="str">
            <v>DS</v>
          </cell>
          <cell r="H18">
            <v>0</v>
          </cell>
          <cell r="I18">
            <v>0</v>
          </cell>
          <cell r="J18">
            <v>0</v>
          </cell>
          <cell r="K18">
            <v>0</v>
          </cell>
          <cell r="L18">
            <v>10</v>
          </cell>
          <cell r="M18" t="str">
            <v>C</v>
          </cell>
          <cell r="N18">
            <v>4</v>
          </cell>
        </row>
        <row r="19">
          <cell r="A19">
            <v>1</v>
          </cell>
          <cell r="C19" t="str">
            <v>Mașini și acționări electrice</v>
          </cell>
          <cell r="D19" t="str">
            <v>Electrical Machines and Drive Systems</v>
          </cell>
          <cell r="E19" t="str">
            <v>A312</v>
          </cell>
          <cell r="F19" t="str">
            <v>DO</v>
          </cell>
          <cell r="G19" t="str">
            <v>DD</v>
          </cell>
          <cell r="H19">
            <v>2</v>
          </cell>
          <cell r="I19">
            <v>0</v>
          </cell>
          <cell r="J19">
            <v>2</v>
          </cell>
          <cell r="K19">
            <v>0</v>
          </cell>
          <cell r="L19">
            <v>69</v>
          </cell>
          <cell r="M19" t="str">
            <v>E</v>
          </cell>
          <cell r="N19">
            <v>5</v>
          </cell>
        </row>
        <row r="20">
          <cell r="A20">
            <v>1</v>
          </cell>
          <cell r="C20" t="str">
            <v>Echipamente hidropneumatice</v>
          </cell>
          <cell r="D20" t="str">
            <v>Hydraulic and Pneumatic Control Systems</v>
          </cell>
          <cell r="E20" t="str">
            <v>A313</v>
          </cell>
          <cell r="F20" t="str">
            <v>DO</v>
          </cell>
          <cell r="G20" t="str">
            <v>DS</v>
          </cell>
          <cell r="H20">
            <v>2</v>
          </cell>
          <cell r="I20">
            <v>0</v>
          </cell>
          <cell r="J20">
            <v>2</v>
          </cell>
          <cell r="K20">
            <v>0</v>
          </cell>
          <cell r="L20">
            <v>69</v>
          </cell>
          <cell r="M20" t="str">
            <v>E</v>
          </cell>
          <cell r="N20">
            <v>5</v>
          </cell>
        </row>
        <row r="21">
          <cell r="A21">
            <v>1</v>
          </cell>
          <cell r="C21" t="str">
            <v>Ingineria sistemelor de programe</v>
          </cell>
          <cell r="D21" t="str">
            <v>Software Engineering</v>
          </cell>
          <cell r="E21" t="str">
            <v>IA314</v>
          </cell>
          <cell r="F21" t="str">
            <v>DO</v>
          </cell>
          <cell r="G21" t="str">
            <v>DD</v>
          </cell>
          <cell r="H21">
            <v>2</v>
          </cell>
          <cell r="I21">
            <v>0</v>
          </cell>
          <cell r="J21">
            <v>2</v>
          </cell>
          <cell r="K21">
            <v>0</v>
          </cell>
          <cell r="L21">
            <v>69</v>
          </cell>
          <cell r="M21" t="str">
            <v>E</v>
          </cell>
          <cell r="N21">
            <v>5</v>
          </cell>
        </row>
        <row r="33">
          <cell r="C33">
            <v>45915</v>
          </cell>
        </row>
        <row r="34">
          <cell r="C34">
            <v>45918</v>
          </cell>
        </row>
        <row r="35">
          <cell r="C35" t="str">
            <v>Conf.dr.ing. Mihai POSTOLACHE</v>
          </cell>
        </row>
        <row r="36">
          <cell r="C36" t="str">
            <v>Prof.univ.dr.ing. Adrian BURLACU</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DB36E5-D4BD-4BFB-9CA8-EF67E294257C}">
  <dimension ref="A1:N145"/>
  <sheetViews>
    <sheetView tabSelected="1" workbookViewId="0">
      <selection sqref="A1:XFD1048576"/>
    </sheetView>
  </sheetViews>
  <sheetFormatPr defaultColWidth="12.6328125" defaultRowHeight="14.5" x14ac:dyDescent="0.35"/>
  <cols>
    <col min="1" max="1" width="10.26953125" customWidth="1"/>
    <col min="2" max="2" width="27.7265625" customWidth="1"/>
    <col min="3" max="3" width="6.08984375" customWidth="1"/>
    <col min="4" max="4" width="14" customWidth="1"/>
    <col min="5" max="5" width="6.08984375" customWidth="1"/>
    <col min="6" max="6" width="10.453125" customWidth="1"/>
    <col min="7" max="7" width="8.36328125" customWidth="1"/>
    <col min="8" max="8" width="14.453125" customWidth="1"/>
    <col min="9" max="9" width="6.08984375" customWidth="1"/>
    <col min="11" max="12" width="7" customWidth="1"/>
    <col min="13" max="13" width="8" customWidth="1"/>
  </cols>
  <sheetData>
    <row r="1" spans="1:14" ht="18" x14ac:dyDescent="0.35">
      <c r="A1" s="1" t="s">
        <v>0</v>
      </c>
      <c r="B1" s="2"/>
      <c r="C1" s="2"/>
      <c r="D1" s="2"/>
      <c r="E1" s="2"/>
      <c r="F1" s="2"/>
      <c r="G1" s="2"/>
      <c r="H1" s="2"/>
      <c r="I1" s="2"/>
      <c r="J1" s="2"/>
      <c r="K1" s="2"/>
      <c r="L1" s="2"/>
      <c r="M1" s="2"/>
      <c r="N1" s="3"/>
    </row>
    <row r="2" spans="1:14" ht="15.5" x14ac:dyDescent="0.35">
      <c r="A2" s="4" t="str">
        <f>[1]Date!C1</f>
        <v>Anul universitar: 2025-2026</v>
      </c>
      <c r="B2" s="2"/>
      <c r="C2" s="2"/>
      <c r="D2" s="2"/>
      <c r="E2" s="2"/>
      <c r="F2" s="2"/>
      <c r="G2" s="2"/>
      <c r="H2" s="2"/>
      <c r="I2" s="2"/>
      <c r="J2" s="2"/>
      <c r="K2" s="2"/>
      <c r="L2" s="2"/>
      <c r="M2" s="2"/>
      <c r="N2" s="5"/>
    </row>
    <row r="3" spans="1:14" ht="15.5" x14ac:dyDescent="0.35">
      <c r="A3" s="6" t="s">
        <v>1</v>
      </c>
      <c r="B3" s="2"/>
      <c r="C3" s="2"/>
      <c r="D3" s="2"/>
      <c r="E3" s="2"/>
      <c r="F3" s="2"/>
      <c r="G3" s="2"/>
      <c r="H3" s="2"/>
      <c r="I3" s="2"/>
      <c r="J3" s="2"/>
      <c r="K3" s="2"/>
      <c r="L3" s="2"/>
      <c r="M3" s="2"/>
      <c r="N3" s="5"/>
    </row>
    <row r="4" spans="1:14" ht="15.5" x14ac:dyDescent="0.35">
      <c r="A4" s="7" t="s">
        <v>2</v>
      </c>
      <c r="B4" s="8"/>
      <c r="C4" s="9" t="s">
        <v>3</v>
      </c>
      <c r="D4" s="8"/>
      <c r="E4" s="8"/>
      <c r="F4" s="8"/>
      <c r="G4" s="8"/>
      <c r="H4" s="8"/>
      <c r="I4" s="8"/>
      <c r="J4" s="8"/>
      <c r="K4" s="8"/>
      <c r="L4" s="8"/>
      <c r="M4" s="10"/>
      <c r="N4" s="5"/>
    </row>
    <row r="5" spans="1:14" ht="15.5" x14ac:dyDescent="0.35">
      <c r="A5" s="7" t="s">
        <v>4</v>
      </c>
      <c r="B5" s="10"/>
      <c r="C5" s="9" t="s">
        <v>5</v>
      </c>
      <c r="D5" s="8"/>
      <c r="E5" s="8"/>
      <c r="F5" s="8"/>
      <c r="G5" s="8"/>
      <c r="H5" s="8"/>
      <c r="I5" s="8"/>
      <c r="J5" s="8"/>
      <c r="K5" s="8"/>
      <c r="L5" s="8"/>
      <c r="M5" s="10"/>
      <c r="N5" s="5"/>
    </row>
    <row r="6" spans="1:14" ht="15.5" x14ac:dyDescent="0.35">
      <c r="A6" s="7" t="s">
        <v>6</v>
      </c>
      <c r="B6" s="10"/>
      <c r="C6" s="9" t="s">
        <v>7</v>
      </c>
      <c r="D6" s="8"/>
      <c r="E6" s="8"/>
      <c r="F6" s="8"/>
      <c r="G6" s="8"/>
      <c r="H6" s="8"/>
      <c r="I6" s="8"/>
      <c r="J6" s="8"/>
      <c r="K6" s="8"/>
      <c r="L6" s="8"/>
      <c r="M6" s="10"/>
      <c r="N6" s="5"/>
    </row>
    <row r="7" spans="1:14" ht="15.5" x14ac:dyDescent="0.35">
      <c r="A7" s="7" t="s">
        <v>8</v>
      </c>
      <c r="B7" s="10"/>
      <c r="C7" s="9" t="str">
        <f>[1]Date!B2</f>
        <v>Ingineria sistemelor</v>
      </c>
      <c r="D7" s="8"/>
      <c r="E7" s="8"/>
      <c r="F7" s="8"/>
      <c r="G7" s="8"/>
      <c r="H7" s="8"/>
      <c r="I7" s="8"/>
      <c r="J7" s="8"/>
      <c r="K7" s="8"/>
      <c r="L7" s="8"/>
      <c r="M7" s="10"/>
      <c r="N7" s="5"/>
    </row>
    <row r="8" spans="1:14" ht="15.5" x14ac:dyDescent="0.35">
      <c r="A8" s="7" t="s">
        <v>9</v>
      </c>
      <c r="B8" s="10"/>
      <c r="C8" s="9" t="str">
        <f>[1]Date!B3</f>
        <v>Licență</v>
      </c>
      <c r="D8" s="8"/>
      <c r="E8" s="8"/>
      <c r="F8" s="8"/>
      <c r="G8" s="8"/>
      <c r="H8" s="8"/>
      <c r="I8" s="8"/>
      <c r="J8" s="8"/>
      <c r="K8" s="8"/>
      <c r="L8" s="8"/>
      <c r="M8" s="10"/>
      <c r="N8" s="5"/>
    </row>
    <row r="9" spans="1:14" ht="15.5" x14ac:dyDescent="0.35">
      <c r="A9" s="11" t="s">
        <v>10</v>
      </c>
      <c r="B9" s="10"/>
      <c r="C9" s="9" t="str">
        <f>[1]Date!C5</f>
        <v>Automatică și Informatică Aplicată</v>
      </c>
      <c r="D9" s="8"/>
      <c r="E9" s="8"/>
      <c r="F9" s="8"/>
      <c r="G9" s="8"/>
      <c r="H9" s="8"/>
      <c r="I9" s="8"/>
      <c r="J9" s="8"/>
      <c r="K9" s="8"/>
      <c r="L9" s="8"/>
      <c r="M9" s="10"/>
      <c r="N9" s="5"/>
    </row>
    <row r="10" spans="1:14" ht="15.5" x14ac:dyDescent="0.35">
      <c r="A10" s="12"/>
      <c r="B10" s="2"/>
      <c r="C10" s="2"/>
      <c r="D10" s="2"/>
      <c r="E10" s="2"/>
      <c r="F10" s="2"/>
      <c r="G10" s="2"/>
      <c r="H10" s="2"/>
      <c r="I10" s="2"/>
      <c r="J10" s="2"/>
      <c r="K10" s="2"/>
      <c r="L10" s="2"/>
      <c r="M10" s="2"/>
      <c r="N10" s="5"/>
    </row>
    <row r="11" spans="1:14" ht="15.5" x14ac:dyDescent="0.35">
      <c r="A11" s="6" t="s">
        <v>11</v>
      </c>
      <c r="B11" s="2"/>
      <c r="C11" s="2"/>
      <c r="D11" s="2"/>
      <c r="E11" s="2"/>
      <c r="F11" s="2"/>
      <c r="G11" s="2"/>
      <c r="H11" s="2"/>
      <c r="I11" s="2"/>
      <c r="J11" s="2"/>
      <c r="K11" s="2"/>
      <c r="L11" s="2"/>
      <c r="M11" s="2"/>
      <c r="N11" s="5"/>
    </row>
    <row r="12" spans="1:14" ht="15.5" x14ac:dyDescent="0.35">
      <c r="A12" s="13" t="s">
        <v>12</v>
      </c>
      <c r="B12" s="14"/>
      <c r="C12" s="14"/>
      <c r="D12" s="15"/>
      <c r="E12" s="16" t="s">
        <v>13</v>
      </c>
      <c r="F12" s="14"/>
      <c r="G12" s="14"/>
      <c r="H12" s="14"/>
      <c r="I12" s="14"/>
      <c r="J12" s="14"/>
      <c r="K12" s="14"/>
      <c r="L12" s="14"/>
      <c r="M12" s="15"/>
      <c r="N12" s="5"/>
    </row>
    <row r="13" spans="1:14" ht="15.5" x14ac:dyDescent="0.35">
      <c r="A13" s="17" t="s">
        <v>14</v>
      </c>
      <c r="B13" s="18"/>
      <c r="C13" s="18"/>
      <c r="D13" s="19"/>
      <c r="E13" s="20" t="str">
        <f t="array" aca="1" ref="E13" ca="1">INDEX([1]Date!D8:D21, MATCH(E12,[1]Date!C8:C21,0),0)</f>
        <v>The English Language III</v>
      </c>
      <c r="F13" s="18"/>
      <c r="G13" s="18"/>
      <c r="H13" s="18"/>
      <c r="I13" s="18"/>
      <c r="J13" s="18"/>
      <c r="K13" s="18"/>
      <c r="L13" s="18"/>
      <c r="M13" s="19"/>
      <c r="N13" s="5"/>
    </row>
    <row r="14" spans="1:14" ht="15.5" x14ac:dyDescent="0.35">
      <c r="A14" s="7" t="s">
        <v>15</v>
      </c>
      <c r="B14" s="8"/>
      <c r="C14" s="8"/>
      <c r="D14" s="10"/>
      <c r="E14" s="21" t="str">
        <f t="array" aca="1" ref="E14" ca="1">INDEX([1]Date!E8:E21, MATCH(E12,[1]Date!C8:C21,0),0)</f>
        <v>AIA309</v>
      </c>
      <c r="F14" s="18"/>
      <c r="G14" s="18"/>
      <c r="H14" s="18"/>
      <c r="I14" s="7" t="s">
        <v>16</v>
      </c>
      <c r="J14" s="8"/>
      <c r="K14" s="8"/>
      <c r="L14" s="10"/>
      <c r="M14" s="22" t="str">
        <f t="array" aca="1" ref="M14" ca="1">INDEX([1]Date!G8:G21, MATCH(E12,[1]Date!C8:C21,0),0)</f>
        <v>DC</v>
      </c>
      <c r="N14" s="5"/>
    </row>
    <row r="15" spans="1:14" ht="15.5" x14ac:dyDescent="0.35">
      <c r="A15" s="13" t="s">
        <v>17</v>
      </c>
      <c r="B15" s="14"/>
      <c r="C15" s="14"/>
      <c r="D15" s="15"/>
      <c r="E15" s="23" t="s">
        <v>18</v>
      </c>
      <c r="F15" s="8"/>
      <c r="G15" s="8"/>
      <c r="H15" s="8"/>
      <c r="I15" s="8"/>
      <c r="J15" s="8"/>
      <c r="K15" s="8"/>
      <c r="L15" s="8"/>
      <c r="M15" s="10"/>
      <c r="N15" s="5"/>
    </row>
    <row r="16" spans="1:14" ht="15.5" x14ac:dyDescent="0.35">
      <c r="A16" s="24"/>
      <c r="B16" s="18"/>
      <c r="C16" s="18"/>
      <c r="D16" s="19"/>
      <c r="E16" s="23"/>
      <c r="F16" s="8"/>
      <c r="G16" s="8"/>
      <c r="H16" s="8"/>
      <c r="I16" s="8"/>
      <c r="J16" s="8"/>
      <c r="K16" s="8"/>
      <c r="L16" s="8"/>
      <c r="M16" s="10"/>
      <c r="N16" s="5"/>
    </row>
    <row r="17" spans="1:14" ht="15.5" x14ac:dyDescent="0.35">
      <c r="A17" s="13" t="s">
        <v>19</v>
      </c>
      <c r="B17" s="14"/>
      <c r="C17" s="14"/>
      <c r="D17" s="15"/>
      <c r="E17" s="23" t="s">
        <v>18</v>
      </c>
      <c r="F17" s="8"/>
      <c r="G17" s="8"/>
      <c r="H17" s="8"/>
      <c r="I17" s="8"/>
      <c r="J17" s="8"/>
      <c r="K17" s="8"/>
      <c r="L17" s="8"/>
      <c r="M17" s="10"/>
      <c r="N17" s="5"/>
    </row>
    <row r="18" spans="1:14" ht="15.5" x14ac:dyDescent="0.35">
      <c r="A18" s="25"/>
      <c r="B18" s="2"/>
      <c r="C18" s="2"/>
      <c r="D18" s="26"/>
      <c r="E18" s="23"/>
      <c r="F18" s="8"/>
      <c r="G18" s="8"/>
      <c r="H18" s="8"/>
      <c r="I18" s="8"/>
      <c r="J18" s="8"/>
      <c r="K18" s="8"/>
      <c r="L18" s="8"/>
      <c r="M18" s="10"/>
      <c r="N18" s="5"/>
    </row>
    <row r="19" spans="1:14" ht="15.5" hidden="1" x14ac:dyDescent="0.35">
      <c r="A19" s="25"/>
      <c r="B19" s="2"/>
      <c r="C19" s="2"/>
      <c r="D19" s="26"/>
      <c r="E19" s="23"/>
      <c r="F19" s="8"/>
      <c r="G19" s="8"/>
      <c r="H19" s="8"/>
      <c r="I19" s="8"/>
      <c r="J19" s="8"/>
      <c r="K19" s="8"/>
      <c r="L19" s="8"/>
      <c r="M19" s="10"/>
      <c r="N19" s="5"/>
    </row>
    <row r="20" spans="1:14" ht="15.5" hidden="1" x14ac:dyDescent="0.35">
      <c r="A20" s="25"/>
      <c r="B20" s="2"/>
      <c r="C20" s="2"/>
      <c r="D20" s="26"/>
      <c r="E20" s="23"/>
      <c r="F20" s="8"/>
      <c r="G20" s="8"/>
      <c r="H20" s="8"/>
      <c r="I20" s="8"/>
      <c r="J20" s="8"/>
      <c r="K20" s="8"/>
      <c r="L20" s="8"/>
      <c r="M20" s="10"/>
      <c r="N20" s="5"/>
    </row>
    <row r="21" spans="1:14" ht="15.5" hidden="1" x14ac:dyDescent="0.35">
      <c r="A21" s="25"/>
      <c r="B21" s="2"/>
      <c r="C21" s="2"/>
      <c r="D21" s="26"/>
      <c r="E21" s="23"/>
      <c r="F21" s="8"/>
      <c r="G21" s="8"/>
      <c r="H21" s="8"/>
      <c r="I21" s="8"/>
      <c r="J21" s="8"/>
      <c r="K21" s="8"/>
      <c r="L21" s="8"/>
      <c r="M21" s="10"/>
      <c r="N21" s="5"/>
    </row>
    <row r="22" spans="1:14" ht="15.5" hidden="1" x14ac:dyDescent="0.35">
      <c r="A22" s="24"/>
      <c r="B22" s="18"/>
      <c r="C22" s="18"/>
      <c r="D22" s="19"/>
      <c r="E22" s="23"/>
      <c r="F22" s="8"/>
      <c r="G22" s="8"/>
      <c r="H22" s="8"/>
      <c r="I22" s="8"/>
      <c r="J22" s="8"/>
      <c r="K22" s="8"/>
      <c r="L22" s="8"/>
      <c r="M22" s="10"/>
      <c r="N22" s="5"/>
    </row>
    <row r="23" spans="1:14" ht="31" x14ac:dyDescent="0.35">
      <c r="A23" s="7" t="s">
        <v>20</v>
      </c>
      <c r="B23" s="10"/>
      <c r="C23" s="27">
        <f>[1]Date!B4</f>
        <v>3</v>
      </c>
      <c r="D23" s="28" t="s">
        <v>21</v>
      </c>
      <c r="E23" s="27">
        <f t="array" aca="1" ref="E23" ca="1">INDEX([1]Date!A8:A21, MATCH(E12,[1]Date!C8:C21,0),0)</f>
        <v>1</v>
      </c>
      <c r="F23" s="29" t="s">
        <v>22</v>
      </c>
      <c r="G23" s="8"/>
      <c r="H23" s="10"/>
      <c r="I23" s="22" t="str">
        <f t="array" aca="1" ref="I23" ca="1">INDEX([1]Date!M8:M21, MATCH(E12,[1]Date!C8:C21,0),0)</f>
        <v>C</v>
      </c>
      <c r="J23" s="29" t="s">
        <v>23</v>
      </c>
      <c r="K23" s="8"/>
      <c r="L23" s="10"/>
      <c r="M23" s="27" t="str">
        <f t="array" aca="1" ref="M23" ca="1">INDEX([1]Date!F8:F21, MATCH(E12,[1]Date!C8:C21,0),0)</f>
        <v>DI</v>
      </c>
      <c r="N23" s="5"/>
    </row>
    <row r="24" spans="1:14" ht="15.5" x14ac:dyDescent="0.35">
      <c r="A24" s="12"/>
      <c r="B24" s="2"/>
      <c r="C24" s="2"/>
      <c r="D24" s="2"/>
      <c r="E24" s="2"/>
      <c r="F24" s="2"/>
      <c r="G24" s="2"/>
      <c r="H24" s="2"/>
      <c r="I24" s="2"/>
      <c r="J24" s="2"/>
      <c r="K24" s="2"/>
      <c r="L24" s="2"/>
      <c r="M24" s="2"/>
      <c r="N24" s="5"/>
    </row>
    <row r="25" spans="1:14" ht="15.5" x14ac:dyDescent="0.35">
      <c r="A25" s="6" t="s">
        <v>24</v>
      </c>
      <c r="B25" s="2"/>
      <c r="C25" s="2"/>
      <c r="D25" s="2"/>
      <c r="E25" s="2"/>
      <c r="F25" s="2"/>
      <c r="G25" s="2"/>
      <c r="H25" s="2"/>
      <c r="I25" s="2"/>
      <c r="J25" s="2"/>
      <c r="K25" s="2"/>
      <c r="L25" s="2"/>
      <c r="M25" s="2"/>
      <c r="N25" s="30"/>
    </row>
    <row r="26" spans="1:14" ht="31" x14ac:dyDescent="0.35">
      <c r="A26" s="7" t="s">
        <v>25</v>
      </c>
      <c r="B26" s="10"/>
      <c r="C26" s="31">
        <f ca="1">SUM(E26+G26+I26+K26)</f>
        <v>2</v>
      </c>
      <c r="D26" s="28" t="s">
        <v>26</v>
      </c>
      <c r="E26" s="27">
        <f t="array" aca="1" ref="E26" ca="1">INDEX([1]Date!H8:H21, MATCH(E12,[1]Date!C8:C21,0),0)</f>
        <v>1</v>
      </c>
      <c r="F26" s="28" t="s">
        <v>27</v>
      </c>
      <c r="G26" s="27">
        <f t="array" aca="1" ref="G26" ca="1">INDEX([1]Date!I8:I21, MATCH(E12,[1]Date!C8:C21,0),0)</f>
        <v>1</v>
      </c>
      <c r="H26" s="28" t="s">
        <v>28</v>
      </c>
      <c r="I26" s="31">
        <f t="array" aca="1" ref="I26" ca="1">INDEX([1]Date!J8:J21, MATCH(E12,[1]Date!C8:C21,0),0)</f>
        <v>0</v>
      </c>
      <c r="J26" s="28" t="s">
        <v>29</v>
      </c>
      <c r="K26" s="27">
        <f t="array" aca="1" ref="K26" ca="1">INDEX([1]Date!K8:K21, MATCH(E12,[1]Date!C8:C21,0),0)</f>
        <v>0</v>
      </c>
      <c r="L26" s="7" t="s">
        <v>30</v>
      </c>
      <c r="M26" s="10"/>
      <c r="N26" s="30"/>
    </row>
    <row r="27" spans="1:14" ht="31" x14ac:dyDescent="0.35">
      <c r="A27" s="7" t="s">
        <v>31</v>
      </c>
      <c r="B27" s="10"/>
      <c r="C27" s="27">
        <f ca="1">C26*14</f>
        <v>28</v>
      </c>
      <c r="D27" s="28" t="s">
        <v>32</v>
      </c>
      <c r="E27" s="27">
        <f ca="1">E26*14</f>
        <v>14</v>
      </c>
      <c r="F27" s="28" t="s">
        <v>33</v>
      </c>
      <c r="G27" s="27">
        <f ca="1">G26*14</f>
        <v>14</v>
      </c>
      <c r="H27" s="28" t="s">
        <v>34</v>
      </c>
      <c r="I27" s="27">
        <f ca="1">I26*14</f>
        <v>0</v>
      </c>
      <c r="J27" s="28" t="s">
        <v>35</v>
      </c>
      <c r="K27" s="27">
        <f ca="1">K26*14</f>
        <v>0</v>
      </c>
      <c r="L27" s="28" t="s">
        <v>36</v>
      </c>
      <c r="M27" s="27">
        <v>0</v>
      </c>
      <c r="N27" s="5"/>
    </row>
    <row r="28" spans="1:14" ht="15.5" x14ac:dyDescent="0.35">
      <c r="A28" s="7" t="s">
        <v>37</v>
      </c>
      <c r="B28" s="8"/>
      <c r="C28" s="8"/>
      <c r="D28" s="8"/>
      <c r="E28" s="8"/>
      <c r="F28" s="8"/>
      <c r="G28" s="8"/>
      <c r="H28" s="8"/>
      <c r="I28" s="8"/>
      <c r="J28" s="8"/>
      <c r="K28" s="8"/>
      <c r="L28" s="10"/>
      <c r="M28" s="27" t="s">
        <v>38</v>
      </c>
      <c r="N28" s="5"/>
    </row>
    <row r="29" spans="1:14" ht="15.5" x14ac:dyDescent="0.35">
      <c r="A29" s="7" t="s">
        <v>39</v>
      </c>
      <c r="B29" s="8"/>
      <c r="C29" s="8"/>
      <c r="D29" s="8"/>
      <c r="E29" s="8"/>
      <c r="F29" s="8"/>
      <c r="G29" s="8"/>
      <c r="H29" s="8"/>
      <c r="I29" s="8"/>
      <c r="J29" s="8"/>
      <c r="K29" s="8"/>
      <c r="L29" s="10"/>
      <c r="M29" s="32">
        <v>6</v>
      </c>
      <c r="N29" s="5"/>
    </row>
    <row r="30" spans="1:14" ht="15.5" x14ac:dyDescent="0.35">
      <c r="A30" s="7" t="s">
        <v>40</v>
      </c>
      <c r="B30" s="8"/>
      <c r="C30" s="8"/>
      <c r="D30" s="8"/>
      <c r="E30" s="8"/>
      <c r="F30" s="8"/>
      <c r="G30" s="8"/>
      <c r="H30" s="8"/>
      <c r="I30" s="8"/>
      <c r="J30" s="8"/>
      <c r="K30" s="8"/>
      <c r="L30" s="10"/>
      <c r="M30" s="32">
        <v>8</v>
      </c>
      <c r="N30" s="5"/>
    </row>
    <row r="31" spans="1:14" ht="15.5" x14ac:dyDescent="0.35">
      <c r="A31" s="7" t="s">
        <v>41</v>
      </c>
      <c r="B31" s="8"/>
      <c r="C31" s="8"/>
      <c r="D31" s="8"/>
      <c r="E31" s="8"/>
      <c r="F31" s="8"/>
      <c r="G31" s="8"/>
      <c r="H31" s="8"/>
      <c r="I31" s="8"/>
      <c r="J31" s="8"/>
      <c r="K31" s="8"/>
      <c r="L31" s="10"/>
      <c r="M31" s="32">
        <v>8</v>
      </c>
      <c r="N31" s="5"/>
    </row>
    <row r="32" spans="1:14" ht="15.5" x14ac:dyDescent="0.35">
      <c r="A32" s="7" t="s">
        <v>42</v>
      </c>
      <c r="B32" s="8"/>
      <c r="C32" s="8"/>
      <c r="D32" s="8"/>
      <c r="E32" s="8"/>
      <c r="F32" s="8"/>
      <c r="G32" s="8"/>
      <c r="H32" s="8"/>
      <c r="I32" s="8"/>
      <c r="J32" s="8"/>
      <c r="K32" s="8"/>
      <c r="L32" s="10"/>
      <c r="M32" s="27">
        <f t="array" aca="1" ref="M32" ca="1">IF(INDEX([1]Date!M8:M21, MATCH(E12,[1]Date!C8:C21,0),0)="E",3,0)</f>
        <v>0</v>
      </c>
      <c r="N32" s="5"/>
    </row>
    <row r="33" spans="1:14" ht="15.5" x14ac:dyDescent="0.35">
      <c r="A33" s="7" t="s">
        <v>43</v>
      </c>
      <c r="B33" s="8"/>
      <c r="C33" s="8"/>
      <c r="D33" s="8"/>
      <c r="E33" s="8"/>
      <c r="F33" s="8"/>
      <c r="G33" s="8"/>
      <c r="H33" s="8"/>
      <c r="I33" s="8"/>
      <c r="J33" s="8"/>
      <c r="K33" s="8"/>
      <c r="L33" s="10"/>
      <c r="M33" s="27">
        <f ca="1">C34-SUM(M29:M31)</f>
        <v>0</v>
      </c>
      <c r="N33" s="5"/>
    </row>
    <row r="34" spans="1:14" ht="15.5" x14ac:dyDescent="0.35">
      <c r="A34" s="7" t="s">
        <v>44</v>
      </c>
      <c r="B34" s="10"/>
      <c r="C34" s="27">
        <f t="array" aca="1" ref="C34" ca="1">INDEX([1]Date!L8:L21, MATCH(E12,[1]Date!C8:C21,0),0)</f>
        <v>22</v>
      </c>
      <c r="D34" s="5"/>
      <c r="E34" s="5"/>
      <c r="F34" s="5"/>
      <c r="G34" s="5"/>
      <c r="H34" s="5"/>
      <c r="I34" s="5"/>
      <c r="J34" s="5"/>
      <c r="K34" s="5"/>
      <c r="L34" s="5"/>
      <c r="M34" s="5"/>
      <c r="N34" s="5"/>
    </row>
    <row r="35" spans="1:14" ht="15.5" x14ac:dyDescent="0.35">
      <c r="A35" s="7" t="s">
        <v>45</v>
      </c>
      <c r="B35" s="10"/>
      <c r="C35" s="27">
        <f ca="1">C27+C34</f>
        <v>50</v>
      </c>
      <c r="D35" s="5"/>
      <c r="E35" s="5"/>
      <c r="F35" s="5"/>
      <c r="G35" s="5"/>
      <c r="H35" s="5"/>
      <c r="I35" s="5"/>
      <c r="J35" s="5"/>
      <c r="K35" s="5"/>
      <c r="L35" s="5"/>
      <c r="M35" s="5"/>
      <c r="N35" s="5"/>
    </row>
    <row r="36" spans="1:14" ht="15.5" x14ac:dyDescent="0.35">
      <c r="A36" s="7" t="s">
        <v>46</v>
      </c>
      <c r="B36" s="10"/>
      <c r="C36" s="27">
        <f t="array" aca="1" ref="C36" ca="1">INDEX([1]Date!N8:N21, MATCH(E12,[1]Date!C8:C21,0),0)</f>
        <v>2</v>
      </c>
      <c r="D36" s="5"/>
      <c r="E36" s="5"/>
      <c r="F36" s="5"/>
      <c r="G36" s="5"/>
      <c r="H36" s="5"/>
      <c r="I36" s="5"/>
      <c r="J36" s="5"/>
      <c r="K36" s="5"/>
      <c r="L36" s="5"/>
      <c r="M36" s="5"/>
      <c r="N36" s="5"/>
    </row>
    <row r="37" spans="1:14" ht="15.5" x14ac:dyDescent="0.35">
      <c r="A37" s="12"/>
      <c r="B37" s="2"/>
      <c r="C37" s="2"/>
      <c r="D37" s="2"/>
      <c r="E37" s="2"/>
      <c r="F37" s="2"/>
      <c r="G37" s="2"/>
      <c r="H37" s="2"/>
      <c r="I37" s="2"/>
      <c r="J37" s="2"/>
      <c r="K37" s="2"/>
      <c r="L37" s="2"/>
      <c r="M37" s="2"/>
      <c r="N37" s="5"/>
    </row>
    <row r="38" spans="1:14" ht="15.5" x14ac:dyDescent="0.35">
      <c r="A38" s="6" t="s">
        <v>47</v>
      </c>
      <c r="B38" s="2"/>
      <c r="C38" s="2"/>
      <c r="D38" s="2"/>
      <c r="E38" s="2"/>
      <c r="F38" s="2"/>
      <c r="G38" s="2"/>
      <c r="H38" s="2"/>
      <c r="I38" s="2"/>
      <c r="J38" s="2"/>
      <c r="K38" s="2"/>
      <c r="L38" s="2"/>
      <c r="M38" s="2"/>
      <c r="N38" s="30"/>
    </row>
    <row r="39" spans="1:14" ht="15.5" x14ac:dyDescent="0.35">
      <c r="A39" s="7" t="s">
        <v>48</v>
      </c>
      <c r="B39" s="10"/>
      <c r="C39" s="9" t="s">
        <v>49</v>
      </c>
      <c r="D39" s="8"/>
      <c r="E39" s="8"/>
      <c r="F39" s="8"/>
      <c r="G39" s="8"/>
      <c r="H39" s="8"/>
      <c r="I39" s="8"/>
      <c r="J39" s="8"/>
      <c r="K39" s="8"/>
      <c r="L39" s="8"/>
      <c r="M39" s="10"/>
      <c r="N39" s="30"/>
    </row>
    <row r="40" spans="1:14" ht="15.5" x14ac:dyDescent="0.35">
      <c r="A40" s="7" t="s">
        <v>50</v>
      </c>
      <c r="B40" s="10"/>
      <c r="C40" s="23" t="s">
        <v>51</v>
      </c>
      <c r="D40" s="8"/>
      <c r="E40" s="8"/>
      <c r="F40" s="8"/>
      <c r="G40" s="8"/>
      <c r="H40" s="8"/>
      <c r="I40" s="8"/>
      <c r="J40" s="8"/>
      <c r="K40" s="8"/>
      <c r="L40" s="8"/>
      <c r="M40" s="10"/>
      <c r="N40" s="5"/>
    </row>
    <row r="41" spans="1:14" ht="15.5" x14ac:dyDescent="0.35">
      <c r="A41" s="12"/>
      <c r="B41" s="2"/>
      <c r="C41" s="2"/>
      <c r="D41" s="2"/>
      <c r="E41" s="2"/>
      <c r="F41" s="2"/>
      <c r="G41" s="2"/>
      <c r="H41" s="2"/>
      <c r="I41" s="2"/>
      <c r="J41" s="2"/>
      <c r="K41" s="2"/>
      <c r="L41" s="2"/>
      <c r="M41" s="2"/>
      <c r="N41" s="5"/>
    </row>
    <row r="42" spans="1:14" ht="15.5" x14ac:dyDescent="0.35">
      <c r="A42" s="6" t="s">
        <v>52</v>
      </c>
      <c r="B42" s="2"/>
      <c r="C42" s="2"/>
      <c r="D42" s="2"/>
      <c r="E42" s="2"/>
      <c r="F42" s="2"/>
      <c r="G42" s="2"/>
      <c r="H42" s="2"/>
      <c r="I42" s="2"/>
      <c r="J42" s="2"/>
      <c r="K42" s="2"/>
      <c r="L42" s="2"/>
      <c r="M42" s="2"/>
      <c r="N42" s="30"/>
    </row>
    <row r="43" spans="1:14" ht="15.5" x14ac:dyDescent="0.35">
      <c r="A43" s="7" t="s">
        <v>53</v>
      </c>
      <c r="B43" s="10"/>
      <c r="C43" s="23" t="s">
        <v>54</v>
      </c>
      <c r="D43" s="8"/>
      <c r="E43" s="8"/>
      <c r="F43" s="8"/>
      <c r="G43" s="8"/>
      <c r="H43" s="8"/>
      <c r="I43" s="8"/>
      <c r="J43" s="8"/>
      <c r="K43" s="8"/>
      <c r="L43" s="8"/>
      <c r="M43" s="10"/>
      <c r="N43" s="30"/>
    </row>
    <row r="44" spans="1:14" ht="15.5" x14ac:dyDescent="0.35">
      <c r="A44" s="7" t="s">
        <v>55</v>
      </c>
      <c r="B44" s="10"/>
      <c r="C44" s="23"/>
      <c r="D44" s="8"/>
      <c r="E44" s="8"/>
      <c r="F44" s="8"/>
      <c r="G44" s="8"/>
      <c r="H44" s="8"/>
      <c r="I44" s="8"/>
      <c r="J44" s="8"/>
      <c r="K44" s="8"/>
      <c r="L44" s="8"/>
      <c r="M44" s="10"/>
      <c r="N44" s="5"/>
    </row>
    <row r="45" spans="1:14" ht="15.5" x14ac:dyDescent="0.35">
      <c r="A45" s="12"/>
      <c r="B45" s="2"/>
      <c r="C45" s="2"/>
      <c r="D45" s="2"/>
      <c r="E45" s="2"/>
      <c r="F45" s="2"/>
      <c r="G45" s="2"/>
      <c r="H45" s="2"/>
      <c r="I45" s="2"/>
      <c r="J45" s="2"/>
      <c r="K45" s="2"/>
      <c r="L45" s="2"/>
      <c r="M45" s="2"/>
      <c r="N45" s="5"/>
    </row>
    <row r="46" spans="1:14" ht="15.5" x14ac:dyDescent="0.35">
      <c r="A46" s="6" t="s">
        <v>56</v>
      </c>
      <c r="B46" s="2"/>
      <c r="C46" s="2"/>
      <c r="D46" s="2"/>
      <c r="E46" s="2"/>
      <c r="F46" s="2"/>
      <c r="G46" s="2"/>
      <c r="H46" s="2"/>
      <c r="I46" s="2"/>
      <c r="J46" s="2"/>
      <c r="K46" s="2"/>
      <c r="L46" s="2"/>
      <c r="M46" s="2"/>
      <c r="N46" s="30"/>
    </row>
    <row r="47" spans="1:14" ht="15.5" x14ac:dyDescent="0.35">
      <c r="A47" s="23" t="s">
        <v>57</v>
      </c>
      <c r="B47" s="8"/>
      <c r="C47" s="8"/>
      <c r="D47" s="8"/>
      <c r="E47" s="8"/>
      <c r="F47" s="8"/>
      <c r="G47" s="8"/>
      <c r="H47" s="8"/>
      <c r="I47" s="8"/>
      <c r="J47" s="8"/>
      <c r="K47" s="8"/>
      <c r="L47" s="8"/>
      <c r="M47" s="10"/>
      <c r="N47" s="5"/>
    </row>
    <row r="48" spans="1:14" ht="15.5" x14ac:dyDescent="0.35">
      <c r="A48" s="12"/>
      <c r="B48" s="2"/>
      <c r="C48" s="2"/>
      <c r="D48" s="2"/>
      <c r="E48" s="2"/>
      <c r="F48" s="2"/>
      <c r="G48" s="2"/>
      <c r="H48" s="2"/>
      <c r="I48" s="2"/>
      <c r="J48" s="2"/>
      <c r="K48" s="2"/>
      <c r="L48" s="2"/>
      <c r="M48" s="2"/>
      <c r="N48" s="5"/>
    </row>
    <row r="49" spans="1:14" ht="15.5" x14ac:dyDescent="0.35">
      <c r="A49" s="6" t="s">
        <v>58</v>
      </c>
      <c r="B49" s="2"/>
      <c r="C49" s="2"/>
      <c r="D49" s="2"/>
      <c r="E49" s="2"/>
      <c r="F49" s="2"/>
      <c r="G49" s="2"/>
      <c r="H49" s="2"/>
      <c r="I49" s="2"/>
      <c r="J49" s="2"/>
      <c r="K49" s="2"/>
      <c r="L49" s="2"/>
      <c r="M49" s="2"/>
      <c r="N49" s="30"/>
    </row>
    <row r="50" spans="1:14" ht="15.5" x14ac:dyDescent="0.35">
      <c r="A50" s="33" t="s">
        <v>59</v>
      </c>
      <c r="B50" s="34" t="s">
        <v>60</v>
      </c>
      <c r="C50" s="8"/>
      <c r="D50" s="8"/>
      <c r="E50" s="8"/>
      <c r="F50" s="8"/>
      <c r="G50" s="8"/>
      <c r="H50" s="8"/>
      <c r="I50" s="8"/>
      <c r="J50" s="8"/>
      <c r="K50" s="8"/>
      <c r="L50" s="8"/>
      <c r="M50" s="10"/>
      <c r="N50" s="5"/>
    </row>
    <row r="51" spans="1:14" ht="15.5" x14ac:dyDescent="0.35">
      <c r="A51" s="35"/>
      <c r="B51" s="36" t="s">
        <v>61</v>
      </c>
      <c r="C51" s="8"/>
      <c r="D51" s="8"/>
      <c r="E51" s="8"/>
      <c r="F51" s="8"/>
      <c r="G51" s="8"/>
      <c r="H51" s="8"/>
      <c r="I51" s="8"/>
      <c r="J51" s="8"/>
      <c r="K51" s="8"/>
      <c r="L51" s="8"/>
      <c r="M51" s="10"/>
      <c r="N51" s="5"/>
    </row>
    <row r="52" spans="1:14" ht="15.5" x14ac:dyDescent="0.35">
      <c r="A52" s="33" t="s">
        <v>62</v>
      </c>
      <c r="B52" s="34" t="s">
        <v>60</v>
      </c>
      <c r="C52" s="8"/>
      <c r="D52" s="8"/>
      <c r="E52" s="8"/>
      <c r="F52" s="8"/>
      <c r="G52" s="8"/>
      <c r="H52" s="8"/>
      <c r="I52" s="8"/>
      <c r="J52" s="8"/>
      <c r="K52" s="8"/>
      <c r="L52" s="8"/>
      <c r="M52" s="10"/>
      <c r="N52" s="5"/>
    </row>
    <row r="53" spans="1:14" ht="15.5" x14ac:dyDescent="0.35">
      <c r="A53" s="35"/>
      <c r="B53" s="36" t="s">
        <v>63</v>
      </c>
      <c r="C53" s="8"/>
      <c r="D53" s="8"/>
      <c r="E53" s="8"/>
      <c r="F53" s="8"/>
      <c r="G53" s="8"/>
      <c r="H53" s="8"/>
      <c r="I53" s="8"/>
      <c r="J53" s="8"/>
      <c r="K53" s="8"/>
      <c r="L53" s="8"/>
      <c r="M53" s="10"/>
      <c r="N53" s="5"/>
    </row>
    <row r="54" spans="1:14" ht="18" customHeight="1" x14ac:dyDescent="0.35">
      <c r="A54" s="33" t="s">
        <v>64</v>
      </c>
      <c r="B54" s="34" t="s">
        <v>60</v>
      </c>
      <c r="C54" s="8"/>
      <c r="D54" s="8"/>
      <c r="E54" s="8"/>
      <c r="F54" s="8"/>
      <c r="G54" s="8"/>
      <c r="H54" s="8"/>
      <c r="I54" s="8"/>
      <c r="J54" s="8"/>
      <c r="K54" s="8"/>
      <c r="L54" s="8"/>
      <c r="M54" s="10"/>
      <c r="N54" s="5"/>
    </row>
    <row r="55" spans="1:14" ht="104.25" customHeight="1" x14ac:dyDescent="0.35">
      <c r="A55" s="35"/>
      <c r="B55" s="37" t="s">
        <v>65</v>
      </c>
      <c r="C55" s="8"/>
      <c r="D55" s="8"/>
      <c r="E55" s="8"/>
      <c r="F55" s="8"/>
      <c r="G55" s="8"/>
      <c r="H55" s="8"/>
      <c r="I55" s="8"/>
      <c r="J55" s="8"/>
      <c r="K55" s="8"/>
      <c r="L55" s="8"/>
      <c r="M55" s="10"/>
      <c r="N55" s="5"/>
    </row>
    <row r="56" spans="1:14" ht="15.5" x14ac:dyDescent="0.35">
      <c r="A56" s="5"/>
      <c r="B56" s="5"/>
      <c r="C56" s="5"/>
      <c r="D56" s="5"/>
      <c r="E56" s="5"/>
      <c r="F56" s="5"/>
      <c r="G56" s="5"/>
      <c r="H56" s="5"/>
      <c r="I56" s="5"/>
      <c r="J56" s="5"/>
      <c r="K56" s="5"/>
      <c r="L56" s="5"/>
      <c r="M56" s="5"/>
      <c r="N56" s="5"/>
    </row>
    <row r="57" spans="1:14" ht="15.5" x14ac:dyDescent="0.35">
      <c r="A57" s="6" t="s">
        <v>66</v>
      </c>
      <c r="B57" s="2"/>
      <c r="C57" s="2"/>
      <c r="D57" s="2"/>
      <c r="E57" s="2"/>
      <c r="F57" s="2"/>
      <c r="G57" s="2"/>
      <c r="H57" s="2"/>
      <c r="I57" s="2"/>
      <c r="J57" s="2"/>
      <c r="K57" s="2"/>
      <c r="L57" s="2"/>
      <c r="M57" s="2"/>
      <c r="N57" s="30"/>
    </row>
    <row r="58" spans="1:14" ht="15.5" x14ac:dyDescent="0.35">
      <c r="A58" s="23" t="s">
        <v>67</v>
      </c>
      <c r="B58" s="8"/>
      <c r="C58" s="8"/>
      <c r="D58" s="8"/>
      <c r="E58" s="8"/>
      <c r="F58" s="8"/>
      <c r="G58" s="8"/>
      <c r="H58" s="8"/>
      <c r="I58" s="8"/>
      <c r="J58" s="8"/>
      <c r="K58" s="8"/>
      <c r="L58" s="8"/>
      <c r="M58" s="10"/>
      <c r="N58" s="5"/>
    </row>
    <row r="59" spans="1:14" ht="15.5" x14ac:dyDescent="0.35">
      <c r="A59" s="5"/>
      <c r="B59" s="5"/>
      <c r="C59" s="5"/>
      <c r="D59" s="5"/>
      <c r="E59" s="5"/>
      <c r="F59" s="5"/>
      <c r="G59" s="5"/>
      <c r="H59" s="5"/>
      <c r="I59" s="5"/>
      <c r="J59" s="5"/>
      <c r="K59" s="5"/>
      <c r="L59" s="5"/>
      <c r="M59" s="5"/>
      <c r="N59" s="5"/>
    </row>
    <row r="60" spans="1:14" ht="15.5" x14ac:dyDescent="0.35">
      <c r="A60" s="6" t="s">
        <v>68</v>
      </c>
      <c r="B60" s="2"/>
      <c r="C60" s="2"/>
      <c r="D60" s="2"/>
      <c r="E60" s="2"/>
      <c r="F60" s="2"/>
      <c r="G60" s="2"/>
      <c r="H60" s="2"/>
      <c r="I60" s="2"/>
      <c r="J60" s="2"/>
      <c r="K60" s="2"/>
      <c r="L60" s="2"/>
      <c r="M60" s="2"/>
      <c r="N60" s="30"/>
    </row>
    <row r="61" spans="1:14" ht="24.75" customHeight="1" x14ac:dyDescent="0.35">
      <c r="A61" s="38" t="s">
        <v>69</v>
      </c>
      <c r="B61" s="8"/>
      <c r="C61" s="8"/>
      <c r="D61" s="8"/>
      <c r="E61" s="8"/>
      <c r="F61" s="8"/>
      <c r="G61" s="10"/>
      <c r="H61" s="38" t="s">
        <v>70</v>
      </c>
      <c r="I61" s="8"/>
      <c r="J61" s="8"/>
      <c r="K61" s="10"/>
      <c r="L61" s="38" t="s">
        <v>71</v>
      </c>
      <c r="M61" s="10"/>
      <c r="N61" s="30"/>
    </row>
    <row r="62" spans="1:14" ht="15.5" x14ac:dyDescent="0.35">
      <c r="A62" s="39" t="s">
        <v>72</v>
      </c>
      <c r="B62" s="23" t="s">
        <v>73</v>
      </c>
      <c r="C62" s="8"/>
      <c r="D62" s="8"/>
      <c r="E62" s="8"/>
      <c r="F62" s="8"/>
      <c r="G62" s="10"/>
      <c r="H62" s="40" t="s">
        <v>74</v>
      </c>
      <c r="I62" s="14"/>
      <c r="J62" s="14"/>
      <c r="K62" s="15"/>
      <c r="L62" s="41" t="s">
        <v>75</v>
      </c>
      <c r="M62" s="10"/>
      <c r="N62" s="5"/>
    </row>
    <row r="63" spans="1:14" ht="15.5" x14ac:dyDescent="0.35">
      <c r="A63" s="39" t="s">
        <v>76</v>
      </c>
      <c r="B63" s="23" t="s">
        <v>77</v>
      </c>
      <c r="C63" s="8"/>
      <c r="D63" s="8"/>
      <c r="E63" s="8"/>
      <c r="F63" s="8"/>
      <c r="G63" s="10"/>
      <c r="H63" s="25"/>
      <c r="I63" s="2"/>
      <c r="J63" s="2"/>
      <c r="K63" s="26"/>
      <c r="L63" s="41" t="s">
        <v>75</v>
      </c>
      <c r="M63" s="10"/>
      <c r="N63" s="5"/>
    </row>
    <row r="64" spans="1:14" ht="15.5" x14ac:dyDescent="0.35">
      <c r="A64" s="39" t="s">
        <v>78</v>
      </c>
      <c r="B64" s="23" t="s">
        <v>79</v>
      </c>
      <c r="C64" s="8"/>
      <c r="D64" s="8"/>
      <c r="E64" s="8"/>
      <c r="F64" s="8"/>
      <c r="G64" s="10"/>
      <c r="H64" s="25"/>
      <c r="I64" s="2"/>
      <c r="J64" s="2"/>
      <c r="K64" s="26"/>
      <c r="L64" s="41" t="s">
        <v>75</v>
      </c>
      <c r="M64" s="10"/>
      <c r="N64" s="5"/>
    </row>
    <row r="65" spans="1:14" ht="15.5" x14ac:dyDescent="0.35">
      <c r="A65" s="39" t="s">
        <v>80</v>
      </c>
      <c r="B65" s="23" t="s">
        <v>81</v>
      </c>
      <c r="C65" s="8"/>
      <c r="D65" s="8"/>
      <c r="E65" s="8"/>
      <c r="F65" s="8"/>
      <c r="G65" s="10"/>
      <c r="H65" s="25"/>
      <c r="I65" s="2"/>
      <c r="J65" s="2"/>
      <c r="K65" s="26"/>
      <c r="L65" s="41" t="s">
        <v>75</v>
      </c>
      <c r="M65" s="10"/>
      <c r="N65" s="5"/>
    </row>
    <row r="66" spans="1:14" ht="15.5" x14ac:dyDescent="0.35">
      <c r="A66" s="39" t="s">
        <v>82</v>
      </c>
      <c r="B66" s="23" t="s">
        <v>83</v>
      </c>
      <c r="C66" s="8"/>
      <c r="D66" s="8"/>
      <c r="E66" s="8"/>
      <c r="F66" s="8"/>
      <c r="G66" s="10"/>
      <c r="H66" s="25"/>
      <c r="I66" s="2"/>
      <c r="J66" s="2"/>
      <c r="K66" s="26"/>
      <c r="L66" s="41" t="s">
        <v>75</v>
      </c>
      <c r="M66" s="10"/>
      <c r="N66" s="5"/>
    </row>
    <row r="67" spans="1:14" ht="15.5" x14ac:dyDescent="0.35">
      <c r="A67" s="39" t="s">
        <v>84</v>
      </c>
      <c r="B67" s="23" t="s">
        <v>85</v>
      </c>
      <c r="C67" s="8"/>
      <c r="D67" s="8"/>
      <c r="E67" s="8"/>
      <c r="F67" s="8"/>
      <c r="G67" s="10"/>
      <c r="H67" s="25"/>
      <c r="I67" s="2"/>
      <c r="J67" s="2"/>
      <c r="K67" s="26"/>
      <c r="L67" s="41" t="s">
        <v>75</v>
      </c>
      <c r="M67" s="10"/>
      <c r="N67" s="5"/>
    </row>
    <row r="68" spans="1:14" ht="15.5" x14ac:dyDescent="0.35">
      <c r="A68" s="39" t="s">
        <v>86</v>
      </c>
      <c r="B68" s="23" t="s">
        <v>87</v>
      </c>
      <c r="C68" s="8"/>
      <c r="D68" s="8"/>
      <c r="E68" s="8"/>
      <c r="F68" s="8"/>
      <c r="G68" s="10"/>
      <c r="H68" s="25"/>
      <c r="I68" s="2"/>
      <c r="J68" s="2"/>
      <c r="K68" s="26"/>
      <c r="L68" s="41" t="s">
        <v>75</v>
      </c>
      <c r="M68" s="10"/>
      <c r="N68" s="5"/>
    </row>
    <row r="69" spans="1:14" ht="15.5" x14ac:dyDescent="0.35">
      <c r="A69" s="39" t="s">
        <v>88</v>
      </c>
      <c r="B69" s="23"/>
      <c r="C69" s="8"/>
      <c r="D69" s="8"/>
      <c r="E69" s="8"/>
      <c r="F69" s="8"/>
      <c r="G69" s="10"/>
      <c r="H69" s="25"/>
      <c r="I69" s="2"/>
      <c r="J69" s="2"/>
      <c r="K69" s="26"/>
      <c r="L69" s="23"/>
      <c r="M69" s="10"/>
      <c r="N69" s="5"/>
    </row>
    <row r="70" spans="1:14" ht="15.5" hidden="1" x14ac:dyDescent="0.35">
      <c r="A70" s="39" t="s">
        <v>89</v>
      </c>
      <c r="B70" s="23"/>
      <c r="C70" s="8"/>
      <c r="D70" s="8"/>
      <c r="E70" s="8"/>
      <c r="F70" s="8"/>
      <c r="G70" s="10"/>
      <c r="H70" s="25"/>
      <c r="I70" s="2"/>
      <c r="J70" s="2"/>
      <c r="K70" s="26"/>
      <c r="L70" s="23"/>
      <c r="M70" s="10"/>
      <c r="N70" s="5"/>
    </row>
    <row r="71" spans="1:14" ht="15.5" hidden="1" x14ac:dyDescent="0.35">
      <c r="A71" s="39" t="s">
        <v>90</v>
      </c>
      <c r="B71" s="23"/>
      <c r="C71" s="8"/>
      <c r="D71" s="8"/>
      <c r="E71" s="8"/>
      <c r="F71" s="8"/>
      <c r="G71" s="10"/>
      <c r="H71" s="25"/>
      <c r="I71" s="2"/>
      <c r="J71" s="2"/>
      <c r="K71" s="26"/>
      <c r="L71" s="23"/>
      <c r="M71" s="10"/>
      <c r="N71" s="5"/>
    </row>
    <row r="72" spans="1:14" ht="15.5" hidden="1" x14ac:dyDescent="0.35">
      <c r="A72" s="39" t="s">
        <v>91</v>
      </c>
      <c r="B72" s="23"/>
      <c r="C72" s="8"/>
      <c r="D72" s="8"/>
      <c r="E72" s="8"/>
      <c r="F72" s="8"/>
      <c r="G72" s="10"/>
      <c r="H72" s="25"/>
      <c r="I72" s="2"/>
      <c r="J72" s="2"/>
      <c r="K72" s="26"/>
      <c r="L72" s="23"/>
      <c r="M72" s="10"/>
      <c r="N72" s="5"/>
    </row>
    <row r="73" spans="1:14" ht="15.5" hidden="1" x14ac:dyDescent="0.35">
      <c r="A73" s="39" t="s">
        <v>92</v>
      </c>
      <c r="B73" s="23"/>
      <c r="C73" s="8"/>
      <c r="D73" s="8"/>
      <c r="E73" s="8"/>
      <c r="F73" s="8"/>
      <c r="G73" s="10"/>
      <c r="H73" s="25"/>
      <c r="I73" s="2"/>
      <c r="J73" s="2"/>
      <c r="K73" s="26"/>
      <c r="L73" s="23"/>
      <c r="M73" s="10"/>
      <c r="N73" s="5"/>
    </row>
    <row r="74" spans="1:14" ht="15.5" hidden="1" x14ac:dyDescent="0.35">
      <c r="A74" s="39" t="s">
        <v>93</v>
      </c>
      <c r="B74" s="23"/>
      <c r="C74" s="8"/>
      <c r="D74" s="8"/>
      <c r="E74" s="8"/>
      <c r="F74" s="8"/>
      <c r="G74" s="10"/>
      <c r="H74" s="25"/>
      <c r="I74" s="2"/>
      <c r="J74" s="2"/>
      <c r="K74" s="26"/>
      <c r="L74" s="23"/>
      <c r="M74" s="10"/>
      <c r="N74" s="5"/>
    </row>
    <row r="75" spans="1:14" ht="15.5" hidden="1" x14ac:dyDescent="0.35">
      <c r="A75" s="39" t="s">
        <v>94</v>
      </c>
      <c r="B75" s="23"/>
      <c r="C75" s="8"/>
      <c r="D75" s="8"/>
      <c r="E75" s="8"/>
      <c r="F75" s="8"/>
      <c r="G75" s="10"/>
      <c r="H75" s="24"/>
      <c r="I75" s="18"/>
      <c r="J75" s="18"/>
      <c r="K75" s="19"/>
      <c r="L75" s="23"/>
      <c r="M75" s="10"/>
      <c r="N75" s="5"/>
    </row>
    <row r="76" spans="1:14" ht="15.5" x14ac:dyDescent="0.35">
      <c r="A76" s="37" t="s">
        <v>95</v>
      </c>
      <c r="B76" s="8"/>
      <c r="C76" s="8"/>
      <c r="D76" s="8"/>
      <c r="E76" s="8"/>
      <c r="F76" s="8"/>
      <c r="G76" s="8"/>
      <c r="H76" s="8"/>
      <c r="I76" s="8"/>
      <c r="J76" s="8"/>
      <c r="K76" s="8"/>
      <c r="L76" s="8"/>
      <c r="M76" s="10"/>
      <c r="N76" s="5"/>
    </row>
    <row r="77" spans="1:14" ht="24.75" customHeight="1" x14ac:dyDescent="0.35">
      <c r="A77" s="38" t="s">
        <v>96</v>
      </c>
      <c r="B77" s="8"/>
      <c r="C77" s="8"/>
      <c r="D77" s="8"/>
      <c r="E77" s="8"/>
      <c r="F77" s="8"/>
      <c r="G77" s="10"/>
      <c r="H77" s="38" t="s">
        <v>97</v>
      </c>
      <c r="I77" s="8"/>
      <c r="J77" s="8"/>
      <c r="K77" s="10"/>
      <c r="L77" s="38" t="s">
        <v>71</v>
      </c>
      <c r="M77" s="10"/>
      <c r="N77" s="30"/>
    </row>
    <row r="78" spans="1:14" ht="15.5" x14ac:dyDescent="0.35">
      <c r="A78" s="39" t="s">
        <v>72</v>
      </c>
      <c r="B78" s="23" t="s">
        <v>98</v>
      </c>
      <c r="C78" s="8"/>
      <c r="D78" s="8"/>
      <c r="E78" s="8"/>
      <c r="F78" s="8"/>
      <c r="G78" s="10"/>
      <c r="H78" s="42"/>
      <c r="I78" s="14"/>
      <c r="J78" s="14"/>
      <c r="K78" s="15"/>
      <c r="L78" s="41" t="s">
        <v>75</v>
      </c>
      <c r="M78" s="10"/>
      <c r="N78" s="5"/>
    </row>
    <row r="79" spans="1:14" ht="15.5" x14ac:dyDescent="0.35">
      <c r="A79" s="39" t="s">
        <v>76</v>
      </c>
      <c r="B79" s="23" t="s">
        <v>99</v>
      </c>
      <c r="C79" s="8"/>
      <c r="D79" s="8"/>
      <c r="E79" s="8"/>
      <c r="F79" s="8"/>
      <c r="G79" s="10"/>
      <c r="H79" s="25"/>
      <c r="I79" s="2"/>
      <c r="J79" s="2"/>
      <c r="K79" s="26"/>
      <c r="L79" s="41" t="s">
        <v>75</v>
      </c>
      <c r="M79" s="10"/>
      <c r="N79" s="5"/>
    </row>
    <row r="80" spans="1:14" ht="15.5" x14ac:dyDescent="0.35">
      <c r="A80" s="39" t="s">
        <v>78</v>
      </c>
      <c r="B80" s="23" t="s">
        <v>100</v>
      </c>
      <c r="C80" s="8"/>
      <c r="D80" s="8"/>
      <c r="E80" s="8"/>
      <c r="F80" s="8"/>
      <c r="G80" s="10"/>
      <c r="H80" s="25"/>
      <c r="I80" s="2"/>
      <c r="J80" s="2"/>
      <c r="K80" s="26"/>
      <c r="L80" s="41" t="s">
        <v>75</v>
      </c>
      <c r="M80" s="10"/>
      <c r="N80" s="5"/>
    </row>
    <row r="81" spans="1:14" ht="15.5" x14ac:dyDescent="0.35">
      <c r="A81" s="39" t="s">
        <v>80</v>
      </c>
      <c r="B81" s="23" t="s">
        <v>101</v>
      </c>
      <c r="C81" s="8"/>
      <c r="D81" s="8"/>
      <c r="E81" s="8"/>
      <c r="F81" s="8"/>
      <c r="G81" s="10"/>
      <c r="H81" s="25"/>
      <c r="I81" s="2"/>
      <c r="J81" s="2"/>
      <c r="K81" s="26"/>
      <c r="L81" s="41" t="s">
        <v>75</v>
      </c>
      <c r="M81" s="10"/>
      <c r="N81" s="5"/>
    </row>
    <row r="82" spans="1:14" ht="15.5" x14ac:dyDescent="0.35">
      <c r="A82" s="39" t="s">
        <v>82</v>
      </c>
      <c r="B82" s="23" t="s">
        <v>102</v>
      </c>
      <c r="C82" s="8"/>
      <c r="D82" s="8"/>
      <c r="E82" s="8"/>
      <c r="F82" s="8"/>
      <c r="G82" s="10"/>
      <c r="H82" s="25"/>
      <c r="I82" s="2"/>
      <c r="J82" s="2"/>
      <c r="K82" s="26"/>
      <c r="L82" s="41" t="s">
        <v>75</v>
      </c>
      <c r="M82" s="10"/>
      <c r="N82" s="5"/>
    </row>
    <row r="83" spans="1:14" ht="15.5" x14ac:dyDescent="0.35">
      <c r="A83" s="39" t="s">
        <v>84</v>
      </c>
      <c r="B83" s="23" t="s">
        <v>103</v>
      </c>
      <c r="C83" s="8"/>
      <c r="D83" s="8"/>
      <c r="E83" s="8"/>
      <c r="F83" s="8"/>
      <c r="G83" s="10"/>
      <c r="H83" s="25"/>
      <c r="I83" s="2"/>
      <c r="J83" s="2"/>
      <c r="K83" s="26"/>
      <c r="L83" s="41" t="s">
        <v>75</v>
      </c>
      <c r="M83" s="10"/>
      <c r="N83" s="5"/>
    </row>
    <row r="84" spans="1:14" ht="15.5" x14ac:dyDescent="0.35">
      <c r="A84" s="39" t="s">
        <v>86</v>
      </c>
      <c r="B84" s="23" t="s">
        <v>87</v>
      </c>
      <c r="C84" s="8"/>
      <c r="D84" s="8"/>
      <c r="E84" s="8"/>
      <c r="F84" s="8"/>
      <c r="G84" s="10"/>
      <c r="H84" s="25"/>
      <c r="I84" s="2"/>
      <c r="J84" s="2"/>
      <c r="K84" s="26"/>
      <c r="L84" s="41" t="s">
        <v>75</v>
      </c>
      <c r="M84" s="10"/>
      <c r="N84" s="5"/>
    </row>
    <row r="85" spans="1:14" ht="15.5" x14ac:dyDescent="0.35">
      <c r="A85" s="39" t="s">
        <v>88</v>
      </c>
      <c r="B85" s="23"/>
      <c r="C85" s="8"/>
      <c r="D85" s="8"/>
      <c r="E85" s="8"/>
      <c r="F85" s="8"/>
      <c r="G85" s="10"/>
      <c r="H85" s="25"/>
      <c r="I85" s="2"/>
      <c r="J85" s="2"/>
      <c r="K85" s="26"/>
      <c r="L85" s="23"/>
      <c r="M85" s="10"/>
      <c r="N85" s="5"/>
    </row>
    <row r="86" spans="1:14" ht="15.5" hidden="1" x14ac:dyDescent="0.35">
      <c r="A86" s="39" t="s">
        <v>89</v>
      </c>
      <c r="B86" s="23"/>
      <c r="C86" s="8"/>
      <c r="D86" s="8"/>
      <c r="E86" s="8"/>
      <c r="F86" s="8"/>
      <c r="G86" s="10"/>
      <c r="H86" s="25"/>
      <c r="I86" s="2"/>
      <c r="J86" s="2"/>
      <c r="K86" s="26"/>
      <c r="L86" s="23"/>
      <c r="M86" s="10"/>
      <c r="N86" s="5"/>
    </row>
    <row r="87" spans="1:14" ht="15.5" hidden="1" x14ac:dyDescent="0.35">
      <c r="A87" s="39" t="s">
        <v>90</v>
      </c>
      <c r="B87" s="23"/>
      <c r="C87" s="8"/>
      <c r="D87" s="8"/>
      <c r="E87" s="8"/>
      <c r="F87" s="8"/>
      <c r="G87" s="10"/>
      <c r="H87" s="25"/>
      <c r="I87" s="2"/>
      <c r="J87" s="2"/>
      <c r="K87" s="26"/>
      <c r="L87" s="23"/>
      <c r="M87" s="10"/>
      <c r="N87" s="5"/>
    </row>
    <row r="88" spans="1:14" ht="15.5" hidden="1" x14ac:dyDescent="0.35">
      <c r="A88" s="39" t="s">
        <v>91</v>
      </c>
      <c r="B88" s="23"/>
      <c r="C88" s="8"/>
      <c r="D88" s="8"/>
      <c r="E88" s="8"/>
      <c r="F88" s="8"/>
      <c r="G88" s="10"/>
      <c r="H88" s="25"/>
      <c r="I88" s="2"/>
      <c r="J88" s="2"/>
      <c r="K88" s="26"/>
      <c r="L88" s="23"/>
      <c r="M88" s="10"/>
      <c r="N88" s="5"/>
    </row>
    <row r="89" spans="1:14" ht="15.5" hidden="1" x14ac:dyDescent="0.35">
      <c r="A89" s="39" t="s">
        <v>92</v>
      </c>
      <c r="B89" s="23"/>
      <c r="C89" s="8"/>
      <c r="D89" s="8"/>
      <c r="E89" s="8"/>
      <c r="F89" s="8"/>
      <c r="G89" s="10"/>
      <c r="H89" s="25"/>
      <c r="I89" s="2"/>
      <c r="J89" s="2"/>
      <c r="K89" s="26"/>
      <c r="L89" s="23"/>
      <c r="M89" s="10"/>
      <c r="N89" s="5"/>
    </row>
    <row r="90" spans="1:14" ht="15.5" hidden="1" x14ac:dyDescent="0.35">
      <c r="A90" s="39" t="s">
        <v>93</v>
      </c>
      <c r="B90" s="23"/>
      <c r="C90" s="8"/>
      <c r="D90" s="8"/>
      <c r="E90" s="8"/>
      <c r="F90" s="8"/>
      <c r="G90" s="10"/>
      <c r="H90" s="25"/>
      <c r="I90" s="2"/>
      <c r="J90" s="2"/>
      <c r="K90" s="26"/>
      <c r="L90" s="23"/>
      <c r="M90" s="10"/>
      <c r="N90" s="5"/>
    </row>
    <row r="91" spans="1:14" ht="15.5" hidden="1" x14ac:dyDescent="0.35">
      <c r="A91" s="39" t="s">
        <v>94</v>
      </c>
      <c r="B91" s="23"/>
      <c r="C91" s="8"/>
      <c r="D91" s="8"/>
      <c r="E91" s="8"/>
      <c r="F91" s="8"/>
      <c r="G91" s="10"/>
      <c r="H91" s="24"/>
      <c r="I91" s="18"/>
      <c r="J91" s="18"/>
      <c r="K91" s="19"/>
      <c r="L91" s="23"/>
      <c r="M91" s="10"/>
      <c r="N91" s="5"/>
    </row>
    <row r="92" spans="1:14" ht="24" hidden="1" customHeight="1" x14ac:dyDescent="0.35">
      <c r="A92" s="38" t="s">
        <v>104</v>
      </c>
      <c r="B92" s="8"/>
      <c r="C92" s="8"/>
      <c r="D92" s="8"/>
      <c r="E92" s="8"/>
      <c r="F92" s="8"/>
      <c r="G92" s="10"/>
      <c r="H92" s="38" t="s">
        <v>97</v>
      </c>
      <c r="I92" s="8"/>
      <c r="J92" s="8"/>
      <c r="K92" s="10"/>
      <c r="L92" s="38" t="s">
        <v>71</v>
      </c>
      <c r="M92" s="10"/>
      <c r="N92" s="30"/>
    </row>
    <row r="93" spans="1:14" ht="15.5" hidden="1" x14ac:dyDescent="0.35">
      <c r="A93" s="39" t="s">
        <v>72</v>
      </c>
      <c r="B93" s="23"/>
      <c r="C93" s="8"/>
      <c r="D93" s="8"/>
      <c r="E93" s="8"/>
      <c r="F93" s="8"/>
      <c r="G93" s="10"/>
      <c r="H93" s="42"/>
      <c r="I93" s="14"/>
      <c r="J93" s="14"/>
      <c r="K93" s="15"/>
      <c r="L93" s="23"/>
      <c r="M93" s="10"/>
      <c r="N93" s="5"/>
    </row>
    <row r="94" spans="1:14" ht="15.5" hidden="1" x14ac:dyDescent="0.35">
      <c r="A94" s="39" t="s">
        <v>76</v>
      </c>
      <c r="B94" s="23"/>
      <c r="C94" s="8"/>
      <c r="D94" s="8"/>
      <c r="E94" s="8"/>
      <c r="F94" s="8"/>
      <c r="G94" s="10"/>
      <c r="H94" s="25"/>
      <c r="I94" s="2"/>
      <c r="J94" s="2"/>
      <c r="K94" s="26"/>
      <c r="L94" s="23"/>
      <c r="M94" s="10"/>
      <c r="N94" s="5"/>
    </row>
    <row r="95" spans="1:14" ht="15.5" hidden="1" x14ac:dyDescent="0.35">
      <c r="A95" s="39" t="s">
        <v>78</v>
      </c>
      <c r="B95" s="23"/>
      <c r="C95" s="8"/>
      <c r="D95" s="8"/>
      <c r="E95" s="8"/>
      <c r="F95" s="8"/>
      <c r="G95" s="10"/>
      <c r="H95" s="25"/>
      <c r="I95" s="2"/>
      <c r="J95" s="2"/>
      <c r="K95" s="26"/>
      <c r="L95" s="23"/>
      <c r="M95" s="10"/>
      <c r="N95" s="5"/>
    </row>
    <row r="96" spans="1:14" ht="15.5" hidden="1" x14ac:dyDescent="0.35">
      <c r="A96" s="39" t="s">
        <v>80</v>
      </c>
      <c r="B96" s="23"/>
      <c r="C96" s="8"/>
      <c r="D96" s="8"/>
      <c r="E96" s="8"/>
      <c r="F96" s="8"/>
      <c r="G96" s="10"/>
      <c r="H96" s="25"/>
      <c r="I96" s="2"/>
      <c r="J96" s="2"/>
      <c r="K96" s="26"/>
      <c r="L96" s="23"/>
      <c r="M96" s="10"/>
      <c r="N96" s="5"/>
    </row>
    <row r="97" spans="1:14" ht="15.5" hidden="1" x14ac:dyDescent="0.35">
      <c r="A97" s="39" t="s">
        <v>82</v>
      </c>
      <c r="B97" s="23"/>
      <c r="C97" s="8"/>
      <c r="D97" s="8"/>
      <c r="E97" s="8"/>
      <c r="F97" s="8"/>
      <c r="G97" s="10"/>
      <c r="H97" s="25"/>
      <c r="I97" s="2"/>
      <c r="J97" s="2"/>
      <c r="K97" s="26"/>
      <c r="L97" s="23"/>
      <c r="M97" s="10"/>
      <c r="N97" s="5"/>
    </row>
    <row r="98" spans="1:14" ht="15.5" hidden="1" x14ac:dyDescent="0.35">
      <c r="A98" s="39" t="s">
        <v>84</v>
      </c>
      <c r="B98" s="23"/>
      <c r="C98" s="8"/>
      <c r="D98" s="8"/>
      <c r="E98" s="8"/>
      <c r="F98" s="8"/>
      <c r="G98" s="10"/>
      <c r="H98" s="25"/>
      <c r="I98" s="2"/>
      <c r="J98" s="2"/>
      <c r="K98" s="26"/>
      <c r="L98" s="23"/>
      <c r="M98" s="10"/>
      <c r="N98" s="5"/>
    </row>
    <row r="99" spans="1:14" ht="15.5" hidden="1" x14ac:dyDescent="0.35">
      <c r="A99" s="39" t="s">
        <v>86</v>
      </c>
      <c r="B99" s="23"/>
      <c r="C99" s="8"/>
      <c r="D99" s="8"/>
      <c r="E99" s="8"/>
      <c r="F99" s="8"/>
      <c r="G99" s="10"/>
      <c r="H99" s="25"/>
      <c r="I99" s="2"/>
      <c r="J99" s="2"/>
      <c r="K99" s="26"/>
      <c r="L99" s="23"/>
      <c r="M99" s="10"/>
      <c r="N99" s="5"/>
    </row>
    <row r="100" spans="1:14" ht="15.5" hidden="1" x14ac:dyDescent="0.35">
      <c r="A100" s="39" t="s">
        <v>88</v>
      </c>
      <c r="B100" s="23"/>
      <c r="C100" s="8"/>
      <c r="D100" s="8"/>
      <c r="E100" s="8"/>
      <c r="F100" s="8"/>
      <c r="G100" s="10"/>
      <c r="H100" s="25"/>
      <c r="I100" s="2"/>
      <c r="J100" s="2"/>
      <c r="K100" s="26"/>
      <c r="L100" s="23"/>
      <c r="M100" s="10"/>
      <c r="N100" s="5"/>
    </row>
    <row r="101" spans="1:14" ht="15.5" hidden="1" x14ac:dyDescent="0.35">
      <c r="A101" s="39" t="s">
        <v>89</v>
      </c>
      <c r="B101" s="23"/>
      <c r="C101" s="8"/>
      <c r="D101" s="8"/>
      <c r="E101" s="8"/>
      <c r="F101" s="8"/>
      <c r="G101" s="10"/>
      <c r="H101" s="25"/>
      <c r="I101" s="2"/>
      <c r="J101" s="2"/>
      <c r="K101" s="26"/>
      <c r="L101" s="23"/>
      <c r="M101" s="10"/>
      <c r="N101" s="5"/>
    </row>
    <row r="102" spans="1:14" ht="15.5" hidden="1" x14ac:dyDescent="0.35">
      <c r="A102" s="39" t="s">
        <v>90</v>
      </c>
      <c r="B102" s="23"/>
      <c r="C102" s="8"/>
      <c r="D102" s="8"/>
      <c r="E102" s="8"/>
      <c r="F102" s="8"/>
      <c r="G102" s="10"/>
      <c r="H102" s="25"/>
      <c r="I102" s="2"/>
      <c r="J102" s="2"/>
      <c r="K102" s="26"/>
      <c r="L102" s="23"/>
      <c r="M102" s="10"/>
      <c r="N102" s="5"/>
    </row>
    <row r="103" spans="1:14" ht="15.5" hidden="1" x14ac:dyDescent="0.35">
      <c r="A103" s="39" t="s">
        <v>91</v>
      </c>
      <c r="B103" s="23"/>
      <c r="C103" s="8"/>
      <c r="D103" s="8"/>
      <c r="E103" s="8"/>
      <c r="F103" s="8"/>
      <c r="G103" s="10"/>
      <c r="H103" s="25"/>
      <c r="I103" s="2"/>
      <c r="J103" s="2"/>
      <c r="K103" s="26"/>
      <c r="L103" s="23"/>
      <c r="M103" s="10"/>
      <c r="N103" s="5"/>
    </row>
    <row r="104" spans="1:14" ht="15.5" hidden="1" x14ac:dyDescent="0.35">
      <c r="A104" s="39" t="s">
        <v>92</v>
      </c>
      <c r="B104" s="23"/>
      <c r="C104" s="8"/>
      <c r="D104" s="8"/>
      <c r="E104" s="8"/>
      <c r="F104" s="8"/>
      <c r="G104" s="10"/>
      <c r="H104" s="25"/>
      <c r="I104" s="2"/>
      <c r="J104" s="2"/>
      <c r="K104" s="26"/>
      <c r="L104" s="23"/>
      <c r="M104" s="10"/>
      <c r="N104" s="5"/>
    </row>
    <row r="105" spans="1:14" ht="15.5" hidden="1" x14ac:dyDescent="0.35">
      <c r="A105" s="39" t="s">
        <v>93</v>
      </c>
      <c r="B105" s="23"/>
      <c r="C105" s="8"/>
      <c r="D105" s="8"/>
      <c r="E105" s="8"/>
      <c r="F105" s="8"/>
      <c r="G105" s="10"/>
      <c r="H105" s="25"/>
      <c r="I105" s="2"/>
      <c r="J105" s="2"/>
      <c r="K105" s="26"/>
      <c r="L105" s="23"/>
      <c r="M105" s="10"/>
      <c r="N105" s="5"/>
    </row>
    <row r="106" spans="1:14" ht="15.5" hidden="1" x14ac:dyDescent="0.35">
      <c r="A106" s="39" t="s">
        <v>94</v>
      </c>
      <c r="B106" s="23"/>
      <c r="C106" s="8"/>
      <c r="D106" s="8"/>
      <c r="E106" s="8"/>
      <c r="F106" s="8"/>
      <c r="G106" s="10"/>
      <c r="H106" s="24"/>
      <c r="I106" s="18"/>
      <c r="J106" s="18"/>
      <c r="K106" s="19"/>
      <c r="L106" s="23"/>
      <c r="M106" s="10"/>
      <c r="N106" s="5"/>
    </row>
    <row r="107" spans="1:14" ht="24" hidden="1" customHeight="1" x14ac:dyDescent="0.35">
      <c r="A107" s="38" t="s">
        <v>105</v>
      </c>
      <c r="B107" s="8"/>
      <c r="C107" s="8"/>
      <c r="D107" s="8"/>
      <c r="E107" s="8"/>
      <c r="F107" s="8"/>
      <c r="G107" s="10"/>
      <c r="H107" s="38" t="s">
        <v>97</v>
      </c>
      <c r="I107" s="8"/>
      <c r="J107" s="8"/>
      <c r="K107" s="10"/>
      <c r="L107" s="38" t="s">
        <v>71</v>
      </c>
      <c r="M107" s="10"/>
      <c r="N107" s="30"/>
    </row>
    <row r="108" spans="1:14" ht="15.5" hidden="1" x14ac:dyDescent="0.35">
      <c r="A108" s="39" t="s">
        <v>72</v>
      </c>
      <c r="B108" s="23"/>
      <c r="C108" s="8"/>
      <c r="D108" s="8"/>
      <c r="E108" s="8"/>
      <c r="F108" s="8"/>
      <c r="G108" s="10"/>
      <c r="H108" s="42"/>
      <c r="I108" s="14"/>
      <c r="J108" s="14"/>
      <c r="K108" s="15"/>
      <c r="L108" s="23"/>
      <c r="M108" s="10"/>
      <c r="N108" s="5"/>
    </row>
    <row r="109" spans="1:14" ht="15.5" hidden="1" x14ac:dyDescent="0.35">
      <c r="A109" s="39" t="s">
        <v>76</v>
      </c>
      <c r="B109" s="23"/>
      <c r="C109" s="8"/>
      <c r="D109" s="8"/>
      <c r="E109" s="8"/>
      <c r="F109" s="8"/>
      <c r="G109" s="10"/>
      <c r="H109" s="25"/>
      <c r="I109" s="2"/>
      <c r="J109" s="2"/>
      <c r="K109" s="26"/>
      <c r="L109" s="23"/>
      <c r="M109" s="10"/>
      <c r="N109" s="5"/>
    </row>
    <row r="110" spans="1:14" ht="15.5" hidden="1" x14ac:dyDescent="0.35">
      <c r="A110" s="39" t="s">
        <v>78</v>
      </c>
      <c r="B110" s="23"/>
      <c r="C110" s="8"/>
      <c r="D110" s="8"/>
      <c r="E110" s="8"/>
      <c r="F110" s="8"/>
      <c r="G110" s="10"/>
      <c r="H110" s="25"/>
      <c r="I110" s="2"/>
      <c r="J110" s="2"/>
      <c r="K110" s="26"/>
      <c r="L110" s="23"/>
      <c r="M110" s="10"/>
      <c r="N110" s="5"/>
    </row>
    <row r="111" spans="1:14" ht="15.5" hidden="1" x14ac:dyDescent="0.35">
      <c r="A111" s="39" t="s">
        <v>80</v>
      </c>
      <c r="B111" s="23"/>
      <c r="C111" s="8"/>
      <c r="D111" s="8"/>
      <c r="E111" s="8"/>
      <c r="F111" s="8"/>
      <c r="G111" s="10"/>
      <c r="H111" s="25"/>
      <c r="I111" s="2"/>
      <c r="J111" s="2"/>
      <c r="K111" s="26"/>
      <c r="L111" s="23"/>
      <c r="M111" s="10"/>
      <c r="N111" s="5"/>
    </row>
    <row r="112" spans="1:14" ht="15.5" hidden="1" x14ac:dyDescent="0.35">
      <c r="A112" s="39" t="s">
        <v>82</v>
      </c>
      <c r="B112" s="23"/>
      <c r="C112" s="8"/>
      <c r="D112" s="8"/>
      <c r="E112" s="8"/>
      <c r="F112" s="8"/>
      <c r="G112" s="10"/>
      <c r="H112" s="25"/>
      <c r="I112" s="2"/>
      <c r="J112" s="2"/>
      <c r="K112" s="26"/>
      <c r="L112" s="23"/>
      <c r="M112" s="10"/>
      <c r="N112" s="5"/>
    </row>
    <row r="113" spans="1:14" ht="15.5" hidden="1" x14ac:dyDescent="0.35">
      <c r="A113" s="39" t="s">
        <v>84</v>
      </c>
      <c r="B113" s="23"/>
      <c r="C113" s="8"/>
      <c r="D113" s="8"/>
      <c r="E113" s="8"/>
      <c r="F113" s="8"/>
      <c r="G113" s="10"/>
      <c r="H113" s="25"/>
      <c r="I113" s="2"/>
      <c r="J113" s="2"/>
      <c r="K113" s="26"/>
      <c r="L113" s="23"/>
      <c r="M113" s="10"/>
      <c r="N113" s="5"/>
    </row>
    <row r="114" spans="1:14" ht="15.5" hidden="1" x14ac:dyDescent="0.35">
      <c r="A114" s="39" t="s">
        <v>86</v>
      </c>
      <c r="B114" s="23"/>
      <c r="C114" s="8"/>
      <c r="D114" s="8"/>
      <c r="E114" s="8"/>
      <c r="F114" s="8"/>
      <c r="G114" s="10"/>
      <c r="H114" s="25"/>
      <c r="I114" s="2"/>
      <c r="J114" s="2"/>
      <c r="K114" s="26"/>
      <c r="L114" s="23"/>
      <c r="M114" s="10"/>
      <c r="N114" s="5"/>
    </row>
    <row r="115" spans="1:14" ht="15.5" hidden="1" x14ac:dyDescent="0.35">
      <c r="A115" s="39" t="s">
        <v>88</v>
      </c>
      <c r="B115" s="23"/>
      <c r="C115" s="8"/>
      <c r="D115" s="8"/>
      <c r="E115" s="8"/>
      <c r="F115" s="8"/>
      <c r="G115" s="10"/>
      <c r="H115" s="25"/>
      <c r="I115" s="2"/>
      <c r="J115" s="2"/>
      <c r="K115" s="26"/>
      <c r="L115" s="23"/>
      <c r="M115" s="10"/>
      <c r="N115" s="5"/>
    </row>
    <row r="116" spans="1:14" ht="15.5" hidden="1" x14ac:dyDescent="0.35">
      <c r="A116" s="39" t="s">
        <v>89</v>
      </c>
      <c r="B116" s="23"/>
      <c r="C116" s="8"/>
      <c r="D116" s="8"/>
      <c r="E116" s="8"/>
      <c r="F116" s="8"/>
      <c r="G116" s="10"/>
      <c r="H116" s="25"/>
      <c r="I116" s="2"/>
      <c r="J116" s="2"/>
      <c r="K116" s="26"/>
      <c r="L116" s="23"/>
      <c r="M116" s="10"/>
      <c r="N116" s="5"/>
    </row>
    <row r="117" spans="1:14" ht="15.5" hidden="1" x14ac:dyDescent="0.35">
      <c r="A117" s="39" t="s">
        <v>90</v>
      </c>
      <c r="B117" s="23"/>
      <c r="C117" s="8"/>
      <c r="D117" s="8"/>
      <c r="E117" s="8"/>
      <c r="F117" s="8"/>
      <c r="G117" s="10"/>
      <c r="H117" s="25"/>
      <c r="I117" s="2"/>
      <c r="J117" s="2"/>
      <c r="K117" s="26"/>
      <c r="L117" s="23"/>
      <c r="M117" s="10"/>
      <c r="N117" s="5"/>
    </row>
    <row r="118" spans="1:14" ht="15.5" hidden="1" x14ac:dyDescent="0.35">
      <c r="A118" s="39" t="s">
        <v>91</v>
      </c>
      <c r="B118" s="23"/>
      <c r="C118" s="8"/>
      <c r="D118" s="8"/>
      <c r="E118" s="8"/>
      <c r="F118" s="8"/>
      <c r="G118" s="10"/>
      <c r="H118" s="25"/>
      <c r="I118" s="2"/>
      <c r="J118" s="2"/>
      <c r="K118" s="26"/>
      <c r="L118" s="23"/>
      <c r="M118" s="10"/>
      <c r="N118" s="5"/>
    </row>
    <row r="119" spans="1:14" ht="15.5" hidden="1" x14ac:dyDescent="0.35">
      <c r="A119" s="39" t="s">
        <v>92</v>
      </c>
      <c r="B119" s="23"/>
      <c r="C119" s="8"/>
      <c r="D119" s="8"/>
      <c r="E119" s="8"/>
      <c r="F119" s="8"/>
      <c r="G119" s="10"/>
      <c r="H119" s="25"/>
      <c r="I119" s="2"/>
      <c r="J119" s="2"/>
      <c r="K119" s="26"/>
      <c r="L119" s="23"/>
      <c r="M119" s="10"/>
      <c r="N119" s="5"/>
    </row>
    <row r="120" spans="1:14" ht="15.5" hidden="1" x14ac:dyDescent="0.35">
      <c r="A120" s="39" t="s">
        <v>93</v>
      </c>
      <c r="B120" s="23"/>
      <c r="C120" s="8"/>
      <c r="D120" s="8"/>
      <c r="E120" s="8"/>
      <c r="F120" s="8"/>
      <c r="G120" s="10"/>
      <c r="H120" s="25"/>
      <c r="I120" s="2"/>
      <c r="J120" s="2"/>
      <c r="K120" s="26"/>
      <c r="L120" s="23"/>
      <c r="M120" s="10"/>
      <c r="N120" s="5"/>
    </row>
    <row r="121" spans="1:14" ht="15.5" hidden="1" x14ac:dyDescent="0.35">
      <c r="A121" s="39" t="s">
        <v>94</v>
      </c>
      <c r="B121" s="23"/>
      <c r="C121" s="8"/>
      <c r="D121" s="8"/>
      <c r="E121" s="8"/>
      <c r="F121" s="8"/>
      <c r="G121" s="10"/>
      <c r="H121" s="24"/>
      <c r="I121" s="18"/>
      <c r="J121" s="18"/>
      <c r="K121" s="19"/>
      <c r="L121" s="23"/>
      <c r="M121" s="10"/>
      <c r="N121" s="5"/>
    </row>
    <row r="122" spans="1:14" ht="115.5" customHeight="1" x14ac:dyDescent="0.35">
      <c r="A122" s="23" t="s">
        <v>106</v>
      </c>
      <c r="B122" s="8"/>
      <c r="C122" s="8"/>
      <c r="D122" s="8"/>
      <c r="E122" s="8"/>
      <c r="F122" s="8"/>
      <c r="G122" s="8"/>
      <c r="H122" s="8"/>
      <c r="I122" s="8"/>
      <c r="J122" s="8"/>
      <c r="K122" s="8"/>
      <c r="L122" s="8"/>
      <c r="M122" s="10"/>
      <c r="N122" s="5"/>
    </row>
    <row r="123" spans="1:14" ht="15.5" x14ac:dyDescent="0.35">
      <c r="A123" s="5"/>
      <c r="B123" s="5"/>
      <c r="C123" s="5"/>
      <c r="D123" s="5"/>
      <c r="E123" s="5"/>
      <c r="F123" s="5"/>
      <c r="G123" s="5"/>
      <c r="H123" s="5"/>
      <c r="I123" s="5"/>
      <c r="J123" s="5"/>
      <c r="K123" s="5"/>
      <c r="L123" s="5"/>
      <c r="M123" s="5"/>
      <c r="N123" s="5"/>
    </row>
    <row r="124" spans="1:14" ht="15.5" x14ac:dyDescent="0.35">
      <c r="A124" s="6" t="s">
        <v>107</v>
      </c>
      <c r="B124" s="2"/>
      <c r="C124" s="2"/>
      <c r="D124" s="2"/>
      <c r="E124" s="2"/>
      <c r="F124" s="2"/>
      <c r="G124" s="2"/>
      <c r="H124" s="2"/>
      <c r="I124" s="2"/>
      <c r="J124" s="2"/>
      <c r="K124" s="2"/>
      <c r="L124" s="2"/>
      <c r="M124" s="2"/>
      <c r="N124" s="30"/>
    </row>
    <row r="125" spans="1:14" ht="46.5" x14ac:dyDescent="0.35">
      <c r="A125" s="43" t="s">
        <v>108</v>
      </c>
      <c r="B125" s="44" t="s">
        <v>109</v>
      </c>
      <c r="C125" s="8"/>
      <c r="D125" s="8"/>
      <c r="E125" s="8"/>
      <c r="F125" s="8"/>
      <c r="G125" s="10"/>
      <c r="H125" s="44" t="s">
        <v>110</v>
      </c>
      <c r="I125" s="8"/>
      <c r="J125" s="8"/>
      <c r="K125" s="10"/>
      <c r="L125" s="45" t="s">
        <v>111</v>
      </c>
      <c r="M125" s="10"/>
      <c r="N125" s="5"/>
    </row>
    <row r="126" spans="1:14" ht="15.5" x14ac:dyDescent="0.35">
      <c r="A126" s="46" t="s">
        <v>112</v>
      </c>
      <c r="B126" s="47" t="s">
        <v>113</v>
      </c>
      <c r="C126" s="14"/>
      <c r="D126" s="14"/>
      <c r="E126" s="14"/>
      <c r="F126" s="14"/>
      <c r="G126" s="15"/>
      <c r="H126" s="48" t="s">
        <v>114</v>
      </c>
      <c r="I126" s="8"/>
      <c r="J126" s="8"/>
      <c r="K126" s="49"/>
      <c r="L126" s="50">
        <f>1-SUM(L129:M131)</f>
        <v>0.5</v>
      </c>
      <c r="M126" s="15"/>
      <c r="N126" s="5"/>
    </row>
    <row r="127" spans="1:14" ht="15.5" x14ac:dyDescent="0.35">
      <c r="A127" s="51"/>
      <c r="B127" s="25"/>
      <c r="C127" s="2"/>
      <c r="D127" s="2"/>
      <c r="E127" s="2"/>
      <c r="F127" s="2"/>
      <c r="G127" s="26"/>
      <c r="H127" s="52" t="s">
        <v>115</v>
      </c>
      <c r="I127" s="8"/>
      <c r="J127" s="8"/>
      <c r="K127" s="49"/>
      <c r="L127" s="25"/>
      <c r="M127" s="26"/>
      <c r="N127" s="5"/>
    </row>
    <row r="128" spans="1:14" ht="15.5" x14ac:dyDescent="0.35">
      <c r="A128" s="35"/>
      <c r="B128" s="24"/>
      <c r="C128" s="18"/>
      <c r="D128" s="18"/>
      <c r="E128" s="18"/>
      <c r="F128" s="18"/>
      <c r="G128" s="19"/>
      <c r="H128" s="52" t="s">
        <v>116</v>
      </c>
      <c r="I128" s="8"/>
      <c r="J128" s="8"/>
      <c r="K128" s="49"/>
      <c r="L128" s="24"/>
      <c r="M128" s="19"/>
      <c r="N128" s="5"/>
    </row>
    <row r="129" spans="1:14" ht="68.25" customHeight="1" x14ac:dyDescent="0.35">
      <c r="A129" s="43" t="s">
        <v>117</v>
      </c>
      <c r="B129" s="53" t="s">
        <v>118</v>
      </c>
      <c r="C129" s="8"/>
      <c r="D129" s="8"/>
      <c r="E129" s="8"/>
      <c r="F129" s="8"/>
      <c r="G129" s="10"/>
      <c r="H129" s="52" t="s">
        <v>119</v>
      </c>
      <c r="I129" s="8"/>
      <c r="J129" s="8"/>
      <c r="K129" s="10"/>
      <c r="L129" s="54">
        <v>0.5</v>
      </c>
      <c r="M129" s="10"/>
      <c r="N129" s="5"/>
    </row>
    <row r="130" spans="1:14" ht="46.5" hidden="1" x14ac:dyDescent="0.35">
      <c r="A130" s="43" t="s">
        <v>120</v>
      </c>
      <c r="B130" s="53" t="s">
        <v>121</v>
      </c>
      <c r="C130" s="8"/>
      <c r="D130" s="8"/>
      <c r="E130" s="8"/>
      <c r="F130" s="8"/>
      <c r="G130" s="10"/>
      <c r="H130" s="52" t="s">
        <v>122</v>
      </c>
      <c r="I130" s="8"/>
      <c r="J130" s="8"/>
      <c r="K130" s="10"/>
      <c r="L130" s="54"/>
      <c r="M130" s="10"/>
      <c r="N130" s="5"/>
    </row>
    <row r="131" spans="1:14" ht="31" hidden="1" x14ac:dyDescent="0.35">
      <c r="A131" s="43" t="s">
        <v>123</v>
      </c>
      <c r="B131" s="53" t="s">
        <v>124</v>
      </c>
      <c r="C131" s="8"/>
      <c r="D131" s="8"/>
      <c r="E131" s="8"/>
      <c r="F131" s="8"/>
      <c r="G131" s="10"/>
      <c r="H131" s="52" t="s">
        <v>125</v>
      </c>
      <c r="I131" s="8"/>
      <c r="J131" s="8"/>
      <c r="K131" s="10"/>
      <c r="L131" s="54"/>
      <c r="M131" s="10"/>
      <c r="N131" s="5"/>
    </row>
    <row r="132" spans="1:14" ht="15.5" x14ac:dyDescent="0.35">
      <c r="A132" s="44" t="s">
        <v>126</v>
      </c>
      <c r="B132" s="8"/>
      <c r="C132" s="8"/>
      <c r="D132" s="8"/>
      <c r="E132" s="8"/>
      <c r="F132" s="8"/>
      <c r="G132" s="8"/>
      <c r="H132" s="8"/>
      <c r="I132" s="8"/>
      <c r="J132" s="8"/>
      <c r="K132" s="8"/>
      <c r="L132" s="8"/>
      <c r="M132" s="10"/>
      <c r="N132" s="5"/>
    </row>
    <row r="133" spans="1:14" ht="15.5" x14ac:dyDescent="0.35">
      <c r="A133" s="53" t="s">
        <v>127</v>
      </c>
      <c r="B133" s="8"/>
      <c r="C133" s="8"/>
      <c r="D133" s="8"/>
      <c r="E133" s="8"/>
      <c r="F133" s="8"/>
      <c r="G133" s="8"/>
      <c r="H133" s="8"/>
      <c r="I133" s="8"/>
      <c r="J133" s="8"/>
      <c r="K133" s="8"/>
      <c r="L133" s="8"/>
      <c r="M133" s="10"/>
      <c r="N133" s="5"/>
    </row>
    <row r="134" spans="1:14" ht="15.5" x14ac:dyDescent="0.35">
      <c r="A134" s="5"/>
      <c r="B134" s="5"/>
      <c r="C134" s="5"/>
      <c r="D134" s="5"/>
      <c r="E134" s="5"/>
      <c r="F134" s="5"/>
      <c r="G134" s="5"/>
      <c r="H134" s="5"/>
      <c r="I134" s="5"/>
      <c r="J134" s="5"/>
      <c r="K134" s="5"/>
      <c r="L134" s="5"/>
      <c r="M134" s="5"/>
      <c r="N134" s="5"/>
    </row>
    <row r="135" spans="1:14" ht="15.5" x14ac:dyDescent="0.35">
      <c r="A135" s="55" t="s">
        <v>128</v>
      </c>
      <c r="B135" s="10"/>
      <c r="C135" s="56">
        <v>45912</v>
      </c>
      <c r="D135" s="8"/>
      <c r="E135" s="8"/>
      <c r="F135" s="8"/>
      <c r="G135" s="8"/>
      <c r="H135" s="8"/>
      <c r="I135" s="8"/>
      <c r="J135" s="8"/>
      <c r="K135" s="8"/>
      <c r="L135" s="8"/>
      <c r="M135" s="10"/>
      <c r="N135" s="5"/>
    </row>
    <row r="136" spans="1:14" ht="8.25" customHeight="1" x14ac:dyDescent="0.35">
      <c r="A136" s="12"/>
      <c r="B136" s="2"/>
      <c r="C136" s="2"/>
      <c r="D136" s="2"/>
      <c r="E136" s="2"/>
      <c r="F136" s="2"/>
      <c r="G136" s="2"/>
      <c r="H136" s="2"/>
      <c r="I136" s="2"/>
      <c r="J136" s="2"/>
      <c r="K136" s="2"/>
      <c r="L136" s="2"/>
      <c r="M136" s="2"/>
      <c r="N136" s="5"/>
    </row>
    <row r="137" spans="1:14" ht="35.25" customHeight="1" x14ac:dyDescent="0.35">
      <c r="A137" s="55" t="s">
        <v>129</v>
      </c>
      <c r="B137" s="10"/>
      <c r="C137" s="9" t="str">
        <f>E15</f>
        <v xml:space="preserve">Lect. dr. Ioana Baciu </v>
      </c>
      <c r="D137" s="8"/>
      <c r="E137" s="8"/>
      <c r="F137" s="8"/>
      <c r="G137" s="10"/>
      <c r="H137" s="9">
        <f>E16</f>
        <v>0</v>
      </c>
      <c r="I137" s="8"/>
      <c r="J137" s="8"/>
      <c r="K137" s="8"/>
      <c r="L137" s="8"/>
      <c r="M137" s="10"/>
      <c r="N137" s="5"/>
    </row>
    <row r="138" spans="1:14" ht="11.25" customHeight="1" x14ac:dyDescent="0.35">
      <c r="A138" s="12"/>
      <c r="B138" s="2"/>
      <c r="C138" s="2"/>
      <c r="D138" s="2"/>
      <c r="E138" s="2"/>
      <c r="F138" s="2"/>
      <c r="G138" s="2"/>
      <c r="H138" s="2"/>
      <c r="I138" s="2"/>
      <c r="J138" s="2"/>
      <c r="K138" s="2"/>
      <c r="L138" s="2"/>
      <c r="M138" s="2"/>
      <c r="N138" s="5"/>
    </row>
    <row r="139" spans="1:14" ht="32.25" customHeight="1" x14ac:dyDescent="0.35">
      <c r="A139" s="57" t="s">
        <v>130</v>
      </c>
      <c r="B139" s="15"/>
      <c r="C139" s="9" t="str">
        <f t="shared" ref="C139:C141" si="0">E17</f>
        <v xml:space="preserve">Lect. dr. Ioana Baciu </v>
      </c>
      <c r="D139" s="8"/>
      <c r="E139" s="8"/>
      <c r="F139" s="8"/>
      <c r="G139" s="10"/>
      <c r="H139" s="9">
        <f t="shared" ref="H139:H141" si="1">E20</f>
        <v>0</v>
      </c>
      <c r="I139" s="8"/>
      <c r="J139" s="8"/>
      <c r="K139" s="8"/>
      <c r="L139" s="8"/>
      <c r="M139" s="10"/>
      <c r="N139" s="5"/>
    </row>
    <row r="140" spans="1:14" ht="32.25" hidden="1" customHeight="1" x14ac:dyDescent="0.35">
      <c r="A140" s="25"/>
      <c r="B140" s="26"/>
      <c r="C140" s="9">
        <f t="shared" si="0"/>
        <v>0</v>
      </c>
      <c r="D140" s="8"/>
      <c r="E140" s="8"/>
      <c r="F140" s="8"/>
      <c r="G140" s="10"/>
      <c r="H140" s="9">
        <f t="shared" si="1"/>
        <v>0</v>
      </c>
      <c r="I140" s="8"/>
      <c r="J140" s="8"/>
      <c r="K140" s="8"/>
      <c r="L140" s="8"/>
      <c r="M140" s="10"/>
      <c r="N140" s="5"/>
    </row>
    <row r="141" spans="1:14" ht="32.25" hidden="1" customHeight="1" x14ac:dyDescent="0.35">
      <c r="A141" s="24"/>
      <c r="B141" s="19"/>
      <c r="C141" s="9">
        <f t="shared" si="0"/>
        <v>0</v>
      </c>
      <c r="D141" s="8"/>
      <c r="E141" s="8"/>
      <c r="F141" s="8"/>
      <c r="G141" s="10"/>
      <c r="H141" s="9">
        <f t="shared" si="1"/>
        <v>0</v>
      </c>
      <c r="I141" s="8"/>
      <c r="J141" s="8"/>
      <c r="K141" s="8"/>
      <c r="L141" s="8"/>
      <c r="M141" s="10"/>
      <c r="N141" s="5"/>
    </row>
    <row r="142" spans="1:14" ht="15.5" x14ac:dyDescent="0.35">
      <c r="A142" s="5"/>
      <c r="B142" s="5"/>
      <c r="C142" s="12"/>
      <c r="D142" s="2"/>
      <c r="E142" s="2"/>
      <c r="F142" s="2"/>
      <c r="G142" s="5"/>
      <c r="H142" s="12"/>
      <c r="I142" s="2"/>
      <c r="J142" s="2"/>
      <c r="K142" s="2"/>
      <c r="L142" s="2"/>
      <c r="M142" s="2"/>
      <c r="N142" s="5"/>
    </row>
    <row r="143" spans="1:14" ht="35.25" customHeight="1" x14ac:dyDescent="0.35">
      <c r="A143" s="55" t="s">
        <v>131</v>
      </c>
      <c r="B143" s="10"/>
      <c r="C143" s="58">
        <f>[1]Date!C33</f>
        <v>45915</v>
      </c>
      <c r="D143" s="10"/>
      <c r="E143" s="55" t="s">
        <v>132</v>
      </c>
      <c r="F143" s="8"/>
      <c r="G143" s="10"/>
      <c r="H143" s="59" t="str">
        <f>[1]Date!C35</f>
        <v>Conf.dr.ing. Mihai POSTOLACHE</v>
      </c>
      <c r="I143" s="8"/>
      <c r="J143" s="8"/>
      <c r="K143" s="8"/>
      <c r="L143" s="8"/>
      <c r="M143" s="10"/>
      <c r="N143" s="5"/>
    </row>
    <row r="144" spans="1:14" ht="21.75" customHeight="1" x14ac:dyDescent="0.35">
      <c r="A144" s="60"/>
      <c r="B144" s="60"/>
      <c r="C144" s="61"/>
      <c r="D144" s="61"/>
      <c r="E144" s="60"/>
      <c r="F144" s="60"/>
      <c r="G144" s="60"/>
      <c r="H144" s="61"/>
      <c r="I144" s="61"/>
      <c r="J144" s="61"/>
      <c r="K144" s="61"/>
      <c r="L144" s="61"/>
      <c r="M144" s="61"/>
      <c r="N144" s="5"/>
    </row>
    <row r="145" spans="1:14" ht="28.5" customHeight="1" x14ac:dyDescent="0.35">
      <c r="A145" s="55" t="s">
        <v>133</v>
      </c>
      <c r="B145" s="10"/>
      <c r="C145" s="58">
        <f>[1]Date!C34</f>
        <v>45918</v>
      </c>
      <c r="D145" s="10"/>
      <c r="E145" s="55" t="s">
        <v>134</v>
      </c>
      <c r="F145" s="8"/>
      <c r="G145" s="10"/>
      <c r="H145" s="59" t="str">
        <f>[1]Date!C36</f>
        <v>Prof.univ.dr.ing. Adrian BURLACU</v>
      </c>
      <c r="I145" s="8"/>
      <c r="J145" s="8"/>
      <c r="K145" s="8"/>
      <c r="L145" s="8"/>
      <c r="M145" s="10"/>
      <c r="N145" s="5"/>
    </row>
  </sheetData>
  <mergeCells count="255">
    <mergeCell ref="A145:B145"/>
    <mergeCell ref="C145:D145"/>
    <mergeCell ref="E145:G145"/>
    <mergeCell ref="H145:M145"/>
    <mergeCell ref="C141:G141"/>
    <mergeCell ref="H141:M141"/>
    <mergeCell ref="C142:F142"/>
    <mergeCell ref="H142:M142"/>
    <mergeCell ref="A143:B143"/>
    <mergeCell ref="C143:D143"/>
    <mergeCell ref="E143:G143"/>
    <mergeCell ref="H143:M143"/>
    <mergeCell ref="A136:M136"/>
    <mergeCell ref="A137:B137"/>
    <mergeCell ref="C137:G137"/>
    <mergeCell ref="H137:M137"/>
    <mergeCell ref="A138:M138"/>
    <mergeCell ref="A139:B141"/>
    <mergeCell ref="C139:G139"/>
    <mergeCell ref="H139:M139"/>
    <mergeCell ref="C140:G140"/>
    <mergeCell ref="H140:M140"/>
    <mergeCell ref="B131:G131"/>
    <mergeCell ref="H131:K131"/>
    <mergeCell ref="L131:M131"/>
    <mergeCell ref="A132:M132"/>
    <mergeCell ref="A133:M133"/>
    <mergeCell ref="A135:B135"/>
    <mergeCell ref="C135:M135"/>
    <mergeCell ref="B129:G129"/>
    <mergeCell ref="H129:K129"/>
    <mergeCell ref="L129:M129"/>
    <mergeCell ref="B130:G130"/>
    <mergeCell ref="H130:K130"/>
    <mergeCell ref="L130:M130"/>
    <mergeCell ref="B125:G125"/>
    <mergeCell ref="H125:K125"/>
    <mergeCell ref="L125:M125"/>
    <mergeCell ref="A126:A128"/>
    <mergeCell ref="B126:G128"/>
    <mergeCell ref="H126:J126"/>
    <mergeCell ref="L126:M128"/>
    <mergeCell ref="H127:J127"/>
    <mergeCell ref="H128:J128"/>
    <mergeCell ref="B120:G120"/>
    <mergeCell ref="L120:M120"/>
    <mergeCell ref="B121:G121"/>
    <mergeCell ref="L121:M121"/>
    <mergeCell ref="A122:M122"/>
    <mergeCell ref="A124:M124"/>
    <mergeCell ref="B117:G117"/>
    <mergeCell ref="L117:M117"/>
    <mergeCell ref="B118:G118"/>
    <mergeCell ref="L118:M118"/>
    <mergeCell ref="B119:G119"/>
    <mergeCell ref="L119:M119"/>
    <mergeCell ref="B114:G114"/>
    <mergeCell ref="L114:M114"/>
    <mergeCell ref="B115:G115"/>
    <mergeCell ref="L115:M115"/>
    <mergeCell ref="B116:G116"/>
    <mergeCell ref="L116:M116"/>
    <mergeCell ref="B111:G111"/>
    <mergeCell ref="L111:M111"/>
    <mergeCell ref="B112:G112"/>
    <mergeCell ref="L112:M112"/>
    <mergeCell ref="B113:G113"/>
    <mergeCell ref="L113:M113"/>
    <mergeCell ref="A107:G107"/>
    <mergeCell ref="H107:K107"/>
    <mergeCell ref="L107:M107"/>
    <mergeCell ref="B108:G108"/>
    <mergeCell ref="H108:K121"/>
    <mergeCell ref="L108:M108"/>
    <mergeCell ref="B109:G109"/>
    <mergeCell ref="L109:M109"/>
    <mergeCell ref="B110:G110"/>
    <mergeCell ref="L110:M110"/>
    <mergeCell ref="B104:G104"/>
    <mergeCell ref="L104:M104"/>
    <mergeCell ref="B105:G105"/>
    <mergeCell ref="L105:M105"/>
    <mergeCell ref="B106:G106"/>
    <mergeCell ref="L106:M106"/>
    <mergeCell ref="B101:G101"/>
    <mergeCell ref="L101:M101"/>
    <mergeCell ref="B102:G102"/>
    <mergeCell ref="L102:M102"/>
    <mergeCell ref="B103:G103"/>
    <mergeCell ref="L103:M103"/>
    <mergeCell ref="L97:M97"/>
    <mergeCell ref="B98:G98"/>
    <mergeCell ref="L98:M98"/>
    <mergeCell ref="B99:G99"/>
    <mergeCell ref="L99:M99"/>
    <mergeCell ref="B100:G100"/>
    <mergeCell ref="L100:M100"/>
    <mergeCell ref="B93:G93"/>
    <mergeCell ref="H93:K106"/>
    <mergeCell ref="L93:M93"/>
    <mergeCell ref="B94:G94"/>
    <mergeCell ref="L94:M94"/>
    <mergeCell ref="B95:G95"/>
    <mergeCell ref="L95:M95"/>
    <mergeCell ref="B96:G96"/>
    <mergeCell ref="L96:M96"/>
    <mergeCell ref="B97:G97"/>
    <mergeCell ref="B90:G90"/>
    <mergeCell ref="L90:M90"/>
    <mergeCell ref="B91:G91"/>
    <mergeCell ref="L91:M91"/>
    <mergeCell ref="A92:G92"/>
    <mergeCell ref="H92:K92"/>
    <mergeCell ref="L92:M92"/>
    <mergeCell ref="B87:G87"/>
    <mergeCell ref="L87:M87"/>
    <mergeCell ref="B88:G88"/>
    <mergeCell ref="L88:M88"/>
    <mergeCell ref="B89:G89"/>
    <mergeCell ref="L89:M89"/>
    <mergeCell ref="B84:G84"/>
    <mergeCell ref="L84:M84"/>
    <mergeCell ref="B85:G85"/>
    <mergeCell ref="L85:M85"/>
    <mergeCell ref="B86:G86"/>
    <mergeCell ref="L86:M86"/>
    <mergeCell ref="L80:M80"/>
    <mergeCell ref="B81:G81"/>
    <mergeCell ref="L81:M81"/>
    <mergeCell ref="B82:G82"/>
    <mergeCell ref="L82:M82"/>
    <mergeCell ref="B83:G83"/>
    <mergeCell ref="L83:M83"/>
    <mergeCell ref="A76:M76"/>
    <mergeCell ref="A77:G77"/>
    <mergeCell ref="H77:K77"/>
    <mergeCell ref="L77:M77"/>
    <mergeCell ref="B78:G78"/>
    <mergeCell ref="H78:K91"/>
    <mergeCell ref="L78:M78"/>
    <mergeCell ref="B79:G79"/>
    <mergeCell ref="L79:M79"/>
    <mergeCell ref="B80:G80"/>
    <mergeCell ref="B73:G73"/>
    <mergeCell ref="L73:M73"/>
    <mergeCell ref="B74:G74"/>
    <mergeCell ref="L74:M74"/>
    <mergeCell ref="B75:G75"/>
    <mergeCell ref="L75:M75"/>
    <mergeCell ref="B70:G70"/>
    <mergeCell ref="L70:M70"/>
    <mergeCell ref="B71:G71"/>
    <mergeCell ref="L71:M71"/>
    <mergeCell ref="B72:G72"/>
    <mergeCell ref="L72:M72"/>
    <mergeCell ref="L66:M66"/>
    <mergeCell ref="B67:G67"/>
    <mergeCell ref="L67:M67"/>
    <mergeCell ref="B68:G68"/>
    <mergeCell ref="L68:M68"/>
    <mergeCell ref="B69:G69"/>
    <mergeCell ref="L69:M69"/>
    <mergeCell ref="B62:G62"/>
    <mergeCell ref="H62:K75"/>
    <mergeCell ref="L62:M62"/>
    <mergeCell ref="B63:G63"/>
    <mergeCell ref="L63:M63"/>
    <mergeCell ref="B64:G64"/>
    <mergeCell ref="L64:M64"/>
    <mergeCell ref="B65:G65"/>
    <mergeCell ref="L65:M65"/>
    <mergeCell ref="B66:G66"/>
    <mergeCell ref="A57:M57"/>
    <mergeCell ref="A58:M58"/>
    <mergeCell ref="A60:M60"/>
    <mergeCell ref="A61:G61"/>
    <mergeCell ref="H61:K61"/>
    <mergeCell ref="L61:M61"/>
    <mergeCell ref="A52:A53"/>
    <mergeCell ref="B52:M52"/>
    <mergeCell ref="B53:M53"/>
    <mergeCell ref="A54:A55"/>
    <mergeCell ref="B54:M54"/>
    <mergeCell ref="B55:M55"/>
    <mergeCell ref="A47:M47"/>
    <mergeCell ref="A48:M48"/>
    <mergeCell ref="A49:M49"/>
    <mergeCell ref="A50:A51"/>
    <mergeCell ref="B50:M50"/>
    <mergeCell ref="B51:M51"/>
    <mergeCell ref="A43:B43"/>
    <mergeCell ref="C43:M43"/>
    <mergeCell ref="A44:B44"/>
    <mergeCell ref="C44:M44"/>
    <mergeCell ref="A45:M45"/>
    <mergeCell ref="A46:M46"/>
    <mergeCell ref="A39:B39"/>
    <mergeCell ref="C39:M39"/>
    <mergeCell ref="A40:B40"/>
    <mergeCell ref="C40:M40"/>
    <mergeCell ref="A41:M41"/>
    <mergeCell ref="A42:M42"/>
    <mergeCell ref="A33:L33"/>
    <mergeCell ref="A34:B34"/>
    <mergeCell ref="A35:B35"/>
    <mergeCell ref="A36:B36"/>
    <mergeCell ref="A37:M37"/>
    <mergeCell ref="A38:M38"/>
    <mergeCell ref="A27:B27"/>
    <mergeCell ref="A28:L28"/>
    <mergeCell ref="A29:L29"/>
    <mergeCell ref="A30:L30"/>
    <mergeCell ref="A31:L31"/>
    <mergeCell ref="A32:L32"/>
    <mergeCell ref="A23:B23"/>
    <mergeCell ref="F23:H23"/>
    <mergeCell ref="J23:L23"/>
    <mergeCell ref="A24:M24"/>
    <mergeCell ref="A25:M25"/>
    <mergeCell ref="A26:B26"/>
    <mergeCell ref="L26:M26"/>
    <mergeCell ref="A17:D22"/>
    <mergeCell ref="E17:M17"/>
    <mergeCell ref="E18:M18"/>
    <mergeCell ref="E19:M19"/>
    <mergeCell ref="E20:M20"/>
    <mergeCell ref="E21:M21"/>
    <mergeCell ref="E22:M22"/>
    <mergeCell ref="A13:D13"/>
    <mergeCell ref="E13:M13"/>
    <mergeCell ref="A14:D14"/>
    <mergeCell ref="E14:H14"/>
    <mergeCell ref="I14:L14"/>
    <mergeCell ref="A15:D16"/>
    <mergeCell ref="E15:M15"/>
    <mergeCell ref="E16:M16"/>
    <mergeCell ref="A9:B9"/>
    <mergeCell ref="C9:M9"/>
    <mergeCell ref="A10:M10"/>
    <mergeCell ref="A11:M11"/>
    <mergeCell ref="A12:D12"/>
    <mergeCell ref="E12:M12"/>
    <mergeCell ref="A6:B6"/>
    <mergeCell ref="C6:M6"/>
    <mergeCell ref="A7:B7"/>
    <mergeCell ref="C7:M7"/>
    <mergeCell ref="A8:B8"/>
    <mergeCell ref="C8:M8"/>
    <mergeCell ref="A1:M1"/>
    <mergeCell ref="A2:M2"/>
    <mergeCell ref="A3:M3"/>
    <mergeCell ref="A4:B4"/>
    <mergeCell ref="C4:M4"/>
    <mergeCell ref="A5:B5"/>
    <mergeCell ref="C5:M5"/>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Gherguț Mădălin</dc:creator>
  <cp:lastModifiedBy>Gherguț Mădălin</cp:lastModifiedBy>
  <dcterms:created xsi:type="dcterms:W3CDTF">2026-03-01T08:54:54Z</dcterms:created>
  <dcterms:modified xsi:type="dcterms:W3CDTF">2026-03-01T08:55:00Z</dcterms:modified>
</cp:coreProperties>
</file>