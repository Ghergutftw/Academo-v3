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13_ncr:1_{75147C7F-805D-4D91-9B0B-BAF2EFEA9DD2}" xr6:coauthVersionLast="47" xr6:coauthVersionMax="47" xr10:uidLastSave="{00000000-0000-0000-0000-000000000000}"/>
  <bookViews>
    <workbookView xWindow="-110" yWindow="-110" windowWidth="25820" windowHeight="15500" xr2:uid="{4E6D62D2-4941-4A73-97D4-35DF90DCAF2F}"/>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4" i="1" l="1" a="1"/>
  <c r="C34" i="1" s="1"/>
  <c r="M33" i="1" s="1"/>
  <c r="C36" i="1" a="1"/>
  <c r="C36" i="1" s="1"/>
  <c r="E13" i="1" a="1"/>
  <c r="E13" i="1" s="1"/>
  <c r="I26" i="1" a="1"/>
  <c r="I26" i="1" s="1"/>
  <c r="I27" i="1" s="1"/>
  <c r="M14" i="1" a="1"/>
  <c r="M14" i="1" s="1"/>
  <c r="G26" i="1" a="1"/>
  <c r="G26" i="1" s="1"/>
  <c r="G27" i="1" s="1"/>
  <c r="K26" i="1" a="1"/>
  <c r="K26" i="1" s="1"/>
  <c r="K27" i="1" s="1"/>
  <c r="M23" i="1" a="1"/>
  <c r="M23" i="1" s="1"/>
  <c r="E26" i="1" a="1"/>
  <c r="E26" i="1" s="1"/>
  <c r="E14" i="1" a="1"/>
  <c r="E14" i="1" s="1"/>
  <c r="I23" i="1" a="1"/>
  <c r="I23" i="1" s="1"/>
  <c r="M32" i="1" a="1"/>
  <c r="M32" i="1" s="1"/>
  <c r="E23" i="1" a="1"/>
  <c r="E2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ABC120B9-95A4-4FF3-9307-D36BAE9F1DB8}">
      <text>
        <r>
          <rPr>
            <sz val="10"/>
            <color rgb="FF000000"/>
            <rFont val="Aptos Narrow"/>
            <scheme val="minor"/>
          </rPr>
          <t>Pondere din nota de la E / V</t>
        </r>
      </text>
    </comment>
  </commentList>
</comments>
</file>

<file path=xl/sharedStrings.xml><?xml version="1.0" encoding="utf-8"?>
<sst xmlns="http://schemas.openxmlformats.org/spreadsheetml/2006/main" count="228" uniqueCount="151">
  <si>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</si>
  <si>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</si>
  <si>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</si>
  <si>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</si>
  <si>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</si>
  <si>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</si>
  <si>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</si>
  <si>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</si>
  <si>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</si>
  <si>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</si>
  <si>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</si>
  <si>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</si>
  <si>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Tehnici de optimizare</t>
  </si>
  <si>
    <t>(în limba engleză, conform Suplimentului la diplomă)</t>
  </si>
  <si>
    <t>2.1.2. Codul disciplinei</t>
  </si>
  <si>
    <t xml:space="preserve">2.1.3. Categoria formativă </t>
  </si>
  <si>
    <t>2.2 Titularul / titularii activităţilor de curs</t>
  </si>
  <si>
    <t>Şef lucr.dr.ing. Silviu Florin Ostafi</t>
  </si>
  <si>
    <t>2.3 Titularul / titularii activităţilor de aplicaţii (S, L, P, Pr)</t>
  </si>
  <si>
    <t xml:space="preserve">Asist.drd.Ing. Aura Ganciu
</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</si>
  <si>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</si>
  <si>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</si>
  <si>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</si>
  <si>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</si>
  <si>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</si>
  <si>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</si>
  <si>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</si>
  <si>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</si>
  <si>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</si>
  <si>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</si>
  <si>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</si>
  <si>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</si>
  <si>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</si>
  <si>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</si>
  <si>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</si>
  <si>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</si>
  <si>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</si>
  <si>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</si>
  <si>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</si>
  <si>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</si>
  <si>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</si>
  <si>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</si>
  <si>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</si>
  <si>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</si>
  <si>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</si>
  <si>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</si>
  <si>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</si>
  <si>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</si>
  <si>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</si>
  <si>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</si>
  <si>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</si>
  <si>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Algebră liniară şi geometrie analitică - AIA 101, Analiza matematică - AIA 102, Ecuatii diferentiale si calcul operational - AIA 108</t>
  </si>
  <si>
    <t>5. Condiţii</t>
  </si>
  <si>
    <t>5.1 de desfăşurare a cursului</t>
  </si>
  <si>
    <t>Cursul se desfășoară într-o sală echipată cu videoproiector</t>
  </si>
  <si>
    <t>5.2 de desfăşurare a seminarului / laboratorului / proiectului</t>
  </si>
  <si>
    <t>Laboratorul se desfășoară într-o sală echipată tablă, rețea de calculatoare și videoproiector</t>
  </si>
  <si>
    <t>6. Obiectivul general al disciplinei</t>
  </si>
  <si>
    <t>Cunoaşterea tehnicilor de optimizare staţionară şi dinamică - problematică, principalele metode de optimizare, sinteză, aplicaţii.</t>
  </si>
  <si>
    <t>7. Rezultatele învățării</t>
  </si>
  <si>
    <t>Cunoștințe</t>
  </si>
  <si>
    <t>Studentul / Absolventul:</t>
  </si>
  <si>
    <t xml:space="preserve">- Explică principiile metodelor analitice și numerice utilizate în extremizarea funcțiilor
- Definește structura și dualitatea problemelor de programare liniară cu referire la aplicații inginerești
- Descrie metodele numerice de rezolvare a problemelor de optimizare cu și fără restricții
- Indică tipurile de probleme de control optimal și strategiile de rezolvare
</t>
  </si>
  <si>
    <t>Aptitudini</t>
  </si>
  <si>
    <t>- Rezolvă probleme de optimizare cu și fără restricții folosind metode analitice
- Testează metode numerice pentru rezolvarea problemelor de programare neliniară, cu ajutorul MATLAB
- Construiește funcția obiectiv și constrângerile în cazul problemelor de programare liniară
- Analizează limitările și avantajele diverselor metode de optimizare în funcție de tipul problemei
- Examinează performanța algoritmilor de optimizare pe baza criteriilor de convergență
- Compară algoritmi de optimizare în funcție de criterii de performanță computațională
- Selectează metode de optimizare adecvate în funcție de natura și restricțiile problemei
- Determină soluții pentru controlul optimal al proceselor tehnice</t>
  </si>
  <si>
    <t>Responsabilitate și autonomie</t>
  </si>
  <si>
    <t xml:space="preserve">- Demonstrează responsabilitate în documentarea corectă a problemelor și interpretarea rezultatelor obținute
- Urmărește etapele metodologice în formularea, implementarea și verificarea unei soluții de optimizare
- Manifesta interes pentru utilizarea tehnologiilor moderne în analiza și rezolvarea problemelor de optimizare
</t>
  </si>
  <si>
    <t xml:space="preserve">8. Metode de predare </t>
  </si>
  <si>
    <t xml:space="preserve">Prezentarea cu videoproiectorul a materialelor de curs în format Power Point
Stimularea unui dialog permanent cu studenţii, ca mecanism de fixare a informaţiilor transmise în cadrul prelegerii
Realizarea de legături cu alte discipline de la ciclul de licență
</t>
  </si>
  <si>
    <t>9. Conţinuturi</t>
  </si>
  <si>
    <t>9.1. Curs</t>
  </si>
  <si>
    <t>Metode de predare</t>
  </si>
  <si>
    <t>Timp alocat</t>
  </si>
  <si>
    <t>1</t>
  </si>
  <si>
    <t>Introducere</t>
  </si>
  <si>
    <t xml:space="preserve">Prezentarea cu videoproiectorul a materialelor de curs în format Power Point
Stimularea unui dialog permanent cu studenţii, ca mecanism de fixare a informaţiilor transmise în cadrul prelegerii
Realizarea de legături cu alte discipline de la ciclul de licență
Observații:
- Conținutul cursului se actualizează periodic
- Notele de curs sunt disponibile în format electronic la adresa edu.tuiasi.ro
</t>
  </si>
  <si>
    <t>2 ore</t>
  </si>
  <si>
    <t>2</t>
  </si>
  <si>
    <t>Metode analitice pentru optimizarea funcțiilor de o variabilă și a funcțiilor de mai multe variabile fără restricții</t>
  </si>
  <si>
    <t>3</t>
  </si>
  <si>
    <t>Metode analitice pentru optimizarea funcțiilor de mai multe variabile cu restricții egalitate/inegalitate</t>
  </si>
  <si>
    <t>4</t>
  </si>
  <si>
    <t>Programarea liniară.Formularea problemei. Algoritmul simplex.</t>
  </si>
  <si>
    <t>5</t>
  </si>
  <si>
    <t>Programarea liniară. Probleme adiționale și extensii. Dualitatea problemelor de programare liniară. Algoritmul simplex dual. Metoda de punct interior. Programarea pătratică</t>
  </si>
  <si>
    <t>6</t>
  </si>
  <si>
    <t>Metode numerice pentru probleme de optimizare fără restricții. Clasificare. Criterii de evaluare a calității algoritmilor. Metode de explorare și de eliminare pentru funcții de mai multe variabile.</t>
  </si>
  <si>
    <t>7</t>
  </si>
  <si>
    <t>Metode numerice pentru probleme de optimizare fără restricții. Metode de căutare: prezentare generală, proceduri de determinare a pasului optim (Fibonacci, secțiunea de aur, metode de interpolare, metoda Newton, metode cvasi Newton, metoda secantei)</t>
  </si>
  <si>
    <t>8</t>
  </si>
  <si>
    <t>Metode numerice pentru probleme de optimizare fără restricții. Metode de căutare: metode de gradient, metode bazate pe direcții conjugate, metoda Newton-Raphson, metoda Marquardt, metode cvasi-Newton (DFP, BFGS)</t>
  </si>
  <si>
    <t>9</t>
  </si>
  <si>
    <t>Metode numerice pentru probleme de optimizare fără restricții. Metode de căutare directe: căutare ciclică după axele de coordonate, metoda Rosenbrock, metoda Powell, metoda Simplex</t>
  </si>
  <si>
    <t>10</t>
  </si>
  <si>
    <t>Metode numerice pentru probleme de optimizare cu restricții: metode de căutare aleatoare, programarea liniară secvențială</t>
  </si>
  <si>
    <t>11</t>
  </si>
  <si>
    <t>Metode numerice pentru probleme de optimizare cu restricții: metode bazate pe direcții admisibile, programarea pătratică secvențială</t>
  </si>
  <si>
    <t>12</t>
  </si>
  <si>
    <t>Metode numerice pentru probleme de optimizare cu restricții: metode bazate pe funcții de penalizare, metoda lagrangeanului augmentat</t>
  </si>
  <si>
    <t>13</t>
  </si>
  <si>
    <t>Control optimal. Prezentare generală. Formularea problemelor. Probleme uzuale de optimizare. Metode variaționale clasice: algoritmul Euler-Lagrange.</t>
  </si>
  <si>
    <t>14</t>
  </si>
  <si>
    <t>Control optimal. Probleme de control optimal cu condiții terminale fixate/libere. Condiții necesare și suficiente de extrem.</t>
  </si>
  <si>
    <r>
      <rPr>
        <sz val="12"/>
        <rFont val="Arial"/>
      </rPr>
      <t xml:space="preserve">Bibliografie curs:
1. F. Ostafi, Tehnici de optimizare - Note de curs, </t>
    </r>
    <r>
      <rPr>
        <u/>
        <sz val="12"/>
        <color rgb="FF1155CC"/>
        <rFont val="Arial"/>
      </rPr>
      <t>edu.tuiasi.ro</t>
    </r>
    <r>
      <rPr>
        <sz val="12"/>
        <rFont val="Arial"/>
      </rPr>
      <t xml:space="preserve">
2. S. S. Rao, Engineering Optimization. Theory and Practice, John Wiley  &amp; Sons, 2020
3. M.J. Kochenderfer, T.A. Wheeler, Algorithms for Optimization, MIT Press, 2019
4. A. Ravindran, K.M. Ragsdell, G.V. Reklaitis, Engineering Optimization. Methods and Applications, 2nd Ed., John Wiley  &amp; Sons, 2006
5. D. G. Luenberger, Y. Ye, Linear and Nonlinear Programming, 3rd Ed., Springer, 2008
6. C. Botan, Tehnici de Optimizare, Politehnium, 2007
7. C. Botan, F. Ostafi, Control optimal, Politehnium, 2009</t>
    </r>
  </si>
  <si>
    <t>9.2a Seminar</t>
  </si>
  <si>
    <t>Metode de lucru</t>
  </si>
  <si>
    <t>9.2b Laborator</t>
  </si>
  <si>
    <t>Metode analitice pentru extremizarea funcţiilor de o variabilă</t>
  </si>
  <si>
    <t xml:space="preserve">Rezolvare exerciţii şi probleme, discuţii
Demonstraţie practică, exerciţii
Observații:
- Lucrările de laborator sunt disponibile în format electronic la adresa edu.tuiasi.ro
</t>
  </si>
  <si>
    <t>Metode analitice pentru extremizarea funcţiilor de mai multe variabile fără restricții</t>
  </si>
  <si>
    <t>Metode analitice pentru extremizarea funcţiilor de mai multe variabile cu restricții</t>
  </si>
  <si>
    <t>Programarea liniară. Algoritmul SIMPLEX</t>
  </si>
  <si>
    <t>Dualitatea problemelor de programare liniară. Algoritmul Simplex dual. Metode de punct interior. Programarea pătratică</t>
  </si>
  <si>
    <t>Metode numerice pentru extremizarea funcțiilor de o variabilă - I. Metode de explorare. Metode de eliminare: metoda căutării exhaustive, metoda căutării dihotomice, metoda înjumătățirii intervalului</t>
  </si>
  <si>
    <t>Metode numerice pentru extremizarea funcțiilor de o variabilă - II. Metode de eliminare: metoda Fibonacci, metoda secțiunii de aur. Metoda de interpolare pătratică</t>
  </si>
  <si>
    <t>Metode de căutare pentru rezolvarea problemelor de optimizare staţionară fără restricţii - I. Metode de gradient. Metode bazate pe direcții conjugate</t>
  </si>
  <si>
    <t>Metode de căutare pentru rezolvarea problemelor de optimizare fără restricţii - II. Metoda Newton_Raphson, Marquardt, Metode cvasi-Newton: DFP, BFGS</t>
  </si>
  <si>
    <t>Metode de căutare directe pentru rezolvarea problemelor de optimizare fără restricţii Metoda căutării ciclice după axele de coordonate, Metoda Rosenbrock, Metoda Powell</t>
  </si>
  <si>
    <t>Utilizarea Matlab pentru rezolvarea problemelor de programare liniară</t>
  </si>
  <si>
    <t>Utilizarea Matlab pentru rezolvarea problemelor de programare neliniară</t>
  </si>
  <si>
    <t>Probleme variaționale. Probleme de control optimal</t>
  </si>
  <si>
    <t>Comanda optimală a unui motor de curent continuu</t>
  </si>
  <si>
    <t>9.2c Proiect</t>
  </si>
  <si>
    <r>
      <rPr>
        <sz val="12"/>
        <rFont val="Arial"/>
      </rPr>
      <t xml:space="preserve">Bibliografie aplicaţii (seminar / laborator / proiect):
1. F. Ostafi, Tehnici de optimizare - Lucrări de laborator, </t>
    </r>
    <r>
      <rPr>
        <u/>
        <sz val="12"/>
        <color rgb="FF1155CC"/>
        <rFont val="Arial"/>
      </rPr>
      <t>edu.tuiasi.ro</t>
    </r>
    <r>
      <rPr>
        <sz val="12"/>
        <rFont val="Arial"/>
      </rPr>
      <t xml:space="preserve"> 
2. S. S. Rao, Engineering Optimization. Theory and Practice, John Wiley  &amp; Sons, 2020
3. M.J. Kochenderfer, T.A. Wheeler, Algorithms for Optimization, MIT Press, 2019
4. A. Ravindran, K.M. Ragsdell, G.V. Reklaitis, Engineering Optimization. Methods and Applications, 2nd Ed., John Wiley  &amp; Sons, 2006
5. ***,  https://www.mathworks.com/help/matlab/
</t>
    </r>
  </si>
  <si>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</si>
  <si>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</si>
  <si>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</si>
  <si>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</si>
  <si>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</si>
  <si>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</si>
  <si>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Gradul de asimilare a limbajului de specialitate şi capacitatea de comunicare.
Capacitatea de a valorifica abilităţile dobândite.
Capacitatea de a prelucra datele și de a rezolva problemele enunțate.</t>
  </si>
  <si>
    <r>
      <rPr>
        <sz val="12"/>
        <color theme="1"/>
        <rFont val="Arial"/>
      </rPr>
      <t xml:space="preserve">- test de evaluare sumativ (verificare finală):
     proba 1. Test teoretic grilă pe platforma Moodle, fără acces la documentație - 30%
     proba 2. Rezolvare de probleme, fără acces la documentaţie - 70%
     </t>
    </r>
    <r>
      <rPr>
        <i/>
        <sz val="12"/>
        <color theme="1"/>
        <rFont val="Arial"/>
      </rPr>
      <t>accesul la proba a 2-a a  examenului este condiționat de obținerea notei 5 la proba 1</t>
    </r>
  </si>
  <si>
    <t>100%</t>
  </si>
  <si>
    <t>10.5a Seminar</t>
  </si>
  <si>
    <t>Capacitatea de aplicare în practică a cunoştinţelor învăţate. Capacitatea de analiză, de interpretare personală, originalitatea, creativitatea.</t>
  </si>
  <si>
    <t xml:space="preserve">
</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</si>
  <si>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</si>
  <si>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</si>
  <si>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lucrărilor de laborator (toate lucrările de laborator trebuie efectuate, admiţându-se recuperarea doar a unei lucrări de laborator restante);
 - 2 teste de evaluare în săptămânile 6,13.</t>
  </si>
  <si>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</si>
  <si>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</si>
  <si>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</si>
  <si>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</si>
  <si>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</si>
  <si>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</si>
  <si>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</si>
  <si>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</si>
  <si>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</si>
  <si>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</si>
  <si>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</si>
  <si>
    <t>FISA DISCIPLINEI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</si>
</sst>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0" borderId="3" xfId="0" applyFont="1" applyBorder="1" applyAlignment="1">
      <alignment horizontal="center" vertical="center" wrapText="1"/>
    </xf>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xf numFmtId="0" fontId="3" fillId="2" borderId="1" xfId="0" applyFont="1" applyFill="1" applyBorder="1" applyAlignment="1">
      <alignment horizontal="right" vertical="center" wrapText="1"/>
    </xf>
    <xf numFmtId="0" fontId="4" fillId="0" borderId="3" xfId="0" applyFont="1" applyBorder="1"/>
    <xf numFmtId="164" fontId="2" fillId="0" borderId="1" xfId="0" applyNumberFormat="1" applyFont="1" applyBorder="1" applyAlignment="1">
      <alignment horizontal="left" vertical="center" wrapText="1"/>
    </xf>
    <xf numFmtId="0" fontId="4" fillId="0" borderId="2" xfId="0" applyFont="1" applyBorder="1"/>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0" fillId="0" borderId="0" xfId="0"/>
    <xf numFmtId="0" fontId="3" fillId="2" borderId="4" xfId="0" applyFont="1" applyFill="1" applyBorder="1" applyAlignment="1">
      <alignment horizontal="right" vertical="center" wrapText="1"/>
    </xf>
    <xf numFmtId="0" fontId="4" fillId="0" borderId="6" xfId="0" applyFont="1" applyBorder="1"/>
    <xf numFmtId="0" fontId="4" fillId="0" borderId="10" xfId="0" applyFont="1" applyBorder="1"/>
    <xf numFmtId="0" fontId="4" fillId="0" borderId="11" xfId="0" applyFont="1" applyBorder="1"/>
    <xf numFmtId="0" fontId="4" fillId="0" borderId="7" xfId="0" applyFont="1" applyBorder="1"/>
    <xf numFmtId="0" fontId="4" fillId="0" borderId="9"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2" fillId="0" borderId="1" xfId="0" applyNumberFormat="1" applyFont="1" applyBorder="1" applyAlignment="1">
      <alignment wrapText="1"/>
    </xf>
    <xf numFmtId="164" fontId="2" fillId="3" borderId="1" xfId="0" applyNumberFormat="1" applyFont="1" applyFill="1" applyBorder="1" applyAlignment="1">
      <alignment horizontal="lef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0" fontId="4" fillId="0" borderId="15" xfId="0" applyFont="1" applyBorder="1"/>
    <xf numFmtId="0" fontId="4" fillId="0" borderId="14" xfId="0" applyFont="1" applyBorder="1"/>
    <xf numFmtId="49" fontId="2" fillId="3" borderId="4" xfId="0" applyNumberFormat="1" applyFont="1" applyFill="1" applyBorder="1" applyAlignment="1">
      <alignment vertical="top" wrapText="1"/>
    </xf>
    <xf numFmtId="0" fontId="4" fillId="0" borderId="5" xfId="0" applyFont="1" applyBorder="1"/>
    <xf numFmtId="0" fontId="4" fillId="0" borderId="8" xfId="0" applyFont="1" applyBorder="1"/>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vertical="center" wrapText="1"/>
    </xf>
    <xf numFmtId="9" fontId="2" fillId="0" borderId="4" xfId="0" applyNumberFormat="1" applyFont="1" applyBorder="1" applyAlignment="1">
      <alignment horizontal="center" vertical="center" wrapText="1"/>
    </xf>
    <xf numFmtId="0" fontId="2" fillId="3" borderId="1" xfId="0" applyFont="1" applyFill="1" applyBorder="1" applyAlignment="1">
      <alignment vertical="center" wrapText="1"/>
    </xf>
    <xf numFmtId="0" fontId="7" fillId="3" borderId="1" xfId="0" applyFont="1" applyFill="1" applyBorder="1" applyAlignment="1">
      <alignment vertical="center" wrapText="1"/>
    </xf>
    <xf numFmtId="0" fontId="3" fillId="0" borderId="0" xfId="0" applyFont="1" applyAlignment="1">
      <alignment vertical="center" wrapText="1"/>
    </xf>
    <xf numFmtId="0" fontId="3" fillId="2" borderId="1" xfId="0"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top"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2" fillId="2" borderId="1" xfId="0" applyFont="1" applyFill="1" applyBorder="1" applyAlignment="1">
      <alignment vertical="center" wrapText="1"/>
    </xf>
    <xf numFmtId="0" fontId="2" fillId="2" borderId="1" xfId="0" applyFont="1" applyFill="1" applyBorder="1" applyAlignment="1">
      <alignment horizontal="right" vertical="center" wrapText="1"/>
    </xf>
    <xf numFmtId="0" fontId="2" fillId="2" borderId="4" xfId="0" applyFont="1" applyFill="1" applyBorder="1" applyAlignment="1">
      <alignment vertical="center" wrapText="1"/>
    </xf>
    <xf numFmtId="0" fontId="2" fillId="2" borderId="7" xfId="0" applyFont="1" applyFill="1" applyBorder="1" applyAlignment="1">
      <alignment vertical="center" wrapText="1"/>
    </xf>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5" fillId="2" borderId="1" xfId="0" applyFont="1" applyFill="1" applyBorder="1" applyAlignment="1">
      <alignment vertical="center" wrapText="1"/>
    </xf>
    <xf numFmtId="0" fontId="2" fillId="0" borderId="4"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edu.tuiasi.ro/" TargetMode="External"/><Relationship Id="rId1" Type="http://schemas.openxmlformats.org/officeDocument/2006/relationships/hyperlink" Target="http://edu.tuiasi.ro/"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1C94A-07FE-49E7-B235-F6AC81D0A487}">
  <dimension ref="A1:N145"/>
  <sheetViews>
    <sheetView tabSelected="1" workbookViewId="0">
      <selection sqref="A1:M1"/>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61" t="s">
        <v>150</v>
      </c>
      <c r="B1" s="20"/>
      <c r="C1" s="20"/>
      <c r="D1" s="20"/>
      <c r="E1" s="20"/>
      <c r="F1" s="20"/>
      <c r="G1" s="20"/>
      <c r="H1" s="20"/>
      <c r="I1" s="20"/>
      <c r="J1" s="20"/>
      <c r="K1" s="20"/>
      <c r="L1" s="20"/>
      <c r="M1" s="20"/>
      <c r="N1" s="1"/>
    </row>
    <row r="2" spans="1:14" ht="15.5" x14ac:dyDescent="0.35">
      <c r="A2" s="62" t="str">
        <f>[1]Date!C1</f>
        <v>Anul universitar: 2025-2026</v>
      </c>
      <c r="B2" s="20"/>
      <c r="C2" s="20"/>
      <c r="D2" s="20"/>
      <c r="E2" s="20"/>
      <c r="F2" s="20"/>
      <c r="G2" s="20"/>
      <c r="H2" s="20"/>
      <c r="I2" s="20"/>
      <c r="J2" s="20"/>
      <c r="K2" s="20"/>
      <c r="L2" s="20"/>
      <c r="M2" s="20"/>
      <c r="N2" s="2"/>
    </row>
    <row r="3" spans="1:14" ht="15.5" x14ac:dyDescent="0.35">
      <c r="A3" s="44" t="s">
        <v>0</v>
      </c>
      <c r="B3" s="20"/>
      <c r="C3" s="20"/>
      <c r="D3" s="20"/>
      <c r="E3" s="20"/>
      <c r="F3" s="20"/>
      <c r="G3" s="20"/>
      <c r="H3" s="20"/>
      <c r="I3" s="20"/>
      <c r="J3" s="20"/>
      <c r="K3" s="20"/>
      <c r="L3" s="20"/>
      <c r="M3" s="20"/>
      <c r="N3" s="2"/>
    </row>
    <row r="4" spans="1:14" ht="15.5" x14ac:dyDescent="0.35">
      <c r="A4" s="53" t="s">
        <v>1</v>
      </c>
      <c r="B4" s="16"/>
      <c r="C4" s="18" t="s">
        <v>2</v>
      </c>
      <c r="D4" s="16"/>
      <c r="E4" s="16"/>
      <c r="F4" s="16"/>
      <c r="G4" s="16"/>
      <c r="H4" s="16"/>
      <c r="I4" s="16"/>
      <c r="J4" s="16"/>
      <c r="K4" s="16"/>
      <c r="L4" s="16"/>
      <c r="M4" s="14"/>
      <c r="N4" s="2"/>
    </row>
    <row r="5" spans="1:14" ht="15.5" x14ac:dyDescent="0.35">
      <c r="A5" s="53" t="s">
        <v>3</v>
      </c>
      <c r="B5" s="14"/>
      <c r="C5" s="18" t="s">
        <v>4</v>
      </c>
      <c r="D5" s="16"/>
      <c r="E5" s="16"/>
      <c r="F5" s="16"/>
      <c r="G5" s="16"/>
      <c r="H5" s="16"/>
      <c r="I5" s="16"/>
      <c r="J5" s="16"/>
      <c r="K5" s="16"/>
      <c r="L5" s="16"/>
      <c r="M5" s="14"/>
      <c r="N5" s="2"/>
    </row>
    <row r="6" spans="1:14" ht="15.5" x14ac:dyDescent="0.35">
      <c r="A6" s="53" t="s">
        <v>5</v>
      </c>
      <c r="B6" s="14"/>
      <c r="C6" s="18" t="s">
        <v>6</v>
      </c>
      <c r="D6" s="16"/>
      <c r="E6" s="16"/>
      <c r="F6" s="16"/>
      <c r="G6" s="16"/>
      <c r="H6" s="16"/>
      <c r="I6" s="16"/>
      <c r="J6" s="16"/>
      <c r="K6" s="16"/>
      <c r="L6" s="16"/>
      <c r="M6" s="14"/>
      <c r="N6" s="2"/>
    </row>
    <row r="7" spans="1:14" ht="15.5" x14ac:dyDescent="0.35">
      <c r="A7" s="53" t="s">
        <v>7</v>
      </c>
      <c r="B7" s="14"/>
      <c r="C7" s="18" t="str">
        <f>[1]Date!B2</f>
        <v>Ingineria sistemelor</v>
      </c>
      <c r="D7" s="16"/>
      <c r="E7" s="16"/>
      <c r="F7" s="16"/>
      <c r="G7" s="16"/>
      <c r="H7" s="16"/>
      <c r="I7" s="16"/>
      <c r="J7" s="16"/>
      <c r="K7" s="16"/>
      <c r="L7" s="16"/>
      <c r="M7" s="14"/>
      <c r="N7" s="2"/>
    </row>
    <row r="8" spans="1:14" ht="15.5" x14ac:dyDescent="0.35">
      <c r="A8" s="53" t="s">
        <v>8</v>
      </c>
      <c r="B8" s="14"/>
      <c r="C8" s="18" t="str">
        <f>[1]Date!B3</f>
        <v>Licență</v>
      </c>
      <c r="D8" s="16"/>
      <c r="E8" s="16"/>
      <c r="F8" s="16"/>
      <c r="G8" s="16"/>
      <c r="H8" s="16"/>
      <c r="I8" s="16"/>
      <c r="J8" s="16"/>
      <c r="K8" s="16"/>
      <c r="L8" s="16"/>
      <c r="M8" s="14"/>
      <c r="N8" s="2"/>
    </row>
    <row r="9" spans="1:14" ht="15.5" x14ac:dyDescent="0.35">
      <c r="A9" s="59" t="s">
        <v>9</v>
      </c>
      <c r="B9" s="14"/>
      <c r="C9" s="18" t="str">
        <f>[1]Date!C5</f>
        <v>Automatică și Informatică Aplicată</v>
      </c>
      <c r="D9" s="16"/>
      <c r="E9" s="16"/>
      <c r="F9" s="16"/>
      <c r="G9" s="16"/>
      <c r="H9" s="16"/>
      <c r="I9" s="16"/>
      <c r="J9" s="16"/>
      <c r="K9" s="16"/>
      <c r="L9" s="16"/>
      <c r="M9" s="14"/>
      <c r="N9" s="2"/>
    </row>
    <row r="10" spans="1:14" ht="15.5" x14ac:dyDescent="0.35">
      <c r="A10" s="19"/>
      <c r="B10" s="20"/>
      <c r="C10" s="20"/>
      <c r="D10" s="20"/>
      <c r="E10" s="20"/>
      <c r="F10" s="20"/>
      <c r="G10" s="20"/>
      <c r="H10" s="20"/>
      <c r="I10" s="20"/>
      <c r="J10" s="20"/>
      <c r="K10" s="20"/>
      <c r="L10" s="20"/>
      <c r="M10" s="20"/>
      <c r="N10" s="2"/>
    </row>
    <row r="11" spans="1:14" ht="15.5" x14ac:dyDescent="0.35">
      <c r="A11" s="44" t="s">
        <v>10</v>
      </c>
      <c r="B11" s="20"/>
      <c r="C11" s="20"/>
      <c r="D11" s="20"/>
      <c r="E11" s="20"/>
      <c r="F11" s="20"/>
      <c r="G11" s="20"/>
      <c r="H11" s="20"/>
      <c r="I11" s="20"/>
      <c r="J11" s="20"/>
      <c r="K11" s="20"/>
      <c r="L11" s="20"/>
      <c r="M11" s="20"/>
      <c r="N11" s="2"/>
    </row>
    <row r="12" spans="1:14" ht="15.5" x14ac:dyDescent="0.35">
      <c r="A12" s="55" t="s">
        <v>11</v>
      </c>
      <c r="B12" s="37"/>
      <c r="C12" s="37"/>
      <c r="D12" s="22"/>
      <c r="E12" s="60" t="s">
        <v>12</v>
      </c>
      <c r="F12" s="37"/>
      <c r="G12" s="37"/>
      <c r="H12" s="37"/>
      <c r="I12" s="37"/>
      <c r="J12" s="37"/>
      <c r="K12" s="37"/>
      <c r="L12" s="37"/>
      <c r="M12" s="22"/>
      <c r="N12" s="2"/>
    </row>
    <row r="13" spans="1:14" ht="15.5" x14ac:dyDescent="0.35">
      <c r="A13" s="56" t="s">
        <v>13</v>
      </c>
      <c r="B13" s="38"/>
      <c r="C13" s="38"/>
      <c r="D13" s="26"/>
      <c r="E13" s="57" t="str">
        <f t="array" aca="1" ref="E13" ca="1">INDEX([1]Date!D8:D21, MATCH(E12,[1]Date!C8:C21,0),0)</f>
        <v>Optimization Techniques</v>
      </c>
      <c r="F13" s="38"/>
      <c r="G13" s="38"/>
      <c r="H13" s="38"/>
      <c r="I13" s="38"/>
      <c r="J13" s="38"/>
      <c r="K13" s="38"/>
      <c r="L13" s="38"/>
      <c r="M13" s="26"/>
      <c r="N13" s="2"/>
    </row>
    <row r="14" spans="1:14" ht="15.5" x14ac:dyDescent="0.35">
      <c r="A14" s="53" t="s">
        <v>14</v>
      </c>
      <c r="B14" s="16"/>
      <c r="C14" s="16"/>
      <c r="D14" s="14"/>
      <c r="E14" s="58" t="str">
        <f t="array" aca="1" ref="E14" ca="1">INDEX([1]Date!E8:E21, MATCH(E12,[1]Date!C8:C21,0),0)</f>
        <v>AIA210</v>
      </c>
      <c r="F14" s="38"/>
      <c r="G14" s="38"/>
      <c r="H14" s="38"/>
      <c r="I14" s="53" t="s">
        <v>15</v>
      </c>
      <c r="J14" s="16"/>
      <c r="K14" s="16"/>
      <c r="L14" s="14"/>
      <c r="M14" s="4" t="str">
        <f t="array" aca="1" ref="M14" ca="1">INDEX([1]Date!G8:G21, MATCH(E12,[1]Date!C8:C21,0),0)</f>
        <v>DD</v>
      </c>
      <c r="N14" s="2"/>
    </row>
    <row r="15" spans="1:14" ht="15.5" x14ac:dyDescent="0.35">
      <c r="A15" s="55" t="s">
        <v>16</v>
      </c>
      <c r="B15" s="37"/>
      <c r="C15" s="37"/>
      <c r="D15" s="22"/>
      <c r="E15" s="42" t="s">
        <v>17</v>
      </c>
      <c r="F15" s="16"/>
      <c r="G15" s="16"/>
      <c r="H15" s="16"/>
      <c r="I15" s="16"/>
      <c r="J15" s="16"/>
      <c r="K15" s="16"/>
      <c r="L15" s="16"/>
      <c r="M15" s="14"/>
      <c r="N15" s="2"/>
    </row>
    <row r="16" spans="1:14" ht="15.5" x14ac:dyDescent="0.35">
      <c r="A16" s="25"/>
      <c r="B16" s="38"/>
      <c r="C16" s="38"/>
      <c r="D16" s="26"/>
      <c r="E16" s="42"/>
      <c r="F16" s="16"/>
      <c r="G16" s="16"/>
      <c r="H16" s="16"/>
      <c r="I16" s="16"/>
      <c r="J16" s="16"/>
      <c r="K16" s="16"/>
      <c r="L16" s="16"/>
      <c r="M16" s="14"/>
      <c r="N16" s="2"/>
    </row>
    <row r="17" spans="1:14" ht="15.5" x14ac:dyDescent="0.35">
      <c r="A17" s="55" t="s">
        <v>18</v>
      </c>
      <c r="B17" s="37"/>
      <c r="C17" s="37"/>
      <c r="D17" s="22"/>
      <c r="E17" s="42" t="s">
        <v>17</v>
      </c>
      <c r="F17" s="16"/>
      <c r="G17" s="16"/>
      <c r="H17" s="16"/>
      <c r="I17" s="16"/>
      <c r="J17" s="16"/>
      <c r="K17" s="16"/>
      <c r="L17" s="16"/>
      <c r="M17" s="14"/>
      <c r="N17" s="2"/>
    </row>
    <row r="18" spans="1:14" ht="15.5" x14ac:dyDescent="0.35">
      <c r="A18" s="23"/>
      <c r="B18" s="20"/>
      <c r="C18" s="20"/>
      <c r="D18" s="24"/>
      <c r="E18" s="42" t="s">
        <v>19</v>
      </c>
      <c r="F18" s="16"/>
      <c r="G18" s="16"/>
      <c r="H18" s="16"/>
      <c r="I18" s="16"/>
      <c r="J18" s="16"/>
      <c r="K18" s="16"/>
      <c r="L18" s="16"/>
      <c r="M18" s="14"/>
      <c r="N18" s="2"/>
    </row>
    <row r="19" spans="1:14" ht="15.5" hidden="1" x14ac:dyDescent="0.35">
      <c r="A19" s="23"/>
      <c r="B19" s="20"/>
      <c r="C19" s="20"/>
      <c r="D19" s="24"/>
      <c r="E19" s="42"/>
      <c r="F19" s="16"/>
      <c r="G19" s="16"/>
      <c r="H19" s="16"/>
      <c r="I19" s="16"/>
      <c r="J19" s="16"/>
      <c r="K19" s="16"/>
      <c r="L19" s="16"/>
      <c r="M19" s="14"/>
      <c r="N19" s="2"/>
    </row>
    <row r="20" spans="1:14" ht="15.5" hidden="1" x14ac:dyDescent="0.35">
      <c r="A20" s="23"/>
      <c r="B20" s="20"/>
      <c r="C20" s="20"/>
      <c r="D20" s="24"/>
      <c r="E20" s="42"/>
      <c r="F20" s="16"/>
      <c r="G20" s="16"/>
      <c r="H20" s="16"/>
      <c r="I20" s="16"/>
      <c r="J20" s="16"/>
      <c r="K20" s="16"/>
      <c r="L20" s="16"/>
      <c r="M20" s="14"/>
      <c r="N20" s="2"/>
    </row>
    <row r="21" spans="1:14" ht="15.5" hidden="1" x14ac:dyDescent="0.35">
      <c r="A21" s="23"/>
      <c r="B21" s="20"/>
      <c r="C21" s="20"/>
      <c r="D21" s="24"/>
      <c r="E21" s="42"/>
      <c r="F21" s="16"/>
      <c r="G21" s="16"/>
      <c r="H21" s="16"/>
      <c r="I21" s="16"/>
      <c r="J21" s="16"/>
      <c r="K21" s="16"/>
      <c r="L21" s="16"/>
      <c r="M21" s="14"/>
      <c r="N21" s="2"/>
    </row>
    <row r="22" spans="1:14" ht="15.5" hidden="1" x14ac:dyDescent="0.35">
      <c r="A22" s="25"/>
      <c r="B22" s="38"/>
      <c r="C22" s="38"/>
      <c r="D22" s="26"/>
      <c r="E22" s="42"/>
      <c r="F22" s="16"/>
      <c r="G22" s="16"/>
      <c r="H22" s="16"/>
      <c r="I22" s="16"/>
      <c r="J22" s="16"/>
      <c r="K22" s="16"/>
      <c r="L22" s="16"/>
      <c r="M22" s="14"/>
      <c r="N22" s="2"/>
    </row>
    <row r="23" spans="1:14" ht="31" x14ac:dyDescent="0.35">
      <c r="A23" s="53" t="s">
        <v>20</v>
      </c>
      <c r="B23" s="14"/>
      <c r="C23" s="5">
        <f>[1]Date!B4</f>
        <v>2</v>
      </c>
      <c r="D23" s="6" t="s">
        <v>21</v>
      </c>
      <c r="E23" s="5">
        <f t="array" aca="1" ref="E23" ca="1">INDEX([1]Date!A8:A21, MATCH(E12,[1]Date!C8:C21,0),0)</f>
        <v>2</v>
      </c>
      <c r="F23" s="54" t="s">
        <v>22</v>
      </c>
      <c r="G23" s="16"/>
      <c r="H23" s="14"/>
      <c r="I23" s="4" t="str">
        <f t="array" aca="1" ref="I23" ca="1">INDEX([1]Date!M8:M21, MATCH(E12,[1]Date!C8:C21,0),0)</f>
        <v>E</v>
      </c>
      <c r="J23" s="54" t="s">
        <v>23</v>
      </c>
      <c r="K23" s="16"/>
      <c r="L23" s="14"/>
      <c r="M23" s="5" t="str">
        <f t="array" aca="1" ref="M23" ca="1">INDEX([1]Date!F8:F21, MATCH(E12,[1]Date!C8:C21,0),0)</f>
        <v>DI</v>
      </c>
      <c r="N23" s="2"/>
    </row>
    <row r="24" spans="1:14" ht="15.5" x14ac:dyDescent="0.35">
      <c r="A24" s="19"/>
      <c r="B24" s="20"/>
      <c r="C24" s="20"/>
      <c r="D24" s="20"/>
      <c r="E24" s="20"/>
      <c r="F24" s="20"/>
      <c r="G24" s="20"/>
      <c r="H24" s="20"/>
      <c r="I24" s="20"/>
      <c r="J24" s="20"/>
      <c r="K24" s="20"/>
      <c r="L24" s="20"/>
      <c r="M24" s="20"/>
      <c r="N24" s="2"/>
    </row>
    <row r="25" spans="1:14" ht="15.5" x14ac:dyDescent="0.35">
      <c r="A25" s="44" t="s">
        <v>24</v>
      </c>
      <c r="B25" s="20"/>
      <c r="C25" s="20"/>
      <c r="D25" s="20"/>
      <c r="E25" s="20"/>
      <c r="F25" s="20"/>
      <c r="G25" s="20"/>
      <c r="H25" s="20"/>
      <c r="I25" s="20"/>
      <c r="J25" s="20"/>
      <c r="K25" s="20"/>
      <c r="L25" s="20"/>
      <c r="M25" s="20"/>
      <c r="N25" s="3"/>
    </row>
    <row r="26" spans="1:14" ht="31" x14ac:dyDescent="0.35">
      <c r="A26" s="53" t="s">
        <v>25</v>
      </c>
      <c r="B26" s="14"/>
      <c r="C26" s="7">
        <f ca="1">SUM(E26+G26+I26+K26)</f>
        <v>4</v>
      </c>
      <c r="D26" s="6" t="s">
        <v>26</v>
      </c>
      <c r="E26" s="5">
        <f t="array" aca="1" ref="E26" ca="1">INDEX([1]Date!H8:H21, MATCH(E12,[1]Date!C8:C21,0),0)</f>
        <v>2</v>
      </c>
      <c r="F26" s="6" t="s">
        <v>27</v>
      </c>
      <c r="G26" s="5">
        <f t="array" aca="1" ref="G26" ca="1">INDEX([1]Date!I8:I21, MATCH(E12,[1]Date!C8:C21,0),0)</f>
        <v>0</v>
      </c>
      <c r="H26" s="6" t="s">
        <v>28</v>
      </c>
      <c r="I26" s="7">
        <f t="array" aca="1" ref="I26" ca="1">INDEX([1]Date!J8:J21, MATCH(E12,[1]Date!C8:C21,0),0)</f>
        <v>2</v>
      </c>
      <c r="J26" s="6" t="s">
        <v>29</v>
      </c>
      <c r="K26" s="5">
        <f t="array" aca="1" ref="K26" ca="1">INDEX([1]Date!K8:K21, MATCH(E12,[1]Date!C8:C21,0),0)</f>
        <v>0</v>
      </c>
      <c r="L26" s="53" t="s">
        <v>30</v>
      </c>
      <c r="M26" s="14"/>
      <c r="N26" s="3"/>
    </row>
    <row r="27" spans="1:14" ht="31" x14ac:dyDescent="0.35">
      <c r="A27" s="53" t="s">
        <v>31</v>
      </c>
      <c r="B27" s="14"/>
      <c r="C27" s="5">
        <f ca="1">C26*14</f>
        <v>56</v>
      </c>
      <c r="D27" s="6" t="s">
        <v>32</v>
      </c>
      <c r="E27" s="5">
        <f ca="1">E26*14</f>
        <v>28</v>
      </c>
      <c r="F27" s="6" t="s">
        <v>33</v>
      </c>
      <c r="G27" s="5">
        <f ca="1">G26*14</f>
        <v>0</v>
      </c>
      <c r="H27" s="6" t="s">
        <v>34</v>
      </c>
      <c r="I27" s="5">
        <f ca="1">I26*14</f>
        <v>28</v>
      </c>
      <c r="J27" s="6" t="s">
        <v>35</v>
      </c>
      <c r="K27" s="5">
        <f ca="1">K26*14</f>
        <v>0</v>
      </c>
      <c r="L27" s="6" t="s">
        <v>36</v>
      </c>
      <c r="M27" s="5">
        <v>0</v>
      </c>
      <c r="N27" s="2"/>
    </row>
    <row r="28" spans="1:14" ht="15.5" x14ac:dyDescent="0.35">
      <c r="A28" s="53" t="s">
        <v>37</v>
      </c>
      <c r="B28" s="16"/>
      <c r="C28" s="16"/>
      <c r="D28" s="16"/>
      <c r="E28" s="16"/>
      <c r="F28" s="16"/>
      <c r="G28" s="16"/>
      <c r="H28" s="16"/>
      <c r="I28" s="16"/>
      <c r="J28" s="16"/>
      <c r="K28" s="16"/>
      <c r="L28" s="14"/>
      <c r="M28" s="5" t="s">
        <v>38</v>
      </c>
      <c r="N28" s="2"/>
    </row>
    <row r="29" spans="1:14" ht="15.5" x14ac:dyDescent="0.35">
      <c r="A29" s="53" t="s">
        <v>39</v>
      </c>
      <c r="B29" s="16"/>
      <c r="C29" s="16"/>
      <c r="D29" s="16"/>
      <c r="E29" s="16"/>
      <c r="F29" s="16"/>
      <c r="G29" s="16"/>
      <c r="H29" s="16"/>
      <c r="I29" s="16"/>
      <c r="J29" s="16"/>
      <c r="K29" s="16"/>
      <c r="L29" s="14"/>
      <c r="M29" s="8">
        <v>28</v>
      </c>
      <c r="N29" s="2"/>
    </row>
    <row r="30" spans="1:14" ht="15.5" x14ac:dyDescent="0.35">
      <c r="A30" s="53" t="s">
        <v>40</v>
      </c>
      <c r="B30" s="16"/>
      <c r="C30" s="16"/>
      <c r="D30" s="16"/>
      <c r="E30" s="16"/>
      <c r="F30" s="16"/>
      <c r="G30" s="16"/>
      <c r="H30" s="16"/>
      <c r="I30" s="16"/>
      <c r="J30" s="16"/>
      <c r="K30" s="16"/>
      <c r="L30" s="14"/>
      <c r="M30" s="8">
        <v>22</v>
      </c>
      <c r="N30" s="2"/>
    </row>
    <row r="31" spans="1:14" ht="15.5" x14ac:dyDescent="0.35">
      <c r="A31" s="53" t="s">
        <v>41</v>
      </c>
      <c r="B31" s="16"/>
      <c r="C31" s="16"/>
      <c r="D31" s="16"/>
      <c r="E31" s="16"/>
      <c r="F31" s="16"/>
      <c r="G31" s="16"/>
      <c r="H31" s="16"/>
      <c r="I31" s="16"/>
      <c r="J31" s="16"/>
      <c r="K31" s="16"/>
      <c r="L31" s="14"/>
      <c r="M31" s="8">
        <v>19</v>
      </c>
      <c r="N31" s="2"/>
    </row>
    <row r="32" spans="1:14" ht="15.5" x14ac:dyDescent="0.35">
      <c r="A32" s="53" t="s">
        <v>42</v>
      </c>
      <c r="B32" s="16"/>
      <c r="C32" s="16"/>
      <c r="D32" s="16"/>
      <c r="E32" s="16"/>
      <c r="F32" s="16"/>
      <c r="G32" s="16"/>
      <c r="H32" s="16"/>
      <c r="I32" s="16"/>
      <c r="J32" s="16"/>
      <c r="K32" s="16"/>
      <c r="L32" s="14"/>
      <c r="M32" s="5">
        <f t="array" aca="1" ref="M32" ca="1">IF(INDEX([1]Date!M8:M21, MATCH(E12,[1]Date!C8:C21,0),0)="E",3,0)</f>
        <v>3</v>
      </c>
      <c r="N32" s="2"/>
    </row>
    <row r="33" spans="1:14" ht="15.5" x14ac:dyDescent="0.35">
      <c r="A33" s="53" t="s">
        <v>43</v>
      </c>
      <c r="B33" s="16"/>
      <c r="C33" s="16"/>
      <c r="D33" s="16"/>
      <c r="E33" s="16"/>
      <c r="F33" s="16"/>
      <c r="G33" s="16"/>
      <c r="H33" s="16"/>
      <c r="I33" s="16"/>
      <c r="J33" s="16"/>
      <c r="K33" s="16"/>
      <c r="L33" s="14"/>
      <c r="M33" s="5">
        <f ca="1">C34-SUM(M29:M31)</f>
        <v>0</v>
      </c>
      <c r="N33" s="2"/>
    </row>
    <row r="34" spans="1:14" ht="15.5" x14ac:dyDescent="0.35">
      <c r="A34" s="53" t="s">
        <v>44</v>
      </c>
      <c r="B34" s="14"/>
      <c r="C34" s="5">
        <f t="array" aca="1" ref="C34" ca="1">INDEX([1]Date!L8:L21, MATCH(E12,[1]Date!C8:C21,0),0)</f>
        <v>69</v>
      </c>
      <c r="D34" s="2"/>
      <c r="E34" s="2"/>
      <c r="F34" s="2"/>
      <c r="G34" s="2"/>
      <c r="H34" s="2"/>
      <c r="I34" s="2"/>
      <c r="J34" s="2"/>
      <c r="K34" s="2"/>
      <c r="L34" s="2"/>
      <c r="M34" s="2"/>
      <c r="N34" s="2"/>
    </row>
    <row r="35" spans="1:14" ht="15.5" x14ac:dyDescent="0.35">
      <c r="A35" s="53" t="s">
        <v>45</v>
      </c>
      <c r="B35" s="14"/>
      <c r="C35" s="5">
        <f ca="1">C27+C34</f>
        <v>125</v>
      </c>
      <c r="D35" s="2"/>
      <c r="E35" s="2"/>
      <c r="F35" s="2"/>
      <c r="G35" s="2"/>
      <c r="H35" s="2"/>
      <c r="I35" s="2"/>
      <c r="J35" s="2"/>
      <c r="K35" s="2"/>
      <c r="L35" s="2"/>
      <c r="M35" s="2"/>
      <c r="N35" s="2"/>
    </row>
    <row r="36" spans="1:14" ht="15.5" x14ac:dyDescent="0.35">
      <c r="A36" s="53" t="s">
        <v>46</v>
      </c>
      <c r="B36" s="14"/>
      <c r="C36" s="5">
        <f t="array" aca="1" ref="C36" ca="1">INDEX([1]Date!N8:N21, MATCH(E12,[1]Date!C8:C21,0),0)</f>
        <v>5</v>
      </c>
      <c r="D36" s="2"/>
      <c r="E36" s="2"/>
      <c r="F36" s="2"/>
      <c r="G36" s="2"/>
      <c r="H36" s="2"/>
      <c r="I36" s="2"/>
      <c r="J36" s="2"/>
      <c r="K36" s="2"/>
      <c r="L36" s="2"/>
      <c r="M36" s="2"/>
      <c r="N36" s="2"/>
    </row>
    <row r="37" spans="1:14" ht="15.5" x14ac:dyDescent="0.35">
      <c r="A37" s="19"/>
      <c r="B37" s="20"/>
      <c r="C37" s="20"/>
      <c r="D37" s="20"/>
      <c r="E37" s="20"/>
      <c r="F37" s="20"/>
      <c r="G37" s="20"/>
      <c r="H37" s="20"/>
      <c r="I37" s="20"/>
      <c r="J37" s="20"/>
      <c r="K37" s="20"/>
      <c r="L37" s="20"/>
      <c r="M37" s="20"/>
      <c r="N37" s="2"/>
    </row>
    <row r="38" spans="1:14" ht="15.5" x14ac:dyDescent="0.35">
      <c r="A38" s="44" t="s">
        <v>47</v>
      </c>
      <c r="B38" s="20"/>
      <c r="C38" s="20"/>
      <c r="D38" s="20"/>
      <c r="E38" s="20"/>
      <c r="F38" s="20"/>
      <c r="G38" s="20"/>
      <c r="H38" s="20"/>
      <c r="I38" s="20"/>
      <c r="J38" s="20"/>
      <c r="K38" s="20"/>
      <c r="L38" s="20"/>
      <c r="M38" s="20"/>
      <c r="N38" s="3"/>
    </row>
    <row r="39" spans="1:14" ht="15.5" x14ac:dyDescent="0.35">
      <c r="A39" s="53" t="s">
        <v>48</v>
      </c>
      <c r="B39" s="14"/>
      <c r="C39" s="18" t="s">
        <v>49</v>
      </c>
      <c r="D39" s="16"/>
      <c r="E39" s="16"/>
      <c r="F39" s="16"/>
      <c r="G39" s="16"/>
      <c r="H39" s="16"/>
      <c r="I39" s="16"/>
      <c r="J39" s="16"/>
      <c r="K39" s="16"/>
      <c r="L39" s="16"/>
      <c r="M39" s="14"/>
      <c r="N39" s="3"/>
    </row>
    <row r="40" spans="1:14" ht="15.5" x14ac:dyDescent="0.35">
      <c r="A40" s="53" t="s">
        <v>50</v>
      </c>
      <c r="B40" s="14"/>
      <c r="C40" s="42" t="s">
        <v>51</v>
      </c>
      <c r="D40" s="16"/>
      <c r="E40" s="16"/>
      <c r="F40" s="16"/>
      <c r="G40" s="16"/>
      <c r="H40" s="16"/>
      <c r="I40" s="16"/>
      <c r="J40" s="16"/>
      <c r="K40" s="16"/>
      <c r="L40" s="16"/>
      <c r="M40" s="14"/>
      <c r="N40" s="2"/>
    </row>
    <row r="41" spans="1:14" ht="15.5" x14ac:dyDescent="0.35">
      <c r="A41" s="19"/>
      <c r="B41" s="20"/>
      <c r="C41" s="20"/>
      <c r="D41" s="20"/>
      <c r="E41" s="20"/>
      <c r="F41" s="20"/>
      <c r="G41" s="20"/>
      <c r="H41" s="20"/>
      <c r="I41" s="20"/>
      <c r="J41" s="20"/>
      <c r="K41" s="20"/>
      <c r="L41" s="20"/>
      <c r="M41" s="20"/>
      <c r="N41" s="2"/>
    </row>
    <row r="42" spans="1:14" ht="15.5" x14ac:dyDescent="0.35">
      <c r="A42" s="44" t="s">
        <v>52</v>
      </c>
      <c r="B42" s="20"/>
      <c r="C42" s="20"/>
      <c r="D42" s="20"/>
      <c r="E42" s="20"/>
      <c r="F42" s="20"/>
      <c r="G42" s="20"/>
      <c r="H42" s="20"/>
      <c r="I42" s="20"/>
      <c r="J42" s="20"/>
      <c r="K42" s="20"/>
      <c r="L42" s="20"/>
      <c r="M42" s="20"/>
      <c r="N42" s="3"/>
    </row>
    <row r="43" spans="1:14" ht="15.5" x14ac:dyDescent="0.35">
      <c r="A43" s="53" t="s">
        <v>53</v>
      </c>
      <c r="B43" s="14"/>
      <c r="C43" s="42" t="s">
        <v>54</v>
      </c>
      <c r="D43" s="16"/>
      <c r="E43" s="16"/>
      <c r="F43" s="16"/>
      <c r="G43" s="16"/>
      <c r="H43" s="16"/>
      <c r="I43" s="16"/>
      <c r="J43" s="16"/>
      <c r="K43" s="16"/>
      <c r="L43" s="16"/>
      <c r="M43" s="14"/>
      <c r="N43" s="3"/>
    </row>
    <row r="44" spans="1:14" ht="15.5" x14ac:dyDescent="0.35">
      <c r="A44" s="53" t="s">
        <v>55</v>
      </c>
      <c r="B44" s="14"/>
      <c r="C44" s="42" t="s">
        <v>56</v>
      </c>
      <c r="D44" s="16"/>
      <c r="E44" s="16"/>
      <c r="F44" s="16"/>
      <c r="G44" s="16"/>
      <c r="H44" s="16"/>
      <c r="I44" s="16"/>
      <c r="J44" s="16"/>
      <c r="K44" s="16"/>
      <c r="L44" s="16"/>
      <c r="M44" s="14"/>
      <c r="N44" s="2"/>
    </row>
    <row r="45" spans="1:14" ht="15.5" x14ac:dyDescent="0.35">
      <c r="A45" s="19"/>
      <c r="B45" s="20"/>
      <c r="C45" s="20"/>
      <c r="D45" s="20"/>
      <c r="E45" s="20"/>
      <c r="F45" s="20"/>
      <c r="G45" s="20"/>
      <c r="H45" s="20"/>
      <c r="I45" s="20"/>
      <c r="J45" s="20"/>
      <c r="K45" s="20"/>
      <c r="L45" s="20"/>
      <c r="M45" s="20"/>
      <c r="N45" s="2"/>
    </row>
    <row r="46" spans="1:14" ht="15.5" x14ac:dyDescent="0.35">
      <c r="A46" s="44" t="s">
        <v>57</v>
      </c>
      <c r="B46" s="20"/>
      <c r="C46" s="20"/>
      <c r="D46" s="20"/>
      <c r="E46" s="20"/>
      <c r="F46" s="20"/>
      <c r="G46" s="20"/>
      <c r="H46" s="20"/>
      <c r="I46" s="20"/>
      <c r="J46" s="20"/>
      <c r="K46" s="20"/>
      <c r="L46" s="20"/>
      <c r="M46" s="20"/>
      <c r="N46" s="3"/>
    </row>
    <row r="47" spans="1:14" ht="15.5" x14ac:dyDescent="0.35">
      <c r="A47" s="42" t="s">
        <v>58</v>
      </c>
      <c r="B47" s="16"/>
      <c r="C47" s="16"/>
      <c r="D47" s="16"/>
      <c r="E47" s="16"/>
      <c r="F47" s="16"/>
      <c r="G47" s="16"/>
      <c r="H47" s="16"/>
      <c r="I47" s="16"/>
      <c r="J47" s="16"/>
      <c r="K47" s="16"/>
      <c r="L47" s="16"/>
      <c r="M47" s="14"/>
      <c r="N47" s="2"/>
    </row>
    <row r="48" spans="1:14" ht="15.5" x14ac:dyDescent="0.35">
      <c r="A48" s="19"/>
      <c r="B48" s="20"/>
      <c r="C48" s="20"/>
      <c r="D48" s="20"/>
      <c r="E48" s="20"/>
      <c r="F48" s="20"/>
      <c r="G48" s="20"/>
      <c r="H48" s="20"/>
      <c r="I48" s="20"/>
      <c r="J48" s="20"/>
      <c r="K48" s="20"/>
      <c r="L48" s="20"/>
      <c r="M48" s="20"/>
      <c r="N48" s="2"/>
    </row>
    <row r="49" spans="1:14" ht="15.5" x14ac:dyDescent="0.35">
      <c r="A49" s="44" t="s">
        <v>59</v>
      </c>
      <c r="B49" s="20"/>
      <c r="C49" s="20"/>
      <c r="D49" s="20"/>
      <c r="E49" s="20"/>
      <c r="F49" s="20"/>
      <c r="G49" s="20"/>
      <c r="H49" s="20"/>
      <c r="I49" s="20"/>
      <c r="J49" s="20"/>
      <c r="K49" s="20"/>
      <c r="L49" s="20"/>
      <c r="M49" s="20"/>
      <c r="N49" s="3"/>
    </row>
    <row r="50" spans="1:14" ht="15.5" x14ac:dyDescent="0.35">
      <c r="A50" s="49" t="s">
        <v>60</v>
      </c>
      <c r="B50" s="50" t="s">
        <v>61</v>
      </c>
      <c r="C50" s="16"/>
      <c r="D50" s="16"/>
      <c r="E50" s="16"/>
      <c r="F50" s="16"/>
      <c r="G50" s="16"/>
      <c r="H50" s="16"/>
      <c r="I50" s="16"/>
      <c r="J50" s="16"/>
      <c r="K50" s="16"/>
      <c r="L50" s="16"/>
      <c r="M50" s="14"/>
      <c r="N50" s="2"/>
    </row>
    <row r="51" spans="1:14" ht="15.5" x14ac:dyDescent="0.35">
      <c r="A51" s="35"/>
      <c r="B51" s="51" t="s">
        <v>62</v>
      </c>
      <c r="C51" s="16"/>
      <c r="D51" s="16"/>
      <c r="E51" s="16"/>
      <c r="F51" s="16"/>
      <c r="G51" s="16"/>
      <c r="H51" s="16"/>
      <c r="I51" s="16"/>
      <c r="J51" s="16"/>
      <c r="K51" s="16"/>
      <c r="L51" s="16"/>
      <c r="M51" s="14"/>
      <c r="N51" s="2"/>
    </row>
    <row r="52" spans="1:14" ht="15.5" x14ac:dyDescent="0.35">
      <c r="A52" s="49" t="s">
        <v>63</v>
      </c>
      <c r="B52" s="50" t="s">
        <v>61</v>
      </c>
      <c r="C52" s="16"/>
      <c r="D52" s="16"/>
      <c r="E52" s="16"/>
      <c r="F52" s="16"/>
      <c r="G52" s="16"/>
      <c r="H52" s="16"/>
      <c r="I52" s="16"/>
      <c r="J52" s="16"/>
      <c r="K52" s="16"/>
      <c r="L52" s="16"/>
      <c r="M52" s="14"/>
      <c r="N52" s="2"/>
    </row>
    <row r="53" spans="1:14" ht="15.5" x14ac:dyDescent="0.35">
      <c r="A53" s="35"/>
      <c r="B53" s="51" t="s">
        <v>64</v>
      </c>
      <c r="C53" s="16"/>
      <c r="D53" s="16"/>
      <c r="E53" s="16"/>
      <c r="F53" s="16"/>
      <c r="G53" s="16"/>
      <c r="H53" s="16"/>
      <c r="I53" s="16"/>
      <c r="J53" s="16"/>
      <c r="K53" s="16"/>
      <c r="L53" s="16"/>
      <c r="M53" s="14"/>
      <c r="N53" s="2"/>
    </row>
    <row r="54" spans="1:14" ht="18" customHeight="1" x14ac:dyDescent="0.35">
      <c r="A54" s="49" t="s">
        <v>65</v>
      </c>
      <c r="B54" s="50" t="s">
        <v>61</v>
      </c>
      <c r="C54" s="16"/>
      <c r="D54" s="16"/>
      <c r="E54" s="16"/>
      <c r="F54" s="16"/>
      <c r="G54" s="16"/>
      <c r="H54" s="16"/>
      <c r="I54" s="16"/>
      <c r="J54" s="16"/>
      <c r="K54" s="16"/>
      <c r="L54" s="16"/>
      <c r="M54" s="14"/>
      <c r="N54" s="2"/>
    </row>
    <row r="55" spans="1:14" ht="104.25" customHeight="1" x14ac:dyDescent="0.35">
      <c r="A55" s="35"/>
      <c r="B55" s="52" t="s">
        <v>66</v>
      </c>
      <c r="C55" s="16"/>
      <c r="D55" s="16"/>
      <c r="E55" s="16"/>
      <c r="F55" s="16"/>
      <c r="G55" s="16"/>
      <c r="H55" s="16"/>
      <c r="I55" s="16"/>
      <c r="J55" s="16"/>
      <c r="K55" s="16"/>
      <c r="L55" s="16"/>
      <c r="M55" s="14"/>
      <c r="N55" s="2"/>
    </row>
    <row r="56" spans="1:14" ht="15.5" x14ac:dyDescent="0.35">
      <c r="A56" s="2"/>
      <c r="B56" s="2"/>
      <c r="C56" s="2"/>
      <c r="D56" s="2"/>
      <c r="E56" s="2"/>
      <c r="F56" s="2"/>
      <c r="G56" s="2"/>
      <c r="H56" s="2"/>
      <c r="I56" s="2"/>
      <c r="J56" s="2"/>
      <c r="K56" s="2"/>
      <c r="L56" s="2"/>
      <c r="M56" s="2"/>
      <c r="N56" s="2"/>
    </row>
    <row r="57" spans="1:14" ht="15.5" x14ac:dyDescent="0.35">
      <c r="A57" s="44" t="s">
        <v>67</v>
      </c>
      <c r="B57" s="20"/>
      <c r="C57" s="20"/>
      <c r="D57" s="20"/>
      <c r="E57" s="20"/>
      <c r="F57" s="20"/>
      <c r="G57" s="20"/>
      <c r="H57" s="20"/>
      <c r="I57" s="20"/>
      <c r="J57" s="20"/>
      <c r="K57" s="20"/>
      <c r="L57" s="20"/>
      <c r="M57" s="20"/>
      <c r="N57" s="3"/>
    </row>
    <row r="58" spans="1:14" ht="53.25" customHeight="1" x14ac:dyDescent="0.35">
      <c r="A58" s="42" t="s">
        <v>68</v>
      </c>
      <c r="B58" s="16"/>
      <c r="C58" s="16"/>
      <c r="D58" s="16"/>
      <c r="E58" s="16"/>
      <c r="F58" s="16"/>
      <c r="G58" s="16"/>
      <c r="H58" s="16"/>
      <c r="I58" s="16"/>
      <c r="J58" s="16"/>
      <c r="K58" s="16"/>
      <c r="L58" s="16"/>
      <c r="M58" s="14"/>
      <c r="N58" s="2"/>
    </row>
    <row r="59" spans="1:14" ht="15.5" x14ac:dyDescent="0.35">
      <c r="A59" s="2"/>
      <c r="B59" s="2"/>
      <c r="C59" s="2"/>
      <c r="D59" s="2"/>
      <c r="E59" s="2"/>
      <c r="F59" s="2"/>
      <c r="G59" s="2"/>
      <c r="H59" s="2"/>
      <c r="I59" s="2"/>
      <c r="J59" s="2"/>
      <c r="K59" s="2"/>
      <c r="L59" s="2"/>
      <c r="M59" s="2"/>
      <c r="N59" s="2"/>
    </row>
    <row r="60" spans="1:14" ht="15.5" x14ac:dyDescent="0.35">
      <c r="A60" s="44" t="s">
        <v>69</v>
      </c>
      <c r="B60" s="20"/>
      <c r="C60" s="20"/>
      <c r="D60" s="20"/>
      <c r="E60" s="20"/>
      <c r="F60" s="20"/>
      <c r="G60" s="20"/>
      <c r="H60" s="20"/>
      <c r="I60" s="20"/>
      <c r="J60" s="20"/>
      <c r="K60" s="20"/>
      <c r="L60" s="20"/>
      <c r="M60" s="20"/>
      <c r="N60" s="3"/>
    </row>
    <row r="61" spans="1:14" ht="24.75" customHeight="1" x14ac:dyDescent="0.35">
      <c r="A61" s="45" t="s">
        <v>70</v>
      </c>
      <c r="B61" s="16"/>
      <c r="C61" s="16"/>
      <c r="D61" s="16"/>
      <c r="E61" s="16"/>
      <c r="F61" s="16"/>
      <c r="G61" s="14"/>
      <c r="H61" s="45" t="s">
        <v>71</v>
      </c>
      <c r="I61" s="16"/>
      <c r="J61" s="16"/>
      <c r="K61" s="14"/>
      <c r="L61" s="45" t="s">
        <v>72</v>
      </c>
      <c r="M61" s="14"/>
      <c r="N61" s="3"/>
    </row>
    <row r="62" spans="1:14" ht="15.5" x14ac:dyDescent="0.35">
      <c r="A62" s="9" t="s">
        <v>73</v>
      </c>
      <c r="B62" s="42" t="s">
        <v>74</v>
      </c>
      <c r="C62" s="16"/>
      <c r="D62" s="16"/>
      <c r="E62" s="16"/>
      <c r="F62" s="16"/>
      <c r="G62" s="14"/>
      <c r="H62" s="46" t="s">
        <v>75</v>
      </c>
      <c r="I62" s="37"/>
      <c r="J62" s="37"/>
      <c r="K62" s="22"/>
      <c r="L62" s="47" t="s">
        <v>76</v>
      </c>
      <c r="M62" s="14"/>
      <c r="N62" s="2"/>
    </row>
    <row r="63" spans="1:14" ht="15.5" x14ac:dyDescent="0.35">
      <c r="A63" s="9" t="s">
        <v>77</v>
      </c>
      <c r="B63" s="42" t="s">
        <v>78</v>
      </c>
      <c r="C63" s="16"/>
      <c r="D63" s="16"/>
      <c r="E63" s="16"/>
      <c r="F63" s="16"/>
      <c r="G63" s="14"/>
      <c r="H63" s="23"/>
      <c r="I63" s="20"/>
      <c r="J63" s="20"/>
      <c r="K63" s="24"/>
      <c r="L63" s="47" t="s">
        <v>76</v>
      </c>
      <c r="M63" s="14"/>
      <c r="N63" s="2"/>
    </row>
    <row r="64" spans="1:14" ht="15.5" x14ac:dyDescent="0.35">
      <c r="A64" s="9" t="s">
        <v>79</v>
      </c>
      <c r="B64" s="42" t="s">
        <v>80</v>
      </c>
      <c r="C64" s="16"/>
      <c r="D64" s="16"/>
      <c r="E64" s="16"/>
      <c r="F64" s="16"/>
      <c r="G64" s="14"/>
      <c r="H64" s="23"/>
      <c r="I64" s="20"/>
      <c r="J64" s="20"/>
      <c r="K64" s="24"/>
      <c r="L64" s="47" t="s">
        <v>76</v>
      </c>
      <c r="M64" s="14"/>
      <c r="N64" s="2"/>
    </row>
    <row r="65" spans="1:14" ht="15.5" x14ac:dyDescent="0.35">
      <c r="A65" s="9" t="s">
        <v>81</v>
      </c>
      <c r="B65" s="42" t="s">
        <v>82</v>
      </c>
      <c r="C65" s="16"/>
      <c r="D65" s="16"/>
      <c r="E65" s="16"/>
      <c r="F65" s="16"/>
      <c r="G65" s="14"/>
      <c r="H65" s="23"/>
      <c r="I65" s="20"/>
      <c r="J65" s="20"/>
      <c r="K65" s="24"/>
      <c r="L65" s="47" t="s">
        <v>76</v>
      </c>
      <c r="M65" s="14"/>
      <c r="N65" s="2"/>
    </row>
    <row r="66" spans="1:14" ht="15.5" x14ac:dyDescent="0.35">
      <c r="A66" s="9" t="s">
        <v>83</v>
      </c>
      <c r="B66" s="42" t="s">
        <v>84</v>
      </c>
      <c r="C66" s="16"/>
      <c r="D66" s="16"/>
      <c r="E66" s="16"/>
      <c r="F66" s="16"/>
      <c r="G66" s="14"/>
      <c r="H66" s="23"/>
      <c r="I66" s="20"/>
      <c r="J66" s="20"/>
      <c r="K66" s="24"/>
      <c r="L66" s="47" t="s">
        <v>76</v>
      </c>
      <c r="M66" s="14"/>
      <c r="N66" s="2"/>
    </row>
    <row r="67" spans="1:14" ht="15.5" x14ac:dyDescent="0.35">
      <c r="A67" s="9" t="s">
        <v>85</v>
      </c>
      <c r="B67" s="42" t="s">
        <v>86</v>
      </c>
      <c r="C67" s="16"/>
      <c r="D67" s="16"/>
      <c r="E67" s="16"/>
      <c r="F67" s="16"/>
      <c r="G67" s="14"/>
      <c r="H67" s="23"/>
      <c r="I67" s="20"/>
      <c r="J67" s="20"/>
      <c r="K67" s="24"/>
      <c r="L67" s="47" t="s">
        <v>76</v>
      </c>
      <c r="M67" s="14"/>
      <c r="N67" s="2"/>
    </row>
    <row r="68" spans="1:14" ht="15.5" x14ac:dyDescent="0.35">
      <c r="A68" s="9" t="s">
        <v>87</v>
      </c>
      <c r="B68" s="42" t="s">
        <v>88</v>
      </c>
      <c r="C68" s="16"/>
      <c r="D68" s="16"/>
      <c r="E68" s="16"/>
      <c r="F68" s="16"/>
      <c r="G68" s="14"/>
      <c r="H68" s="23"/>
      <c r="I68" s="20"/>
      <c r="J68" s="20"/>
      <c r="K68" s="24"/>
      <c r="L68" s="47" t="s">
        <v>76</v>
      </c>
      <c r="M68" s="14"/>
      <c r="N68" s="2"/>
    </row>
    <row r="69" spans="1:14" ht="15.5" x14ac:dyDescent="0.35">
      <c r="A69" s="9" t="s">
        <v>89</v>
      </c>
      <c r="B69" s="42" t="s">
        <v>90</v>
      </c>
      <c r="C69" s="16"/>
      <c r="D69" s="16"/>
      <c r="E69" s="16"/>
      <c r="F69" s="16"/>
      <c r="G69" s="14"/>
      <c r="H69" s="23"/>
      <c r="I69" s="20"/>
      <c r="J69" s="20"/>
      <c r="K69" s="24"/>
      <c r="L69" s="47" t="s">
        <v>76</v>
      </c>
      <c r="M69" s="14"/>
      <c r="N69" s="2"/>
    </row>
    <row r="70" spans="1:14" ht="15.5" x14ac:dyDescent="0.35">
      <c r="A70" s="9" t="s">
        <v>91</v>
      </c>
      <c r="B70" s="42" t="s">
        <v>92</v>
      </c>
      <c r="C70" s="16"/>
      <c r="D70" s="16"/>
      <c r="E70" s="16"/>
      <c r="F70" s="16"/>
      <c r="G70" s="14"/>
      <c r="H70" s="23"/>
      <c r="I70" s="20"/>
      <c r="J70" s="20"/>
      <c r="K70" s="24"/>
      <c r="L70" s="47" t="s">
        <v>76</v>
      </c>
      <c r="M70" s="14"/>
      <c r="N70" s="2"/>
    </row>
    <row r="71" spans="1:14" ht="15.5" x14ac:dyDescent="0.35">
      <c r="A71" s="9" t="s">
        <v>93</v>
      </c>
      <c r="B71" s="42" t="s">
        <v>94</v>
      </c>
      <c r="C71" s="16"/>
      <c r="D71" s="16"/>
      <c r="E71" s="16"/>
      <c r="F71" s="16"/>
      <c r="G71" s="14"/>
      <c r="H71" s="23"/>
      <c r="I71" s="20"/>
      <c r="J71" s="20"/>
      <c r="K71" s="24"/>
      <c r="L71" s="47" t="s">
        <v>76</v>
      </c>
      <c r="M71" s="14"/>
      <c r="N71" s="2"/>
    </row>
    <row r="72" spans="1:14" ht="15.5" x14ac:dyDescent="0.35">
      <c r="A72" s="9" t="s">
        <v>95</v>
      </c>
      <c r="B72" s="42" t="s">
        <v>96</v>
      </c>
      <c r="C72" s="16"/>
      <c r="D72" s="16"/>
      <c r="E72" s="16"/>
      <c r="F72" s="16"/>
      <c r="G72" s="14"/>
      <c r="H72" s="23"/>
      <c r="I72" s="20"/>
      <c r="J72" s="20"/>
      <c r="K72" s="24"/>
      <c r="L72" s="47" t="s">
        <v>76</v>
      </c>
      <c r="M72" s="14"/>
      <c r="N72" s="2"/>
    </row>
    <row r="73" spans="1:14" ht="15.5" x14ac:dyDescent="0.35">
      <c r="A73" s="9" t="s">
        <v>97</v>
      </c>
      <c r="B73" s="42" t="s">
        <v>98</v>
      </c>
      <c r="C73" s="16"/>
      <c r="D73" s="16"/>
      <c r="E73" s="16"/>
      <c r="F73" s="16"/>
      <c r="G73" s="14"/>
      <c r="H73" s="23"/>
      <c r="I73" s="20"/>
      <c r="J73" s="20"/>
      <c r="K73" s="24"/>
      <c r="L73" s="47" t="s">
        <v>76</v>
      </c>
      <c r="M73" s="14"/>
      <c r="N73" s="2"/>
    </row>
    <row r="74" spans="1:14" ht="15.5" x14ac:dyDescent="0.35">
      <c r="A74" s="9" t="s">
        <v>99</v>
      </c>
      <c r="B74" s="42" t="s">
        <v>100</v>
      </c>
      <c r="C74" s="16"/>
      <c r="D74" s="16"/>
      <c r="E74" s="16"/>
      <c r="F74" s="16"/>
      <c r="G74" s="14"/>
      <c r="H74" s="23"/>
      <c r="I74" s="20"/>
      <c r="J74" s="20"/>
      <c r="K74" s="24"/>
      <c r="L74" s="47" t="s">
        <v>76</v>
      </c>
      <c r="M74" s="14"/>
      <c r="N74" s="2"/>
    </row>
    <row r="75" spans="1:14" ht="15.5" x14ac:dyDescent="0.35">
      <c r="A75" s="9" t="s">
        <v>101</v>
      </c>
      <c r="B75" s="42" t="s">
        <v>102</v>
      </c>
      <c r="C75" s="16"/>
      <c r="D75" s="16"/>
      <c r="E75" s="16"/>
      <c r="F75" s="16"/>
      <c r="G75" s="14"/>
      <c r="H75" s="25"/>
      <c r="I75" s="38"/>
      <c r="J75" s="38"/>
      <c r="K75" s="26"/>
      <c r="L75" s="47" t="s">
        <v>76</v>
      </c>
      <c r="M75" s="14"/>
      <c r="N75" s="2"/>
    </row>
    <row r="76" spans="1:14" ht="15.5" x14ac:dyDescent="0.35">
      <c r="A76" s="48" t="s">
        <v>103</v>
      </c>
      <c r="B76" s="16"/>
      <c r="C76" s="16"/>
      <c r="D76" s="16"/>
      <c r="E76" s="16"/>
      <c r="F76" s="16"/>
      <c r="G76" s="16"/>
      <c r="H76" s="16"/>
      <c r="I76" s="16"/>
      <c r="J76" s="16"/>
      <c r="K76" s="16"/>
      <c r="L76" s="16"/>
      <c r="M76" s="14"/>
      <c r="N76" s="2"/>
    </row>
    <row r="77" spans="1:14" ht="24.75" hidden="1" customHeight="1" x14ac:dyDescent="0.35">
      <c r="A77" s="45" t="s">
        <v>104</v>
      </c>
      <c r="B77" s="16"/>
      <c r="C77" s="16"/>
      <c r="D77" s="16"/>
      <c r="E77" s="16"/>
      <c r="F77" s="16"/>
      <c r="G77" s="14"/>
      <c r="H77" s="45" t="s">
        <v>105</v>
      </c>
      <c r="I77" s="16"/>
      <c r="J77" s="16"/>
      <c r="K77" s="14"/>
      <c r="L77" s="45" t="s">
        <v>72</v>
      </c>
      <c r="M77" s="14"/>
      <c r="N77" s="3"/>
    </row>
    <row r="78" spans="1:14" ht="15.5" hidden="1" x14ac:dyDescent="0.35">
      <c r="A78" s="9" t="s">
        <v>73</v>
      </c>
      <c r="B78" s="42"/>
      <c r="C78" s="16"/>
      <c r="D78" s="16"/>
      <c r="E78" s="16"/>
      <c r="F78" s="16"/>
      <c r="G78" s="14"/>
      <c r="H78" s="46"/>
      <c r="I78" s="37"/>
      <c r="J78" s="37"/>
      <c r="K78" s="22"/>
      <c r="L78" s="42"/>
      <c r="M78" s="14"/>
      <c r="N78" s="2"/>
    </row>
    <row r="79" spans="1:14" ht="15.5" hidden="1" x14ac:dyDescent="0.35">
      <c r="A79" s="9" t="s">
        <v>77</v>
      </c>
      <c r="B79" s="42"/>
      <c r="C79" s="16"/>
      <c r="D79" s="16"/>
      <c r="E79" s="16"/>
      <c r="F79" s="16"/>
      <c r="G79" s="14"/>
      <c r="H79" s="23"/>
      <c r="I79" s="20"/>
      <c r="J79" s="20"/>
      <c r="K79" s="24"/>
      <c r="L79" s="42"/>
      <c r="M79" s="14"/>
      <c r="N79" s="2"/>
    </row>
    <row r="80" spans="1:14" ht="15.5" hidden="1" x14ac:dyDescent="0.35">
      <c r="A80" s="9" t="s">
        <v>79</v>
      </c>
      <c r="B80" s="42"/>
      <c r="C80" s="16"/>
      <c r="D80" s="16"/>
      <c r="E80" s="16"/>
      <c r="F80" s="16"/>
      <c r="G80" s="14"/>
      <c r="H80" s="23"/>
      <c r="I80" s="20"/>
      <c r="J80" s="20"/>
      <c r="K80" s="24"/>
      <c r="L80" s="42"/>
      <c r="M80" s="14"/>
      <c r="N80" s="2"/>
    </row>
    <row r="81" spans="1:14" ht="15.5" hidden="1" x14ac:dyDescent="0.35">
      <c r="A81" s="9" t="s">
        <v>81</v>
      </c>
      <c r="B81" s="42"/>
      <c r="C81" s="16"/>
      <c r="D81" s="16"/>
      <c r="E81" s="16"/>
      <c r="F81" s="16"/>
      <c r="G81" s="14"/>
      <c r="H81" s="23"/>
      <c r="I81" s="20"/>
      <c r="J81" s="20"/>
      <c r="K81" s="24"/>
      <c r="L81" s="42"/>
      <c r="M81" s="14"/>
      <c r="N81" s="2"/>
    </row>
    <row r="82" spans="1:14" ht="15.5" hidden="1" x14ac:dyDescent="0.35">
      <c r="A82" s="9" t="s">
        <v>83</v>
      </c>
      <c r="B82" s="42"/>
      <c r="C82" s="16"/>
      <c r="D82" s="16"/>
      <c r="E82" s="16"/>
      <c r="F82" s="16"/>
      <c r="G82" s="14"/>
      <c r="H82" s="23"/>
      <c r="I82" s="20"/>
      <c r="J82" s="20"/>
      <c r="K82" s="24"/>
      <c r="L82" s="42"/>
      <c r="M82" s="14"/>
      <c r="N82" s="2"/>
    </row>
    <row r="83" spans="1:14" ht="15.5" hidden="1" x14ac:dyDescent="0.35">
      <c r="A83" s="9" t="s">
        <v>85</v>
      </c>
      <c r="B83" s="42"/>
      <c r="C83" s="16"/>
      <c r="D83" s="16"/>
      <c r="E83" s="16"/>
      <c r="F83" s="16"/>
      <c r="G83" s="14"/>
      <c r="H83" s="23"/>
      <c r="I83" s="20"/>
      <c r="J83" s="20"/>
      <c r="K83" s="24"/>
      <c r="L83" s="42"/>
      <c r="M83" s="14"/>
      <c r="N83" s="2"/>
    </row>
    <row r="84" spans="1:14" ht="15.5" hidden="1" x14ac:dyDescent="0.35">
      <c r="A84" s="9" t="s">
        <v>87</v>
      </c>
      <c r="B84" s="42"/>
      <c r="C84" s="16"/>
      <c r="D84" s="16"/>
      <c r="E84" s="16"/>
      <c r="F84" s="16"/>
      <c r="G84" s="14"/>
      <c r="H84" s="23"/>
      <c r="I84" s="20"/>
      <c r="J84" s="20"/>
      <c r="K84" s="24"/>
      <c r="L84" s="42"/>
      <c r="M84" s="14"/>
      <c r="N84" s="2"/>
    </row>
    <row r="85" spans="1:14" ht="15.5" hidden="1" x14ac:dyDescent="0.35">
      <c r="A85" s="9" t="s">
        <v>89</v>
      </c>
      <c r="B85" s="42"/>
      <c r="C85" s="16"/>
      <c r="D85" s="16"/>
      <c r="E85" s="16"/>
      <c r="F85" s="16"/>
      <c r="G85" s="14"/>
      <c r="H85" s="23"/>
      <c r="I85" s="20"/>
      <c r="J85" s="20"/>
      <c r="K85" s="24"/>
      <c r="L85" s="42"/>
      <c r="M85" s="14"/>
      <c r="N85" s="2"/>
    </row>
    <row r="86" spans="1:14" ht="15.5" hidden="1" x14ac:dyDescent="0.35">
      <c r="A86" s="9" t="s">
        <v>91</v>
      </c>
      <c r="B86" s="42"/>
      <c r="C86" s="16"/>
      <c r="D86" s="16"/>
      <c r="E86" s="16"/>
      <c r="F86" s="16"/>
      <c r="G86" s="14"/>
      <c r="H86" s="23"/>
      <c r="I86" s="20"/>
      <c r="J86" s="20"/>
      <c r="K86" s="24"/>
      <c r="L86" s="42"/>
      <c r="M86" s="14"/>
      <c r="N86" s="2"/>
    </row>
    <row r="87" spans="1:14" ht="15.5" hidden="1" x14ac:dyDescent="0.35">
      <c r="A87" s="9" t="s">
        <v>93</v>
      </c>
      <c r="B87" s="42"/>
      <c r="C87" s="16"/>
      <c r="D87" s="16"/>
      <c r="E87" s="16"/>
      <c r="F87" s="16"/>
      <c r="G87" s="14"/>
      <c r="H87" s="23"/>
      <c r="I87" s="20"/>
      <c r="J87" s="20"/>
      <c r="K87" s="24"/>
      <c r="L87" s="42"/>
      <c r="M87" s="14"/>
      <c r="N87" s="2"/>
    </row>
    <row r="88" spans="1:14" ht="15.5" hidden="1" x14ac:dyDescent="0.35">
      <c r="A88" s="9" t="s">
        <v>95</v>
      </c>
      <c r="B88" s="42"/>
      <c r="C88" s="16"/>
      <c r="D88" s="16"/>
      <c r="E88" s="16"/>
      <c r="F88" s="16"/>
      <c r="G88" s="14"/>
      <c r="H88" s="23"/>
      <c r="I88" s="20"/>
      <c r="J88" s="20"/>
      <c r="K88" s="24"/>
      <c r="L88" s="42"/>
      <c r="M88" s="14"/>
      <c r="N88" s="2"/>
    </row>
    <row r="89" spans="1:14" ht="15.5" hidden="1" x14ac:dyDescent="0.35">
      <c r="A89" s="9" t="s">
        <v>97</v>
      </c>
      <c r="B89" s="42"/>
      <c r="C89" s="16"/>
      <c r="D89" s="16"/>
      <c r="E89" s="16"/>
      <c r="F89" s="16"/>
      <c r="G89" s="14"/>
      <c r="H89" s="23"/>
      <c r="I89" s="20"/>
      <c r="J89" s="20"/>
      <c r="K89" s="24"/>
      <c r="L89" s="42"/>
      <c r="M89" s="14"/>
      <c r="N89" s="2"/>
    </row>
    <row r="90" spans="1:14" ht="15.5" hidden="1" x14ac:dyDescent="0.35">
      <c r="A90" s="9" t="s">
        <v>99</v>
      </c>
      <c r="B90" s="42"/>
      <c r="C90" s="16"/>
      <c r="D90" s="16"/>
      <c r="E90" s="16"/>
      <c r="F90" s="16"/>
      <c r="G90" s="14"/>
      <c r="H90" s="23"/>
      <c r="I90" s="20"/>
      <c r="J90" s="20"/>
      <c r="K90" s="24"/>
      <c r="L90" s="42"/>
      <c r="M90" s="14"/>
      <c r="N90" s="2"/>
    </row>
    <row r="91" spans="1:14" ht="15.5" hidden="1" x14ac:dyDescent="0.35">
      <c r="A91" s="9" t="s">
        <v>101</v>
      </c>
      <c r="B91" s="42"/>
      <c r="C91" s="16"/>
      <c r="D91" s="16"/>
      <c r="E91" s="16"/>
      <c r="F91" s="16"/>
      <c r="G91" s="14"/>
      <c r="H91" s="25"/>
      <c r="I91" s="38"/>
      <c r="J91" s="38"/>
      <c r="K91" s="26"/>
      <c r="L91" s="42"/>
      <c r="M91" s="14"/>
      <c r="N91" s="2"/>
    </row>
    <row r="92" spans="1:14" ht="24" customHeight="1" x14ac:dyDescent="0.35">
      <c r="A92" s="45" t="s">
        <v>106</v>
      </c>
      <c r="B92" s="16"/>
      <c r="C92" s="16"/>
      <c r="D92" s="16"/>
      <c r="E92" s="16"/>
      <c r="F92" s="16"/>
      <c r="G92" s="14"/>
      <c r="H92" s="45" t="s">
        <v>105</v>
      </c>
      <c r="I92" s="16"/>
      <c r="J92" s="16"/>
      <c r="K92" s="14"/>
      <c r="L92" s="45" t="s">
        <v>72</v>
      </c>
      <c r="M92" s="14"/>
      <c r="N92" s="3"/>
    </row>
    <row r="93" spans="1:14" ht="15.5" x14ac:dyDescent="0.35">
      <c r="A93" s="9" t="s">
        <v>73</v>
      </c>
      <c r="B93" s="42" t="s">
        <v>107</v>
      </c>
      <c r="C93" s="16"/>
      <c r="D93" s="16"/>
      <c r="E93" s="16"/>
      <c r="F93" s="16"/>
      <c r="G93" s="14"/>
      <c r="H93" s="46" t="s">
        <v>108</v>
      </c>
      <c r="I93" s="37"/>
      <c r="J93" s="37"/>
      <c r="K93" s="22"/>
      <c r="L93" s="47" t="s">
        <v>76</v>
      </c>
      <c r="M93" s="14"/>
      <c r="N93" s="2"/>
    </row>
    <row r="94" spans="1:14" ht="15.5" x14ac:dyDescent="0.35">
      <c r="A94" s="9" t="s">
        <v>77</v>
      </c>
      <c r="B94" s="42" t="s">
        <v>109</v>
      </c>
      <c r="C94" s="16"/>
      <c r="D94" s="16"/>
      <c r="E94" s="16"/>
      <c r="F94" s="16"/>
      <c r="G94" s="14"/>
      <c r="H94" s="23"/>
      <c r="I94" s="20"/>
      <c r="J94" s="20"/>
      <c r="K94" s="24"/>
      <c r="L94" s="47" t="s">
        <v>76</v>
      </c>
      <c r="M94" s="14"/>
      <c r="N94" s="2"/>
    </row>
    <row r="95" spans="1:14" ht="15.5" x14ac:dyDescent="0.35">
      <c r="A95" s="9" t="s">
        <v>79</v>
      </c>
      <c r="B95" s="42" t="s">
        <v>110</v>
      </c>
      <c r="C95" s="16"/>
      <c r="D95" s="16"/>
      <c r="E95" s="16"/>
      <c r="F95" s="16"/>
      <c r="G95" s="14"/>
      <c r="H95" s="23"/>
      <c r="I95" s="20"/>
      <c r="J95" s="20"/>
      <c r="K95" s="24"/>
      <c r="L95" s="47" t="s">
        <v>76</v>
      </c>
      <c r="M95" s="14"/>
      <c r="N95" s="2"/>
    </row>
    <row r="96" spans="1:14" ht="15.5" x14ac:dyDescent="0.35">
      <c r="A96" s="9" t="s">
        <v>81</v>
      </c>
      <c r="B96" s="42" t="s">
        <v>111</v>
      </c>
      <c r="C96" s="16"/>
      <c r="D96" s="16"/>
      <c r="E96" s="16"/>
      <c r="F96" s="16"/>
      <c r="G96" s="14"/>
      <c r="H96" s="23"/>
      <c r="I96" s="20"/>
      <c r="J96" s="20"/>
      <c r="K96" s="24"/>
      <c r="L96" s="47" t="s">
        <v>76</v>
      </c>
      <c r="M96" s="14"/>
      <c r="N96" s="2"/>
    </row>
    <row r="97" spans="1:14" ht="15.5" x14ac:dyDescent="0.35">
      <c r="A97" s="9" t="s">
        <v>83</v>
      </c>
      <c r="B97" s="42" t="s">
        <v>112</v>
      </c>
      <c r="C97" s="16"/>
      <c r="D97" s="16"/>
      <c r="E97" s="16"/>
      <c r="F97" s="16"/>
      <c r="G97" s="14"/>
      <c r="H97" s="23"/>
      <c r="I97" s="20"/>
      <c r="J97" s="20"/>
      <c r="K97" s="24"/>
      <c r="L97" s="47" t="s">
        <v>76</v>
      </c>
      <c r="M97" s="14"/>
      <c r="N97" s="2"/>
    </row>
    <row r="98" spans="1:14" ht="15.5" x14ac:dyDescent="0.35">
      <c r="A98" s="9" t="s">
        <v>85</v>
      </c>
      <c r="B98" s="42" t="s">
        <v>113</v>
      </c>
      <c r="C98" s="16"/>
      <c r="D98" s="16"/>
      <c r="E98" s="16"/>
      <c r="F98" s="16"/>
      <c r="G98" s="14"/>
      <c r="H98" s="23"/>
      <c r="I98" s="20"/>
      <c r="J98" s="20"/>
      <c r="K98" s="24"/>
      <c r="L98" s="47" t="s">
        <v>76</v>
      </c>
      <c r="M98" s="14"/>
      <c r="N98" s="2"/>
    </row>
    <row r="99" spans="1:14" ht="15.5" x14ac:dyDescent="0.35">
      <c r="A99" s="9" t="s">
        <v>87</v>
      </c>
      <c r="B99" s="42" t="s">
        <v>114</v>
      </c>
      <c r="C99" s="16"/>
      <c r="D99" s="16"/>
      <c r="E99" s="16"/>
      <c r="F99" s="16"/>
      <c r="G99" s="14"/>
      <c r="H99" s="23"/>
      <c r="I99" s="20"/>
      <c r="J99" s="20"/>
      <c r="K99" s="24"/>
      <c r="L99" s="47" t="s">
        <v>76</v>
      </c>
      <c r="M99" s="14"/>
      <c r="N99" s="2"/>
    </row>
    <row r="100" spans="1:14" ht="15.5" x14ac:dyDescent="0.35">
      <c r="A100" s="9" t="s">
        <v>89</v>
      </c>
      <c r="B100" s="42" t="s">
        <v>115</v>
      </c>
      <c r="C100" s="16"/>
      <c r="D100" s="16"/>
      <c r="E100" s="16"/>
      <c r="F100" s="16"/>
      <c r="G100" s="14"/>
      <c r="H100" s="23"/>
      <c r="I100" s="20"/>
      <c r="J100" s="20"/>
      <c r="K100" s="24"/>
      <c r="L100" s="47" t="s">
        <v>76</v>
      </c>
      <c r="M100" s="14"/>
      <c r="N100" s="2"/>
    </row>
    <row r="101" spans="1:14" ht="15.5" x14ac:dyDescent="0.35">
      <c r="A101" s="9" t="s">
        <v>91</v>
      </c>
      <c r="B101" s="42" t="s">
        <v>116</v>
      </c>
      <c r="C101" s="16"/>
      <c r="D101" s="16"/>
      <c r="E101" s="16"/>
      <c r="F101" s="16"/>
      <c r="G101" s="14"/>
      <c r="H101" s="23"/>
      <c r="I101" s="20"/>
      <c r="J101" s="20"/>
      <c r="K101" s="24"/>
      <c r="L101" s="47" t="s">
        <v>76</v>
      </c>
      <c r="M101" s="14"/>
      <c r="N101" s="2"/>
    </row>
    <row r="102" spans="1:14" ht="15.5" x14ac:dyDescent="0.35">
      <c r="A102" s="9" t="s">
        <v>93</v>
      </c>
      <c r="B102" s="42" t="s">
        <v>117</v>
      </c>
      <c r="C102" s="16"/>
      <c r="D102" s="16"/>
      <c r="E102" s="16"/>
      <c r="F102" s="16"/>
      <c r="G102" s="14"/>
      <c r="H102" s="23"/>
      <c r="I102" s="20"/>
      <c r="J102" s="20"/>
      <c r="K102" s="24"/>
      <c r="L102" s="47" t="s">
        <v>76</v>
      </c>
      <c r="M102" s="14"/>
      <c r="N102" s="2"/>
    </row>
    <row r="103" spans="1:14" ht="15.5" x14ac:dyDescent="0.35">
      <c r="A103" s="9" t="s">
        <v>95</v>
      </c>
      <c r="B103" s="42" t="s">
        <v>118</v>
      </c>
      <c r="C103" s="16"/>
      <c r="D103" s="16"/>
      <c r="E103" s="16"/>
      <c r="F103" s="16"/>
      <c r="G103" s="14"/>
      <c r="H103" s="23"/>
      <c r="I103" s="20"/>
      <c r="J103" s="20"/>
      <c r="K103" s="24"/>
      <c r="L103" s="47" t="s">
        <v>76</v>
      </c>
      <c r="M103" s="14"/>
      <c r="N103" s="2"/>
    </row>
    <row r="104" spans="1:14" ht="15.5" x14ac:dyDescent="0.35">
      <c r="A104" s="9" t="s">
        <v>97</v>
      </c>
      <c r="B104" s="42" t="s">
        <v>119</v>
      </c>
      <c r="C104" s="16"/>
      <c r="D104" s="16"/>
      <c r="E104" s="16"/>
      <c r="F104" s="16"/>
      <c r="G104" s="14"/>
      <c r="H104" s="23"/>
      <c r="I104" s="20"/>
      <c r="J104" s="20"/>
      <c r="K104" s="24"/>
      <c r="L104" s="47" t="s">
        <v>76</v>
      </c>
      <c r="M104" s="14"/>
      <c r="N104" s="2"/>
    </row>
    <row r="105" spans="1:14" ht="15.5" x14ac:dyDescent="0.35">
      <c r="A105" s="9" t="s">
        <v>99</v>
      </c>
      <c r="B105" s="42" t="s">
        <v>120</v>
      </c>
      <c r="C105" s="16"/>
      <c r="D105" s="16"/>
      <c r="E105" s="16"/>
      <c r="F105" s="16"/>
      <c r="G105" s="14"/>
      <c r="H105" s="23"/>
      <c r="I105" s="20"/>
      <c r="J105" s="20"/>
      <c r="K105" s="24"/>
      <c r="L105" s="47" t="s">
        <v>76</v>
      </c>
      <c r="M105" s="14"/>
      <c r="N105" s="2"/>
    </row>
    <row r="106" spans="1:14" ht="15.5" x14ac:dyDescent="0.35">
      <c r="A106" s="9" t="s">
        <v>101</v>
      </c>
      <c r="B106" s="42" t="s">
        <v>121</v>
      </c>
      <c r="C106" s="16"/>
      <c r="D106" s="16"/>
      <c r="E106" s="16"/>
      <c r="F106" s="16"/>
      <c r="G106" s="14"/>
      <c r="H106" s="25"/>
      <c r="I106" s="38"/>
      <c r="J106" s="38"/>
      <c r="K106" s="26"/>
      <c r="L106" s="47" t="s">
        <v>76</v>
      </c>
      <c r="M106" s="14"/>
      <c r="N106" s="2"/>
    </row>
    <row r="107" spans="1:14" ht="24" hidden="1" customHeight="1" x14ac:dyDescent="0.35">
      <c r="A107" s="45" t="s">
        <v>122</v>
      </c>
      <c r="B107" s="16"/>
      <c r="C107" s="16"/>
      <c r="D107" s="16"/>
      <c r="E107" s="16"/>
      <c r="F107" s="16"/>
      <c r="G107" s="14"/>
      <c r="H107" s="45" t="s">
        <v>105</v>
      </c>
      <c r="I107" s="16"/>
      <c r="J107" s="16"/>
      <c r="K107" s="14"/>
      <c r="L107" s="45" t="s">
        <v>72</v>
      </c>
      <c r="M107" s="14"/>
      <c r="N107" s="3"/>
    </row>
    <row r="108" spans="1:14" ht="15.5" hidden="1" x14ac:dyDescent="0.35">
      <c r="A108" s="9" t="s">
        <v>73</v>
      </c>
      <c r="B108" s="42"/>
      <c r="C108" s="16"/>
      <c r="D108" s="16"/>
      <c r="E108" s="16"/>
      <c r="F108" s="16"/>
      <c r="G108" s="14"/>
      <c r="H108" s="46"/>
      <c r="I108" s="37"/>
      <c r="J108" s="37"/>
      <c r="K108" s="22"/>
      <c r="L108" s="42"/>
      <c r="M108" s="14"/>
      <c r="N108" s="2"/>
    </row>
    <row r="109" spans="1:14" ht="15.5" hidden="1" x14ac:dyDescent="0.35">
      <c r="A109" s="9" t="s">
        <v>77</v>
      </c>
      <c r="B109" s="42"/>
      <c r="C109" s="16"/>
      <c r="D109" s="16"/>
      <c r="E109" s="16"/>
      <c r="F109" s="16"/>
      <c r="G109" s="14"/>
      <c r="H109" s="23"/>
      <c r="I109" s="20"/>
      <c r="J109" s="20"/>
      <c r="K109" s="24"/>
      <c r="L109" s="42"/>
      <c r="M109" s="14"/>
      <c r="N109" s="2"/>
    </row>
    <row r="110" spans="1:14" ht="15.5" hidden="1" x14ac:dyDescent="0.35">
      <c r="A110" s="9" t="s">
        <v>79</v>
      </c>
      <c r="B110" s="42"/>
      <c r="C110" s="16"/>
      <c r="D110" s="16"/>
      <c r="E110" s="16"/>
      <c r="F110" s="16"/>
      <c r="G110" s="14"/>
      <c r="H110" s="23"/>
      <c r="I110" s="20"/>
      <c r="J110" s="20"/>
      <c r="K110" s="24"/>
      <c r="L110" s="42"/>
      <c r="M110" s="14"/>
      <c r="N110" s="2"/>
    </row>
    <row r="111" spans="1:14" ht="15.5" hidden="1" x14ac:dyDescent="0.35">
      <c r="A111" s="9" t="s">
        <v>81</v>
      </c>
      <c r="B111" s="42"/>
      <c r="C111" s="16"/>
      <c r="D111" s="16"/>
      <c r="E111" s="16"/>
      <c r="F111" s="16"/>
      <c r="G111" s="14"/>
      <c r="H111" s="23"/>
      <c r="I111" s="20"/>
      <c r="J111" s="20"/>
      <c r="K111" s="24"/>
      <c r="L111" s="42"/>
      <c r="M111" s="14"/>
      <c r="N111" s="2"/>
    </row>
    <row r="112" spans="1:14" ht="15.5" hidden="1" x14ac:dyDescent="0.35">
      <c r="A112" s="9" t="s">
        <v>83</v>
      </c>
      <c r="B112" s="42"/>
      <c r="C112" s="16"/>
      <c r="D112" s="16"/>
      <c r="E112" s="16"/>
      <c r="F112" s="16"/>
      <c r="G112" s="14"/>
      <c r="H112" s="23"/>
      <c r="I112" s="20"/>
      <c r="J112" s="20"/>
      <c r="K112" s="24"/>
      <c r="L112" s="42"/>
      <c r="M112" s="14"/>
      <c r="N112" s="2"/>
    </row>
    <row r="113" spans="1:14" ht="15.5" hidden="1" x14ac:dyDescent="0.35">
      <c r="A113" s="9" t="s">
        <v>85</v>
      </c>
      <c r="B113" s="42"/>
      <c r="C113" s="16"/>
      <c r="D113" s="16"/>
      <c r="E113" s="16"/>
      <c r="F113" s="16"/>
      <c r="G113" s="14"/>
      <c r="H113" s="23"/>
      <c r="I113" s="20"/>
      <c r="J113" s="20"/>
      <c r="K113" s="24"/>
      <c r="L113" s="42"/>
      <c r="M113" s="14"/>
      <c r="N113" s="2"/>
    </row>
    <row r="114" spans="1:14" ht="15.5" hidden="1" x14ac:dyDescent="0.35">
      <c r="A114" s="9" t="s">
        <v>87</v>
      </c>
      <c r="B114" s="42"/>
      <c r="C114" s="16"/>
      <c r="D114" s="16"/>
      <c r="E114" s="16"/>
      <c r="F114" s="16"/>
      <c r="G114" s="14"/>
      <c r="H114" s="23"/>
      <c r="I114" s="20"/>
      <c r="J114" s="20"/>
      <c r="K114" s="24"/>
      <c r="L114" s="42"/>
      <c r="M114" s="14"/>
      <c r="N114" s="2"/>
    </row>
    <row r="115" spans="1:14" ht="15.5" hidden="1" x14ac:dyDescent="0.35">
      <c r="A115" s="9" t="s">
        <v>89</v>
      </c>
      <c r="B115" s="42"/>
      <c r="C115" s="16"/>
      <c r="D115" s="16"/>
      <c r="E115" s="16"/>
      <c r="F115" s="16"/>
      <c r="G115" s="14"/>
      <c r="H115" s="23"/>
      <c r="I115" s="20"/>
      <c r="J115" s="20"/>
      <c r="K115" s="24"/>
      <c r="L115" s="42"/>
      <c r="M115" s="14"/>
      <c r="N115" s="2"/>
    </row>
    <row r="116" spans="1:14" ht="15.5" hidden="1" x14ac:dyDescent="0.35">
      <c r="A116" s="9" t="s">
        <v>91</v>
      </c>
      <c r="B116" s="42"/>
      <c r="C116" s="16"/>
      <c r="D116" s="16"/>
      <c r="E116" s="16"/>
      <c r="F116" s="16"/>
      <c r="G116" s="14"/>
      <c r="H116" s="23"/>
      <c r="I116" s="20"/>
      <c r="J116" s="20"/>
      <c r="K116" s="24"/>
      <c r="L116" s="42"/>
      <c r="M116" s="14"/>
      <c r="N116" s="2"/>
    </row>
    <row r="117" spans="1:14" ht="15.5" hidden="1" x14ac:dyDescent="0.35">
      <c r="A117" s="9" t="s">
        <v>93</v>
      </c>
      <c r="B117" s="42"/>
      <c r="C117" s="16"/>
      <c r="D117" s="16"/>
      <c r="E117" s="16"/>
      <c r="F117" s="16"/>
      <c r="G117" s="14"/>
      <c r="H117" s="23"/>
      <c r="I117" s="20"/>
      <c r="J117" s="20"/>
      <c r="K117" s="24"/>
      <c r="L117" s="42"/>
      <c r="M117" s="14"/>
      <c r="N117" s="2"/>
    </row>
    <row r="118" spans="1:14" ht="15.5" hidden="1" x14ac:dyDescent="0.35">
      <c r="A118" s="9" t="s">
        <v>95</v>
      </c>
      <c r="B118" s="42"/>
      <c r="C118" s="16"/>
      <c r="D118" s="16"/>
      <c r="E118" s="16"/>
      <c r="F118" s="16"/>
      <c r="G118" s="14"/>
      <c r="H118" s="23"/>
      <c r="I118" s="20"/>
      <c r="J118" s="20"/>
      <c r="K118" s="24"/>
      <c r="L118" s="42"/>
      <c r="M118" s="14"/>
      <c r="N118" s="2"/>
    </row>
    <row r="119" spans="1:14" ht="15.5" hidden="1" x14ac:dyDescent="0.35">
      <c r="A119" s="9" t="s">
        <v>97</v>
      </c>
      <c r="B119" s="42"/>
      <c r="C119" s="16"/>
      <c r="D119" s="16"/>
      <c r="E119" s="16"/>
      <c r="F119" s="16"/>
      <c r="G119" s="14"/>
      <c r="H119" s="23"/>
      <c r="I119" s="20"/>
      <c r="J119" s="20"/>
      <c r="K119" s="24"/>
      <c r="L119" s="42"/>
      <c r="M119" s="14"/>
      <c r="N119" s="2"/>
    </row>
    <row r="120" spans="1:14" ht="15.5" hidden="1" x14ac:dyDescent="0.35">
      <c r="A120" s="9" t="s">
        <v>99</v>
      </c>
      <c r="B120" s="42"/>
      <c r="C120" s="16"/>
      <c r="D120" s="16"/>
      <c r="E120" s="16"/>
      <c r="F120" s="16"/>
      <c r="G120" s="14"/>
      <c r="H120" s="23"/>
      <c r="I120" s="20"/>
      <c r="J120" s="20"/>
      <c r="K120" s="24"/>
      <c r="L120" s="42"/>
      <c r="M120" s="14"/>
      <c r="N120" s="2"/>
    </row>
    <row r="121" spans="1:14" ht="15.5" hidden="1" x14ac:dyDescent="0.35">
      <c r="A121" s="9" t="s">
        <v>101</v>
      </c>
      <c r="B121" s="42"/>
      <c r="C121" s="16"/>
      <c r="D121" s="16"/>
      <c r="E121" s="16"/>
      <c r="F121" s="16"/>
      <c r="G121" s="14"/>
      <c r="H121" s="25"/>
      <c r="I121" s="38"/>
      <c r="J121" s="38"/>
      <c r="K121" s="26"/>
      <c r="L121" s="42"/>
      <c r="M121" s="14"/>
      <c r="N121" s="2"/>
    </row>
    <row r="122" spans="1:14" ht="115.5" customHeight="1" x14ac:dyDescent="0.35">
      <c r="A122" s="43" t="s">
        <v>123</v>
      </c>
      <c r="B122" s="16"/>
      <c r="C122" s="16"/>
      <c r="D122" s="16"/>
      <c r="E122" s="16"/>
      <c r="F122" s="16"/>
      <c r="G122" s="16"/>
      <c r="H122" s="16"/>
      <c r="I122" s="16"/>
      <c r="J122" s="16"/>
      <c r="K122" s="16"/>
      <c r="L122" s="16"/>
      <c r="M122" s="14"/>
      <c r="N122" s="2"/>
    </row>
    <row r="123" spans="1:14" ht="15.5" x14ac:dyDescent="0.35">
      <c r="A123" s="2"/>
      <c r="B123" s="2"/>
      <c r="C123" s="2"/>
      <c r="D123" s="2"/>
      <c r="E123" s="2"/>
      <c r="F123" s="2"/>
      <c r="G123" s="2"/>
      <c r="H123" s="2"/>
      <c r="I123" s="2"/>
      <c r="J123" s="2"/>
      <c r="K123" s="2"/>
      <c r="L123" s="2"/>
      <c r="M123" s="2"/>
      <c r="N123" s="2"/>
    </row>
    <row r="124" spans="1:14" ht="15.5" x14ac:dyDescent="0.35">
      <c r="A124" s="44" t="s">
        <v>124</v>
      </c>
      <c r="B124" s="20"/>
      <c r="C124" s="20"/>
      <c r="D124" s="20"/>
      <c r="E124" s="20"/>
      <c r="F124" s="20"/>
      <c r="G124" s="20"/>
      <c r="H124" s="20"/>
      <c r="I124" s="20"/>
      <c r="J124" s="20"/>
      <c r="K124" s="20"/>
      <c r="L124" s="20"/>
      <c r="M124" s="20"/>
      <c r="N124" s="3"/>
    </row>
    <row r="125" spans="1:14" ht="46.5" x14ac:dyDescent="0.35">
      <c r="A125" s="10" t="s">
        <v>125</v>
      </c>
      <c r="B125" s="29" t="s">
        <v>126</v>
      </c>
      <c r="C125" s="16"/>
      <c r="D125" s="16"/>
      <c r="E125" s="16"/>
      <c r="F125" s="16"/>
      <c r="G125" s="14"/>
      <c r="H125" s="29" t="s">
        <v>127</v>
      </c>
      <c r="I125" s="16"/>
      <c r="J125" s="16"/>
      <c r="K125" s="14"/>
      <c r="L125" s="32" t="s">
        <v>128</v>
      </c>
      <c r="M125" s="14"/>
      <c r="N125" s="2"/>
    </row>
    <row r="126" spans="1:14" ht="134.25" customHeight="1" x14ac:dyDescent="0.35">
      <c r="A126" s="33" t="s">
        <v>129</v>
      </c>
      <c r="B126" s="36" t="s">
        <v>130</v>
      </c>
      <c r="C126" s="37"/>
      <c r="D126" s="37"/>
      <c r="E126" s="37"/>
      <c r="F126" s="37"/>
      <c r="G126" s="22"/>
      <c r="H126" s="39" t="s">
        <v>131</v>
      </c>
      <c r="I126" s="37"/>
      <c r="J126" s="37"/>
      <c r="K126" s="40" t="s">
        <v>132</v>
      </c>
      <c r="L126" s="41">
        <f>1-SUM(L129:M131)</f>
        <v>0.7</v>
      </c>
      <c r="M126" s="22"/>
      <c r="N126" s="2"/>
    </row>
    <row r="127" spans="1:14" ht="30" customHeight="1" x14ac:dyDescent="0.35">
      <c r="A127" s="34"/>
      <c r="B127" s="23"/>
      <c r="C127" s="20"/>
      <c r="D127" s="20"/>
      <c r="E127" s="20"/>
      <c r="F127" s="20"/>
      <c r="G127" s="24"/>
      <c r="H127" s="23"/>
      <c r="I127" s="20"/>
      <c r="J127" s="20"/>
      <c r="K127" s="34"/>
      <c r="L127" s="23"/>
      <c r="M127" s="24"/>
      <c r="N127" s="2"/>
    </row>
    <row r="128" spans="1:14" ht="15.5" x14ac:dyDescent="0.35">
      <c r="A128" s="35"/>
      <c r="B128" s="25"/>
      <c r="C128" s="38"/>
      <c r="D128" s="38"/>
      <c r="E128" s="38"/>
      <c r="F128" s="38"/>
      <c r="G128" s="26"/>
      <c r="H128" s="25"/>
      <c r="I128" s="38"/>
      <c r="J128" s="38"/>
      <c r="K128" s="35"/>
      <c r="L128" s="25"/>
      <c r="M128" s="26"/>
      <c r="N128" s="2"/>
    </row>
    <row r="129" spans="1:14" ht="68.25" hidden="1" customHeight="1" x14ac:dyDescent="0.35">
      <c r="A129" s="10" t="s">
        <v>133</v>
      </c>
      <c r="B129" s="27" t="s">
        <v>134</v>
      </c>
      <c r="C129" s="16"/>
      <c r="D129" s="16"/>
      <c r="E129" s="16"/>
      <c r="F129" s="16"/>
      <c r="G129" s="14"/>
      <c r="H129" s="27" t="s">
        <v>135</v>
      </c>
      <c r="I129" s="16"/>
      <c r="J129" s="16"/>
      <c r="K129" s="14"/>
      <c r="L129" s="28"/>
      <c r="M129" s="14"/>
      <c r="N129" s="2"/>
    </row>
    <row r="130" spans="1:14" ht="46.5" x14ac:dyDescent="0.35">
      <c r="A130" s="10" t="s">
        <v>136</v>
      </c>
      <c r="B130" s="27" t="s">
        <v>137</v>
      </c>
      <c r="C130" s="16"/>
      <c r="D130" s="16"/>
      <c r="E130" s="16"/>
      <c r="F130" s="16"/>
      <c r="G130" s="14"/>
      <c r="H130" s="27" t="s">
        <v>138</v>
      </c>
      <c r="I130" s="16"/>
      <c r="J130" s="16"/>
      <c r="K130" s="14"/>
      <c r="L130" s="28">
        <v>0.3</v>
      </c>
      <c r="M130" s="14"/>
      <c r="N130" s="2"/>
    </row>
    <row r="131" spans="1:14" ht="31" x14ac:dyDescent="0.35">
      <c r="A131" s="10" t="s">
        <v>139</v>
      </c>
      <c r="B131" s="27" t="s">
        <v>140</v>
      </c>
      <c r="C131" s="16"/>
      <c r="D131" s="16"/>
      <c r="E131" s="16"/>
      <c r="F131" s="16"/>
      <c r="G131" s="14"/>
      <c r="H131" s="27"/>
      <c r="I131" s="16"/>
      <c r="J131" s="16"/>
      <c r="K131" s="14"/>
      <c r="L131" s="28"/>
      <c r="M131" s="14"/>
      <c r="N131" s="2"/>
    </row>
    <row r="132" spans="1:14" ht="15.5" x14ac:dyDescent="0.35">
      <c r="A132" s="29" t="s">
        <v>141</v>
      </c>
      <c r="B132" s="16"/>
      <c r="C132" s="16"/>
      <c r="D132" s="16"/>
      <c r="E132" s="16"/>
      <c r="F132" s="16"/>
      <c r="G132" s="16"/>
      <c r="H132" s="16"/>
      <c r="I132" s="16"/>
      <c r="J132" s="16"/>
      <c r="K132" s="16"/>
      <c r="L132" s="16"/>
      <c r="M132" s="14"/>
      <c r="N132" s="2"/>
    </row>
    <row r="133" spans="1:14" ht="15.5" x14ac:dyDescent="0.35">
      <c r="A133" s="30" t="s">
        <v>142</v>
      </c>
      <c r="B133" s="16"/>
      <c r="C133" s="16"/>
      <c r="D133" s="16"/>
      <c r="E133" s="16"/>
      <c r="F133" s="16"/>
      <c r="G133" s="16"/>
      <c r="H133" s="16"/>
      <c r="I133" s="16"/>
      <c r="J133" s="16"/>
      <c r="K133" s="16"/>
      <c r="L133" s="16"/>
      <c r="M133" s="14"/>
      <c r="N133" s="2"/>
    </row>
    <row r="134" spans="1:14" ht="15.5" x14ac:dyDescent="0.35">
      <c r="A134" s="2"/>
      <c r="B134" s="2"/>
      <c r="C134" s="2"/>
      <c r="D134" s="2"/>
      <c r="E134" s="2"/>
      <c r="F134" s="2"/>
      <c r="G134" s="2"/>
      <c r="H134" s="2"/>
      <c r="I134" s="2"/>
      <c r="J134" s="2"/>
      <c r="K134" s="2"/>
      <c r="L134" s="2"/>
      <c r="M134" s="2"/>
      <c r="N134" s="2"/>
    </row>
    <row r="135" spans="1:14" ht="15.5" x14ac:dyDescent="0.35">
      <c r="A135" s="13" t="s">
        <v>143</v>
      </c>
      <c r="B135" s="14"/>
      <c r="C135" s="31">
        <v>45912</v>
      </c>
      <c r="D135" s="16"/>
      <c r="E135" s="16"/>
      <c r="F135" s="16"/>
      <c r="G135" s="16"/>
      <c r="H135" s="16"/>
      <c r="I135" s="16"/>
      <c r="J135" s="16"/>
      <c r="K135" s="16"/>
      <c r="L135" s="16"/>
      <c r="M135" s="14"/>
      <c r="N135" s="2"/>
    </row>
    <row r="136" spans="1:14" ht="8.25" customHeight="1" x14ac:dyDescent="0.35">
      <c r="A136" s="19"/>
      <c r="B136" s="20"/>
      <c r="C136" s="20"/>
      <c r="D136" s="20"/>
      <c r="E136" s="20"/>
      <c r="F136" s="20"/>
      <c r="G136" s="20"/>
      <c r="H136" s="20"/>
      <c r="I136" s="20"/>
      <c r="J136" s="20"/>
      <c r="K136" s="20"/>
      <c r="L136" s="20"/>
      <c r="M136" s="20"/>
      <c r="N136" s="2"/>
    </row>
    <row r="137" spans="1:14" ht="35.25" customHeight="1" x14ac:dyDescent="0.35">
      <c r="A137" s="13" t="s">
        <v>144</v>
      </c>
      <c r="B137" s="14"/>
      <c r="C137" s="18" t="str">
        <f>E15</f>
        <v>Şef lucr.dr.ing. Silviu Florin Ostafi</v>
      </c>
      <c r="D137" s="16"/>
      <c r="E137" s="16"/>
      <c r="F137" s="16"/>
      <c r="G137" s="14"/>
      <c r="H137" s="18">
        <f>E16</f>
        <v>0</v>
      </c>
      <c r="I137" s="16"/>
      <c r="J137" s="16"/>
      <c r="K137" s="16"/>
      <c r="L137" s="16"/>
      <c r="M137" s="14"/>
      <c r="N137" s="2"/>
    </row>
    <row r="138" spans="1:14" ht="11.25" customHeight="1" x14ac:dyDescent="0.35">
      <c r="A138" s="19"/>
      <c r="B138" s="20"/>
      <c r="C138" s="20"/>
      <c r="D138" s="20"/>
      <c r="E138" s="20"/>
      <c r="F138" s="20"/>
      <c r="G138" s="20"/>
      <c r="H138" s="20"/>
      <c r="I138" s="20"/>
      <c r="J138" s="20"/>
      <c r="K138" s="20"/>
      <c r="L138" s="20"/>
      <c r="M138" s="20"/>
      <c r="N138" s="2"/>
    </row>
    <row r="139" spans="1:14" ht="32.25" customHeight="1" x14ac:dyDescent="0.35">
      <c r="A139" s="21" t="s">
        <v>145</v>
      </c>
      <c r="B139" s="22"/>
      <c r="C139" s="18" t="str">
        <f t="shared" ref="C139:C141" si="0">E17</f>
        <v>Şef lucr.dr.ing. Silviu Florin Ostafi</v>
      </c>
      <c r="D139" s="16"/>
      <c r="E139" s="16"/>
      <c r="F139" s="16"/>
      <c r="G139" s="14"/>
      <c r="H139" s="18">
        <f t="shared" ref="H139:H141" si="1">E20</f>
        <v>0</v>
      </c>
      <c r="I139" s="16"/>
      <c r="J139" s="16"/>
      <c r="K139" s="16"/>
      <c r="L139" s="16"/>
      <c r="M139" s="14"/>
      <c r="N139" s="2"/>
    </row>
    <row r="140" spans="1:14" ht="32.25" customHeight="1" x14ac:dyDescent="0.35">
      <c r="A140" s="23"/>
      <c r="B140" s="24"/>
      <c r="C140" s="18" t="str">
        <f t="shared" si="0"/>
        <v xml:space="preserve">Asist.drd.Ing. Aura Ganciu
</v>
      </c>
      <c r="D140" s="16"/>
      <c r="E140" s="16"/>
      <c r="F140" s="16"/>
      <c r="G140" s="14"/>
      <c r="H140" s="18">
        <f t="shared" si="1"/>
        <v>0</v>
      </c>
      <c r="I140" s="16"/>
      <c r="J140" s="16"/>
      <c r="K140" s="16"/>
      <c r="L140" s="16"/>
      <c r="M140" s="14"/>
      <c r="N140" s="2"/>
    </row>
    <row r="141" spans="1:14" ht="32.25" hidden="1" customHeight="1" x14ac:dyDescent="0.35">
      <c r="A141" s="25"/>
      <c r="B141" s="26"/>
      <c r="C141" s="18">
        <f t="shared" si="0"/>
        <v>0</v>
      </c>
      <c r="D141" s="16"/>
      <c r="E141" s="16"/>
      <c r="F141" s="16"/>
      <c r="G141" s="14"/>
      <c r="H141" s="18">
        <f t="shared" si="1"/>
        <v>0</v>
      </c>
      <c r="I141" s="16"/>
      <c r="J141" s="16"/>
      <c r="K141" s="16"/>
      <c r="L141" s="16"/>
      <c r="M141" s="14"/>
      <c r="N141" s="2"/>
    </row>
    <row r="142" spans="1:14" ht="15.5" x14ac:dyDescent="0.35">
      <c r="A142" s="2"/>
      <c r="B142" s="2"/>
      <c r="C142" s="19"/>
      <c r="D142" s="20"/>
      <c r="E142" s="20"/>
      <c r="F142" s="20"/>
      <c r="G142" s="2"/>
      <c r="H142" s="19"/>
      <c r="I142" s="20"/>
      <c r="J142" s="20"/>
      <c r="K142" s="20"/>
      <c r="L142" s="20"/>
      <c r="M142" s="20"/>
      <c r="N142" s="2"/>
    </row>
    <row r="143" spans="1:14" ht="35.25" customHeight="1" x14ac:dyDescent="0.35">
      <c r="A143" s="13" t="s">
        <v>146</v>
      </c>
      <c r="B143" s="14"/>
      <c r="C143" s="15">
        <f>[1]Date!C29</f>
        <v>45915</v>
      </c>
      <c r="D143" s="14"/>
      <c r="E143" s="13" t="s">
        <v>147</v>
      </c>
      <c r="F143" s="16"/>
      <c r="G143" s="14"/>
      <c r="H143" s="17" t="str">
        <f>[1]Date!C31</f>
        <v>Conf.dr.ing. Mihai POSTOLACHE</v>
      </c>
      <c r="I143" s="16"/>
      <c r="J143" s="16"/>
      <c r="K143" s="16"/>
      <c r="L143" s="16"/>
      <c r="M143" s="14"/>
      <c r="N143" s="2"/>
    </row>
    <row r="144" spans="1:14" ht="21.75" customHeight="1" x14ac:dyDescent="0.35">
      <c r="A144" s="11"/>
      <c r="B144" s="11"/>
      <c r="C144" s="12"/>
      <c r="D144" s="12"/>
      <c r="E144" s="11"/>
      <c r="F144" s="11"/>
      <c r="G144" s="11"/>
      <c r="H144" s="12"/>
      <c r="I144" s="12"/>
      <c r="J144" s="12"/>
      <c r="K144" s="12"/>
      <c r="L144" s="12"/>
      <c r="M144" s="12"/>
      <c r="N144" s="2"/>
    </row>
    <row r="145" spans="1:14" ht="28.5" customHeight="1" x14ac:dyDescent="0.35">
      <c r="A145" s="13" t="s">
        <v>148</v>
      </c>
      <c r="B145" s="14"/>
      <c r="C145" s="15">
        <f>[1]Date!C30</f>
        <v>45918</v>
      </c>
      <c r="D145" s="14"/>
      <c r="E145" s="13" t="s">
        <v>149</v>
      </c>
      <c r="F145" s="16"/>
      <c r="G145" s="14"/>
      <c r="H145" s="17" t="str">
        <f>[1]Date!C32</f>
        <v>Prof.univ.dr.ing. Adrian BURLACU</v>
      </c>
      <c r="I145" s="16"/>
      <c r="J145" s="16"/>
      <c r="K145" s="16"/>
      <c r="L145" s="16"/>
      <c r="M145" s="14"/>
      <c r="N145" s="2"/>
    </row>
  </sheetData>
  <mergeCells count="254">
    <mergeCell ref="A1:M1"/>
    <mergeCell ref="A2:M2"/>
    <mergeCell ref="A3:M3"/>
    <mergeCell ref="A4:B4"/>
    <mergeCell ref="C4:M4"/>
    <mergeCell ref="A5:B5"/>
    <mergeCell ref="C5:M5"/>
    <mergeCell ref="A9:B9"/>
    <mergeCell ref="C9:M9"/>
    <mergeCell ref="A10:M10"/>
    <mergeCell ref="A11:M11"/>
    <mergeCell ref="A12:D12"/>
    <mergeCell ref="E12:M12"/>
    <mergeCell ref="A6:B6"/>
    <mergeCell ref="C6:M6"/>
    <mergeCell ref="A7:B7"/>
    <mergeCell ref="C7:M7"/>
    <mergeCell ref="A8:B8"/>
    <mergeCell ref="C8:M8"/>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27:B27"/>
    <mergeCell ref="A28:L28"/>
    <mergeCell ref="A29:L29"/>
    <mergeCell ref="A30:L30"/>
    <mergeCell ref="A31:L31"/>
    <mergeCell ref="A32:L32"/>
    <mergeCell ref="A23:B23"/>
    <mergeCell ref="F23:H23"/>
    <mergeCell ref="J23:L23"/>
    <mergeCell ref="A24:M24"/>
    <mergeCell ref="A25:M25"/>
    <mergeCell ref="A26:B26"/>
    <mergeCell ref="L26:M26"/>
    <mergeCell ref="A39:B39"/>
    <mergeCell ref="C39:M39"/>
    <mergeCell ref="A40:B40"/>
    <mergeCell ref="C40:M40"/>
    <mergeCell ref="A41:M41"/>
    <mergeCell ref="A42:M42"/>
    <mergeCell ref="A33:L33"/>
    <mergeCell ref="A34:B34"/>
    <mergeCell ref="A35:B35"/>
    <mergeCell ref="A36:B36"/>
    <mergeCell ref="A37:M37"/>
    <mergeCell ref="A38:M38"/>
    <mergeCell ref="A47:M47"/>
    <mergeCell ref="A48:M48"/>
    <mergeCell ref="A49:M49"/>
    <mergeCell ref="A50:A51"/>
    <mergeCell ref="B50:M50"/>
    <mergeCell ref="B51:M51"/>
    <mergeCell ref="A43:B43"/>
    <mergeCell ref="C43:M43"/>
    <mergeCell ref="A44:B44"/>
    <mergeCell ref="C44:M44"/>
    <mergeCell ref="A45:M45"/>
    <mergeCell ref="A46:M46"/>
    <mergeCell ref="A57:M57"/>
    <mergeCell ref="A58:M58"/>
    <mergeCell ref="A60:M60"/>
    <mergeCell ref="A61:G61"/>
    <mergeCell ref="H61:K61"/>
    <mergeCell ref="L61:M61"/>
    <mergeCell ref="A52:A53"/>
    <mergeCell ref="B52:M52"/>
    <mergeCell ref="B53:M53"/>
    <mergeCell ref="A54:A55"/>
    <mergeCell ref="B54:M54"/>
    <mergeCell ref="B55:M55"/>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B73:G73"/>
    <mergeCell ref="L73:M73"/>
    <mergeCell ref="B74:G74"/>
    <mergeCell ref="L74:M74"/>
    <mergeCell ref="B75:G75"/>
    <mergeCell ref="L75:M75"/>
    <mergeCell ref="B70:G70"/>
    <mergeCell ref="L70:M70"/>
    <mergeCell ref="B71:G71"/>
    <mergeCell ref="L71:M71"/>
    <mergeCell ref="B72:G72"/>
    <mergeCell ref="L72:M72"/>
    <mergeCell ref="A76:M76"/>
    <mergeCell ref="A77:G77"/>
    <mergeCell ref="H77:K77"/>
    <mergeCell ref="L77:M77"/>
    <mergeCell ref="B78:G78"/>
    <mergeCell ref="H78:K91"/>
    <mergeCell ref="L78:M78"/>
    <mergeCell ref="B79:G79"/>
    <mergeCell ref="L79:M79"/>
    <mergeCell ref="B80:G80"/>
    <mergeCell ref="B84:G84"/>
    <mergeCell ref="L84:M84"/>
    <mergeCell ref="B85:G85"/>
    <mergeCell ref="L85:M85"/>
    <mergeCell ref="B86:G86"/>
    <mergeCell ref="L86:M86"/>
    <mergeCell ref="L80:M80"/>
    <mergeCell ref="B81:G81"/>
    <mergeCell ref="L81:M81"/>
    <mergeCell ref="B82:G82"/>
    <mergeCell ref="L82:M82"/>
    <mergeCell ref="B83:G83"/>
    <mergeCell ref="L83:M83"/>
    <mergeCell ref="B90:G90"/>
    <mergeCell ref="L90:M90"/>
    <mergeCell ref="B91:G91"/>
    <mergeCell ref="L91:M91"/>
    <mergeCell ref="A92:G92"/>
    <mergeCell ref="H92:K92"/>
    <mergeCell ref="L92:M92"/>
    <mergeCell ref="B87:G87"/>
    <mergeCell ref="L87:M87"/>
    <mergeCell ref="B88:G88"/>
    <mergeCell ref="L88:M88"/>
    <mergeCell ref="B89:G89"/>
    <mergeCell ref="L89:M89"/>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104:G104"/>
    <mergeCell ref="L104:M104"/>
    <mergeCell ref="B105:G105"/>
    <mergeCell ref="L105:M105"/>
    <mergeCell ref="B106:G106"/>
    <mergeCell ref="L106:M106"/>
    <mergeCell ref="B101:G101"/>
    <mergeCell ref="L101:M101"/>
    <mergeCell ref="B102:G102"/>
    <mergeCell ref="L102:M102"/>
    <mergeCell ref="B103:G103"/>
    <mergeCell ref="L103:M103"/>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A136:M136"/>
    <mergeCell ref="A137:B137"/>
    <mergeCell ref="C137:G137"/>
    <mergeCell ref="H137:M137"/>
    <mergeCell ref="A138:M138"/>
    <mergeCell ref="A139:B141"/>
    <mergeCell ref="C139:G139"/>
    <mergeCell ref="H139:M139"/>
    <mergeCell ref="C140:G140"/>
    <mergeCell ref="H140:M140"/>
    <mergeCell ref="A145:B145"/>
    <mergeCell ref="C145:D145"/>
    <mergeCell ref="E145:G145"/>
    <mergeCell ref="H145:M145"/>
    <mergeCell ref="C141:G141"/>
    <mergeCell ref="H141:M141"/>
    <mergeCell ref="C142:F142"/>
    <mergeCell ref="H142:M142"/>
    <mergeCell ref="A143:B143"/>
    <mergeCell ref="C143:D143"/>
    <mergeCell ref="E143:G143"/>
    <mergeCell ref="H143:M143"/>
  </mergeCells>
  <hyperlinks>
    <hyperlink ref="A76" r:id="rId1" xr:uid="{72E0B10A-BCEE-4808-8DDC-3F549C61B05B}"/>
    <hyperlink ref="A122" r:id="rId2" xr:uid="{E6968EE8-F7BE-4F32-9087-A2BD2DB4B5E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2026-03-01T09:10:17Z</dcterms:created>
  <dcterms:modified xsi:type="dcterms:W3CDTF">2026-03-01T09:10:42Z</dcterms:modified>
</cp:coreProperties>
</file>