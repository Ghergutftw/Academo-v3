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8_{3FA6CBC4-E283-4F5E-B7A9-32A64F2E4100}" xr6:coauthVersionLast="47" xr6:coauthVersionMax="47" xr10:uidLastSave="{00000000-0000-0000-0000-000000000000}"/>
  <bookViews>
    <workbookView xWindow="-110" yWindow="-110" windowWidth="25820" windowHeight="15500" xr2:uid="{6658B460-DB36-44C5-90BB-1BEE30C4B24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1" l="1"/>
  <c r="C145" i="1"/>
  <c r="H143" i="1"/>
  <c r="C143" i="1"/>
  <c r="H141" i="1"/>
  <c r="C141" i="1"/>
  <c r="H140" i="1"/>
  <c r="C140" i="1"/>
  <c r="H139" i="1"/>
  <c r="C139" i="1"/>
  <c r="H137" i="1"/>
  <c r="C137" i="1"/>
  <c r="L126" i="1"/>
  <c r="C23" i="1"/>
  <c r="C9" i="1"/>
  <c r="C8" i="1"/>
  <c r="C7" i="1"/>
  <c r="A2" i="1"/>
  <c r="E26" i="1" l="1" a="1"/>
  <c r="E26" i="1" s="1"/>
  <c r="C36" i="1" a="1"/>
  <c r="C36" i="1" s="1"/>
  <c r="C34" i="1" a="1"/>
  <c r="C34" i="1" s="1"/>
  <c r="M33" i="1" s="1"/>
  <c r="M14" i="1" a="1"/>
  <c r="M14" i="1" s="1"/>
  <c r="G26" i="1" a="1"/>
  <c r="G26" i="1" s="1"/>
  <c r="G27" i="1" s="1"/>
  <c r="M32" i="1" a="1"/>
  <c r="M32" i="1" s="1"/>
  <c r="I23" i="1" a="1"/>
  <c r="I23" i="1" s="1"/>
  <c r="M23" i="1" a="1"/>
  <c r="M23" i="1" s="1"/>
  <c r="K26" i="1" a="1"/>
  <c r="K26" i="1" s="1"/>
  <c r="K27" i="1" s="1"/>
  <c r="E13" i="1" a="1"/>
  <c r="E13" i="1" s="1"/>
  <c r="E14" i="1" a="1"/>
  <c r="E14" i="1" s="1"/>
  <c r="E23" i="1" a="1"/>
  <c r="E23" i="1" s="1"/>
  <c r="I26" i="1" a="1"/>
  <c r="I26" i="1" s="1"/>
  <c r="I27" i="1" s="1"/>
  <c r="C26" i="1" l="1"/>
  <c r="C27" i="1" s="1"/>
  <c r="C35" i="1" s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6" authorId="0" shapeId="0" xr:uid="{3CD25D63-2CD7-4AB4-971C-6CFFF1BD8313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</commentList>
</comments>
</file>

<file path=xl/sharedStrings.xml><?xml version="1.0" encoding="utf-8"?>
<sst xmlns="http://schemas.openxmlformats.org/spreadsheetml/2006/main" count="175" uniqueCount="126">
  <si>
    <t>FIȘA DISCIPLINEI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</si>
  <si>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</si>
  <si>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</si>
  <si>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</si>
  <si>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</si>
  <si>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</si>
  <si>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</si>
  <si>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</si>
  <si>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</si>
  <si>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1.5 Ciclul de studii</t>
  </si>
  <si>
    <t>1.6. Programul de studii</t>
  </si>
  <si>
    <t>2. Date despre disciplină</t>
  </si>
  <si>
    <t xml:space="preserve">2.1.1 Denumirea disciplinei – (în limba română) </t>
  </si>
  <si>
    <t>Limba engleză II</t>
  </si>
  <si>
    <t>(în limba engleză, conform Suplimentului la diplomă)</t>
  </si>
  <si>
    <t>2.1.2. Codul disciplinei</t>
  </si>
  <si>
    <t xml:space="preserve">2.1.3. Categoria formativă </t>
  </si>
  <si>
    <t>2.2 Titularul / titularii activităţilor de curs</t>
  </si>
  <si>
    <t>2.3 Titularul / titularii activităţilor de aplicaţii (S, L, P, Pr)</t>
  </si>
  <si>
    <t>Conf.univ.dr. Panainte Daniela Lucia</t>
  </si>
  <si>
    <t>2.4 Anul de studii</t>
  </si>
  <si>
    <t>2.5 Semestrul</t>
  </si>
  <si>
    <t>2.6 Tipul de evaluare</t>
  </si>
  <si>
    <t>2.7 Opționalitate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</si>
  <si>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</si>
  <si>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</si>
  <si>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</si>
  <si>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</si>
  <si>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</si>
  <si>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</si>
  <si>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</si>
  <si>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</si>
  <si>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</si>
  <si>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</si>
  <si>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</si>
  <si>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</si>
  <si>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</si>
  <si>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</si>
  <si>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</si>
  <si>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</si>
  <si>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</si>
  <si>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</si>
  <si>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</si>
  <si>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</si>
  <si>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</si>
  <si>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</si>
  <si>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</si>
  <si>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</si>
  <si>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</si>
  <si>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</si>
  <si>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</si>
  <si>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>5. Condiţii</t>
  </si>
  <si>
    <t>5.1 de desfăşurare a cursului</t>
  </si>
  <si>
    <t>5.2 de desfăşurare a seminarului / laboratorului / proiectului</t>
  </si>
  <si>
    <t>sală de seminar cu videoproiector</t>
  </si>
  <si>
    <t>6. Obiectivul general al disciplinei</t>
  </si>
  <si>
    <t>Dobândirea de competenţe de comunicare potrivit Cadrului General Comun de Referinţă pentru Limbile Străine, dezvoltarea competenţelor de comunicare scrisă şi orală în limba engleză într-o universitate cu profil tehnic,  dezvoltarea competenţelor de receptare a mesajului scris şi oral în limba engleză, atât în contexte sociale, cât și profesionale și tehnice. Se urmărește consolidarea deprinderilor lingvistice prin utilizarea adecvată a vocabularului de specialitate, a structurilor gramaticale corecte și a strategiilor discursive necesare transmiterii eficiente a informațiilor pentru o colaborare activă cu vorbitori nativi și non-nativi.</t>
  </si>
  <si>
    <t>7. Rezultatele învățării</t>
  </si>
  <si>
    <t>Cunoștințe</t>
  </si>
  <si>
    <t>Studentul / Absolventul:</t>
  </si>
  <si>
    <t xml:space="preserve">- Înțelege și explică concepte și structuri gramaticale fundamentale ale limbii engleze, adaptate nivelului de studiu;
- Distinge și aplică vocabular general și de specialitate, relevant pentru domeniul tehnic și științific;
- Identifică surse de informare lingvistică și resurse lexicale (dicționare, baze de date, corpusuri online) și le integrează în procesul de învățare;
- Înțelege mecanismele de receptare a mesajelor orale și scrise în limba engleză.
 -Recunoaște și utilizează convenții de redactare a documentelor academice și profesionale (rapoarte, CV, corespondență);
</t>
  </si>
  <si>
    <t>Aptitudini</t>
  </si>
  <si>
    <t xml:space="preserve">
 - Elaborează texte adecvate stilistic și gramatical, corespunzătoare contextului academic și profesional;
- Utilizează corect limba engleză în comunicarea orală și scrisă, adaptată la situații diverse (academice, profesionale, interculturale);
- Participă activ la discuții, dezbateri și proiecte de grup, demonstrând capacități de colaborare în contexte interculturale;
 - Realizează prezentări orale clare și structurate pe teme generale și de specialitate;
 - Interpretează și sintetizează informații din texte și materiale audio-video în limba engleză.
 </t>
  </si>
  <si>
    <t>Responsabilitate și autonomie</t>
  </si>
  <si>
    <t xml:space="preserve">- - Manifestă responsabilitate în aplicarea competențelor lingvistice dobândite în contexte academice și profesionale;
 - Își asumă autonomia în învățarea și perfecționarea continuă a limbii engleze;
-  Demonstrează capacitatea de a organiza și gestiona individual sarcini de redactare și prezentare în limba engleză;
- Colaborează eficient în echipe, asumându-și roluri și responsabilități diverse în proiecte comune;
 - Manifestă inițiativă și adaptabilitate în situații de comunicare interculturală;
 - Integrează în mod responsabil resursele lingvistice și culturale în procesul de învățare și în dezvoltarea profesională;
 - Dovedește autonomie și spirit critic în receptarea și interpretarea mesajelor în limba engleză.- 
</t>
  </si>
  <si>
    <t xml:space="preserve">8. Metode de predare </t>
  </si>
  <si>
    <t>Prezentare PPTX, Academic English for Automated Control and Applied Informatics, fise cu exercitii, folosire materiale video si audio.</t>
  </si>
  <si>
    <t>9. Conţinuturi</t>
  </si>
  <si>
    <t>9.1. Curs</t>
  </si>
  <si>
    <t>Metode de predare</t>
  </si>
  <si>
    <t>Timp alocat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</si>
  <si>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</si>
  <si>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</si>
  <si>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</si>
  <si>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</si>
  <si>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</si>
  <si>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</si>
  <si>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</si>
  <si>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</si>
  <si>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</si>
  <si>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</si>
  <si>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</si>
  <si>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</si>
  <si>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</si>
  <si>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</si>
  <si>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 xml:space="preserve">Bibliografie curs:
1. 
2. 
3. 
...
</t>
  </si>
  <si>
    <t>9.2a Seminar</t>
  </si>
  <si>
    <t>Metode de lucru</t>
  </si>
  <si>
    <t>Introduction to Academic &amp; Professional English.</t>
  </si>
  <si>
    <t>Prezentare PPTX, Academic English for Automated Control and Applied Informatics, fise cu exercitii, folosire material video si audio</t>
  </si>
  <si>
    <t>Writing Reports and Project Documentation (Functional Language: Connectors).</t>
  </si>
  <si>
    <t>Professional Communication.
Writing emails, cover letters, and CVs.</t>
  </si>
  <si>
    <t>Reading Technical Documentation (manuals, specs, standards).</t>
  </si>
  <si>
    <t>Dealing with Data in English</t>
  </si>
  <si>
    <t>Revision</t>
  </si>
  <si>
    <t>Assessment</t>
  </si>
  <si>
    <t>9.2b Laborator</t>
  </si>
  <si>
    <t>9.2c Proiect</t>
  </si>
  <si>
    <r>
      <rPr>
        <sz val="12"/>
        <color theme="1"/>
        <rFont val="Arial"/>
      </rPr>
      <t>Bibliografie aplicaţii (seminar / laborator / proiect):
1. Rizopoulu Noni, A</t>
    </r>
    <r>
      <rPr>
        <i/>
        <sz val="12"/>
        <color theme="1"/>
        <rFont val="Arial"/>
      </rPr>
      <t>cademic English for Computer Science, An English for Specific and Academic Purposes Course for International Students of Computer Science, Computer Engineering, Information and Communication Systems</t>
    </r>
    <r>
      <rPr>
        <sz val="12"/>
        <color theme="1"/>
        <rFont val="Arial"/>
      </rPr>
      <t>, Disigma Publications, 2022 
2. Daniela Lucia Ene, Academic Writing:</t>
    </r>
    <r>
      <rPr>
        <i/>
        <sz val="12"/>
        <color theme="1"/>
        <rFont val="Arial"/>
      </rPr>
      <t xml:space="preserve"> A Handbook for Computer Science Students,</t>
    </r>
    <r>
      <rPr>
        <sz val="12"/>
        <color theme="1"/>
        <rFont val="Arial"/>
      </rPr>
      <t xml:space="preserve"> Editura Performantica - Institutul Național de Inventică, Iași, 2015 2. 
</t>
    </r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</si>
  <si>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</si>
  <si>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</si>
  <si>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</si>
  <si>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</si>
  <si>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</si>
  <si>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Colocviu</t>
  </si>
  <si>
    <t>Coerenţa logică, fluenţa, forţa de argumentare. 
Capacitatea de analiză, de interpretare personală, originalitatea, creativitatea. 
Gradul de asimilare a limbajului de specialitate şi capacitatea de comunicare.</t>
  </si>
  <si>
    <t>- test de evaluare formativ (verificări pe parcursul semestrului).</t>
  </si>
  <si>
    <t>100%</t>
  </si>
  <si>
    <t>10.5a Seminar</t>
  </si>
  <si>
    <t>Capacitatea de aplicare în practică a cunoştinţelor învăţate. Capacitatea de analiză, de interpretare personală, originalitatea, creativitatea.</t>
  </si>
  <si>
    <t>- participare activă la activități;
- test de evaluare.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</si>
  <si>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</si>
  <si>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</si>
  <si>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>- realizarea fişelor de laborator (toate lucrările de laborator trebuie efectuate, admiţându-se recuperarea doar a unei lucrări de laborator restante);
 - test de evaluare (colocviu de laborator).</t>
  </si>
  <si>
    <t>10.5c Proiect</t>
  </si>
  <si>
    <t>Participarea la activitatea de proicetare, capacitatea de documentare, aplicarea cunoștințelor în activitatea de proiectare.</t>
  </si>
  <si>
    <t>- efectuarea activității de proiectare;
- finalizarea proiectului;
- susținerea proiectului.</t>
  </si>
  <si>
    <t>10.6 Condiții de promovare</t>
  </si>
  <si>
    <t>Rezultatul evaluării finale rezultă prin considerarea punctajelor și ponderilor alocate fiecărei activităţi din cadrul disciplinei. Se vor acorda note întregi de la 10 la 1, nota 5 certificând dobândirea rezultatelor învăţării minimale aferente disciplinei şi acordarea creditelor de studii aferente acesteia.</t>
  </si>
  <si>
    <t>Data completării:</t>
  </si>
  <si>
    <t>Titular/ titulari de curs:</t>
  </si>
  <si>
    <t>Titular/ titulari de aplicații:</t>
  </si>
  <si>
    <t>Data avizării în departament:</t>
  </si>
  <si>
    <t>Director de departament:</t>
  </si>
  <si>
    <t>Data aprobării în Consiliul Facultății:</t>
  </si>
  <si>
    <t>Decan: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</si>
</sst>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2" fillId="0" borderId="1" xfId="0" applyFont="1" applyBorder="1" applyAlignment="1">
      <alignment vertical="center" wrapText="1"/>
    </xf>
    <xf numFmtId="0" fontId="4" fillId="0" borderId="3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7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4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center" wrapText="1"/>
    </xf>
    <xf numFmtId="49" fontId="2" fillId="3" borderId="13" xfId="0" applyNumberFormat="1" applyFont="1" applyFill="1" applyBorder="1" applyAlignment="1">
      <alignment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4" fillId="0" borderId="15" xfId="0" applyFont="1" applyBorder="1"/>
    <xf numFmtId="49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dalin\Downloads\FD%20AIA%20-%202.xlsx" TargetMode="External"/><Relationship Id="rId1" Type="http://schemas.openxmlformats.org/officeDocument/2006/relationships/externalLinkPath" Target="/Users/Madalin/Downloads/FD%20AIA%20-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MN"/>
      <sheetName val="ASDN"/>
      <sheetName val="MS"/>
      <sheetName val="ED"/>
      <sheetName val="SDA"/>
      <sheetName val="MSF"/>
      <sheetName val="IA"/>
      <sheetName val="BD"/>
      <sheetName val="AM"/>
      <sheetName val="TO"/>
      <sheetName val="SPD"/>
      <sheetName val="MT"/>
      <sheetName val="LE I"/>
      <sheetName val="LE II"/>
      <sheetName val="SP III"/>
      <sheetName val="CI"/>
      <sheetName val="EI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C1" t="str">
            <v>Anul universitar: 2025-2026</v>
          </cell>
        </row>
        <row r="2">
          <cell r="B2" t="str">
            <v>Ingineria sistemelor</v>
          </cell>
        </row>
        <row r="3">
          <cell r="B3" t="str">
            <v>Licență</v>
          </cell>
        </row>
        <row r="4">
          <cell r="B4">
            <v>2</v>
          </cell>
        </row>
        <row r="5">
          <cell r="C5" t="str">
            <v>Automatică și Informatică Aplicată</v>
          </cell>
        </row>
        <row r="8">
          <cell r="A8">
            <v>1</v>
          </cell>
          <cell r="C8" t="str">
            <v>Metode numerice</v>
          </cell>
          <cell r="D8" t="str">
            <v>Numerical Methods</v>
          </cell>
          <cell r="E8" t="str">
            <v>AIA201</v>
          </cell>
          <cell r="F8" t="str">
            <v>DI</v>
          </cell>
          <cell r="G8" t="str">
            <v>DF</v>
          </cell>
          <cell r="H8">
            <v>2</v>
          </cell>
          <cell r="I8">
            <v>0</v>
          </cell>
          <cell r="J8">
            <v>2</v>
          </cell>
          <cell r="K8">
            <v>0</v>
          </cell>
          <cell r="L8">
            <v>69</v>
          </cell>
          <cell r="M8" t="str">
            <v>E</v>
          </cell>
          <cell r="N8">
            <v>5</v>
          </cell>
        </row>
        <row r="9">
          <cell r="A9">
            <v>1</v>
          </cell>
          <cell r="C9" t="str">
            <v>Analiza și sinteza dispozitivelor numerice</v>
          </cell>
          <cell r="D9" t="str">
            <v>Analysis and Synthesis of Digital Devices</v>
          </cell>
          <cell r="E9" t="str">
            <v>AIA202</v>
          </cell>
          <cell r="F9" t="str">
            <v>DI</v>
          </cell>
          <cell r="G9" t="str">
            <v>DD</v>
          </cell>
          <cell r="H9">
            <v>2</v>
          </cell>
          <cell r="I9">
            <v>0</v>
          </cell>
          <cell r="J9">
            <v>2</v>
          </cell>
          <cell r="K9">
            <v>0</v>
          </cell>
          <cell r="L9">
            <v>69</v>
          </cell>
          <cell r="M9" t="str">
            <v>E</v>
          </cell>
          <cell r="N9">
            <v>5</v>
          </cell>
        </row>
        <row r="10">
          <cell r="A10">
            <v>1</v>
          </cell>
          <cell r="C10" t="str">
            <v>Matematici speciale</v>
          </cell>
          <cell r="D10" t="str">
            <v>Advanced Mathematics</v>
          </cell>
          <cell r="E10" t="str">
            <v>AIA203</v>
          </cell>
          <cell r="F10" t="str">
            <v>DI</v>
          </cell>
          <cell r="G10" t="str">
            <v>DF</v>
          </cell>
          <cell r="H10">
            <v>2</v>
          </cell>
          <cell r="I10">
            <v>2</v>
          </cell>
          <cell r="J10">
            <v>0</v>
          </cell>
          <cell r="K10">
            <v>0</v>
          </cell>
          <cell r="L10">
            <v>44</v>
          </cell>
          <cell r="M10" t="str">
            <v>C</v>
          </cell>
          <cell r="N10">
            <v>4</v>
          </cell>
        </row>
        <row r="11">
          <cell r="A11">
            <v>1</v>
          </cell>
          <cell r="C11" t="str">
            <v>Electronică digitală</v>
          </cell>
          <cell r="D11" t="str">
            <v>Digital Electronics</v>
          </cell>
          <cell r="E11" t="str">
            <v>AIA204</v>
          </cell>
          <cell r="F11" t="str">
            <v>DI</v>
          </cell>
          <cell r="G11" t="str">
            <v>DD</v>
          </cell>
          <cell r="H11">
            <v>2</v>
          </cell>
          <cell r="I11">
            <v>0</v>
          </cell>
          <cell r="J11">
            <v>2</v>
          </cell>
          <cell r="K11">
            <v>0</v>
          </cell>
          <cell r="L11">
            <v>44</v>
          </cell>
          <cell r="M11" t="str">
            <v>C</v>
          </cell>
          <cell r="N11">
            <v>4</v>
          </cell>
        </row>
        <row r="12">
          <cell r="A12">
            <v>1</v>
          </cell>
          <cell r="C12" t="str">
            <v>Structuri de date și algoritmi</v>
          </cell>
          <cell r="D12" t="str">
            <v>Data Structures and Algorithms</v>
          </cell>
          <cell r="E12" t="str">
            <v>AIA205</v>
          </cell>
          <cell r="F12" t="str">
            <v>DI</v>
          </cell>
          <cell r="G12" t="str">
            <v>DD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69</v>
          </cell>
          <cell r="M12" t="str">
            <v>E</v>
          </cell>
          <cell r="N12">
            <v>5</v>
          </cell>
        </row>
        <row r="13">
          <cell r="A13">
            <v>1</v>
          </cell>
          <cell r="C13" t="str">
            <v>Modelarea sistemelor fizice</v>
          </cell>
          <cell r="D13" t="str">
            <v>Modelling of Physical Systems</v>
          </cell>
          <cell r="E13" t="str">
            <v>AIA206</v>
          </cell>
          <cell r="F13" t="str">
            <v>DI</v>
          </cell>
          <cell r="G13" t="str">
            <v>DD</v>
          </cell>
          <cell r="H13">
            <v>2</v>
          </cell>
          <cell r="I13">
            <v>0</v>
          </cell>
          <cell r="J13">
            <v>2</v>
          </cell>
          <cell r="K13">
            <v>0</v>
          </cell>
          <cell r="L13">
            <v>69</v>
          </cell>
          <cell r="M13" t="str">
            <v>E</v>
          </cell>
          <cell r="N13">
            <v>5</v>
          </cell>
        </row>
        <row r="14">
          <cell r="A14">
            <v>2</v>
          </cell>
          <cell r="C14" t="str">
            <v>Introducere în automatică</v>
          </cell>
          <cell r="D14" t="str">
            <v>Fundamentals of Feedback Control</v>
          </cell>
          <cell r="E14" t="str">
            <v>AIA207</v>
          </cell>
          <cell r="F14" t="str">
            <v>DI</v>
          </cell>
          <cell r="G14" t="str">
            <v>DD</v>
          </cell>
          <cell r="H14">
            <v>3</v>
          </cell>
          <cell r="I14">
            <v>0</v>
          </cell>
          <cell r="J14">
            <v>2</v>
          </cell>
          <cell r="K14">
            <v>0</v>
          </cell>
          <cell r="L14">
            <v>55</v>
          </cell>
          <cell r="M14" t="str">
            <v>E</v>
          </cell>
          <cell r="N14">
            <v>5</v>
          </cell>
        </row>
        <row r="15">
          <cell r="A15">
            <v>2</v>
          </cell>
          <cell r="C15" t="str">
            <v>Baze de date</v>
          </cell>
          <cell r="D15" t="str">
            <v>Database Systems</v>
          </cell>
          <cell r="E15" t="str">
            <v>AIA208</v>
          </cell>
          <cell r="F15" t="str">
            <v>DI</v>
          </cell>
          <cell r="G15" t="str">
            <v>DD</v>
          </cell>
          <cell r="H15">
            <v>2</v>
          </cell>
          <cell r="I15">
            <v>0</v>
          </cell>
          <cell r="J15">
            <v>2</v>
          </cell>
          <cell r="K15">
            <v>0</v>
          </cell>
          <cell r="L15">
            <v>44</v>
          </cell>
          <cell r="M15" t="str">
            <v>C</v>
          </cell>
          <cell r="N15">
            <v>4</v>
          </cell>
        </row>
        <row r="16">
          <cell r="A16">
            <v>2</v>
          </cell>
          <cell r="C16" t="str">
            <v>Automate și microprogramare</v>
          </cell>
          <cell r="D16" t="str">
            <v>Automata and Microprogramming</v>
          </cell>
          <cell r="E16" t="str">
            <v>AIA209</v>
          </cell>
          <cell r="F16" t="str">
            <v>DI</v>
          </cell>
          <cell r="G16" t="str">
            <v>DD</v>
          </cell>
          <cell r="H16">
            <v>2</v>
          </cell>
          <cell r="I16">
            <v>0</v>
          </cell>
          <cell r="J16">
            <v>1</v>
          </cell>
          <cell r="K16">
            <v>1</v>
          </cell>
          <cell r="L16">
            <v>69</v>
          </cell>
          <cell r="M16" t="str">
            <v>E</v>
          </cell>
          <cell r="N16">
            <v>5</v>
          </cell>
        </row>
        <row r="17">
          <cell r="A17">
            <v>2</v>
          </cell>
          <cell r="C17" t="str">
            <v>Tehnici de optimizare</v>
          </cell>
          <cell r="D17" t="str">
            <v>Optimization Techniques</v>
          </cell>
          <cell r="E17" t="str">
            <v>AIA210</v>
          </cell>
          <cell r="F17" t="str">
            <v>DI</v>
          </cell>
          <cell r="G17" t="str">
            <v>DD</v>
          </cell>
          <cell r="H17">
            <v>2</v>
          </cell>
          <cell r="I17">
            <v>0</v>
          </cell>
          <cell r="J17">
            <v>2</v>
          </cell>
          <cell r="K17">
            <v>0</v>
          </cell>
          <cell r="L17">
            <v>69</v>
          </cell>
          <cell r="M17" t="str">
            <v>E</v>
          </cell>
          <cell r="N17">
            <v>5</v>
          </cell>
        </row>
        <row r="18">
          <cell r="A18">
            <v>2</v>
          </cell>
          <cell r="C18" t="str">
            <v>Statistică și prelucrarea datelor</v>
          </cell>
          <cell r="D18" t="str">
            <v>Statistics and Data Processing</v>
          </cell>
          <cell r="E18" t="str">
            <v>AIA211</v>
          </cell>
          <cell r="F18" t="str">
            <v>DI</v>
          </cell>
          <cell r="G18" t="str">
            <v>DF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69</v>
          </cell>
          <cell r="M18" t="str">
            <v>E</v>
          </cell>
          <cell r="N18">
            <v>5</v>
          </cell>
        </row>
        <row r="19">
          <cell r="A19">
            <v>2</v>
          </cell>
          <cell r="C19" t="str">
            <v>Măsurări și traductoare</v>
          </cell>
          <cell r="D19" t="str">
            <v>Measurements and Transducers</v>
          </cell>
          <cell r="E19" t="str">
            <v>AIA212</v>
          </cell>
          <cell r="F19" t="str">
            <v>DI</v>
          </cell>
          <cell r="G19" t="str">
            <v>DD</v>
          </cell>
          <cell r="H19">
            <v>2</v>
          </cell>
          <cell r="I19">
            <v>0</v>
          </cell>
          <cell r="J19">
            <v>2</v>
          </cell>
          <cell r="K19">
            <v>0</v>
          </cell>
          <cell r="L19">
            <v>69</v>
          </cell>
          <cell r="M19" t="str">
            <v>E</v>
          </cell>
          <cell r="N19">
            <v>5</v>
          </cell>
        </row>
        <row r="20">
          <cell r="A20">
            <v>1</v>
          </cell>
          <cell r="C20" t="str">
            <v>Limba engleză I</v>
          </cell>
          <cell r="D20" t="str">
            <v>The English Language I</v>
          </cell>
          <cell r="E20" t="str">
            <v>AIA213</v>
          </cell>
          <cell r="F20" t="str">
            <v>DI</v>
          </cell>
          <cell r="G20" t="str">
            <v>DC</v>
          </cell>
          <cell r="H20">
            <v>0</v>
          </cell>
          <cell r="I20">
            <v>1</v>
          </cell>
          <cell r="J20">
            <v>0</v>
          </cell>
          <cell r="K20">
            <v>0</v>
          </cell>
          <cell r="L20">
            <v>11</v>
          </cell>
          <cell r="M20" t="str">
            <v>VP</v>
          </cell>
          <cell r="N20">
            <v>1</v>
          </cell>
        </row>
        <row r="21">
          <cell r="A21">
            <v>2</v>
          </cell>
          <cell r="C21" t="str">
            <v>Limba engleză II</v>
          </cell>
          <cell r="D21" t="str">
            <v>The English Language II</v>
          </cell>
          <cell r="E21" t="str">
            <v>AIA214</v>
          </cell>
          <cell r="F21" t="str">
            <v>DI</v>
          </cell>
          <cell r="G21" t="str">
            <v>DC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11</v>
          </cell>
          <cell r="M21" t="str">
            <v>VP</v>
          </cell>
          <cell r="N21">
            <v>1</v>
          </cell>
        </row>
        <row r="29">
          <cell r="C29">
            <v>45915</v>
          </cell>
        </row>
        <row r="30">
          <cell r="C30">
            <v>45918</v>
          </cell>
        </row>
        <row r="31">
          <cell r="C31" t="str">
            <v>Conf.dr.ing. Mihai POSTOLACHE</v>
          </cell>
        </row>
        <row r="32">
          <cell r="C32" t="str">
            <v>Prof.univ.dr.ing. Adrian BURLACU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122B-9DF6-45AE-9770-EEDCFC5ED224}">
  <dimension ref="A1:N145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10.26953125" customWidth="1"/>
    <col min="2" max="2" width="27.7265625" customWidth="1"/>
    <col min="3" max="3" width="6.08984375" customWidth="1"/>
    <col min="4" max="4" width="14" customWidth="1"/>
    <col min="5" max="5" width="6.08984375" customWidth="1"/>
    <col min="6" max="6" width="10.453125" customWidth="1"/>
    <col min="7" max="7" width="8.36328125" customWidth="1"/>
    <col min="8" max="8" width="14.453125" customWidth="1"/>
    <col min="9" max="9" width="6.08984375" customWidth="1"/>
    <col min="11" max="12" width="7" customWidth="1"/>
    <col min="13" max="13" width="8" customWidth="1"/>
  </cols>
  <sheetData>
    <row r="1" spans="1:14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5" x14ac:dyDescent="0.35">
      <c r="A2" s="4" t="str">
        <f>[1]Date!C1</f>
        <v>Anul universitar: 2025-2026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4" ht="15.5" x14ac:dyDescent="0.35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</row>
    <row r="4" spans="1:14" ht="15.5" x14ac:dyDescent="0.35">
      <c r="A4" s="7" t="s">
        <v>2</v>
      </c>
      <c r="B4" s="8"/>
      <c r="C4" s="9" t="s">
        <v>3</v>
      </c>
      <c r="D4" s="8"/>
      <c r="E4" s="8"/>
      <c r="F4" s="8"/>
      <c r="G4" s="8"/>
      <c r="H4" s="8"/>
      <c r="I4" s="8"/>
      <c r="J4" s="8"/>
      <c r="K4" s="8"/>
      <c r="L4" s="8"/>
      <c r="M4" s="10"/>
      <c r="N4" s="5"/>
    </row>
    <row r="5" spans="1:14" ht="15.5" x14ac:dyDescent="0.35">
      <c r="A5" s="7" t="s">
        <v>4</v>
      </c>
      <c r="B5" s="10"/>
      <c r="C5" s="9" t="s">
        <v>5</v>
      </c>
      <c r="D5" s="8"/>
      <c r="E5" s="8"/>
      <c r="F5" s="8"/>
      <c r="G5" s="8"/>
      <c r="H5" s="8"/>
      <c r="I5" s="8"/>
      <c r="J5" s="8"/>
      <c r="K5" s="8"/>
      <c r="L5" s="8"/>
      <c r="M5" s="10"/>
      <c r="N5" s="5"/>
    </row>
    <row r="6" spans="1:14" ht="15.5" x14ac:dyDescent="0.35">
      <c r="A6" s="7" t="s">
        <v>6</v>
      </c>
      <c r="B6" s="10"/>
      <c r="C6" s="9" t="s">
        <v>7</v>
      </c>
      <c r="D6" s="8"/>
      <c r="E6" s="8"/>
      <c r="F6" s="8"/>
      <c r="G6" s="8"/>
      <c r="H6" s="8"/>
      <c r="I6" s="8"/>
      <c r="J6" s="8"/>
      <c r="K6" s="8"/>
      <c r="L6" s="8"/>
      <c r="M6" s="10"/>
      <c r="N6" s="5"/>
    </row>
    <row r="7" spans="1:14" ht="15.5" x14ac:dyDescent="0.35">
      <c r="A7" s="7" t="s">
        <v>8</v>
      </c>
      <c r="B7" s="10"/>
      <c r="C7" s="9" t="str">
        <f>[1]Date!B2</f>
        <v>Ingineria sistemelor</v>
      </c>
      <c r="D7" s="8"/>
      <c r="E7" s="8"/>
      <c r="F7" s="8"/>
      <c r="G7" s="8"/>
      <c r="H7" s="8"/>
      <c r="I7" s="8"/>
      <c r="J7" s="8"/>
      <c r="K7" s="8"/>
      <c r="L7" s="8"/>
      <c r="M7" s="10"/>
      <c r="N7" s="5"/>
    </row>
    <row r="8" spans="1:14" ht="15.5" x14ac:dyDescent="0.35">
      <c r="A8" s="7" t="s">
        <v>9</v>
      </c>
      <c r="B8" s="10"/>
      <c r="C8" s="9" t="str">
        <f>[1]Date!B3</f>
        <v>Licență</v>
      </c>
      <c r="D8" s="8"/>
      <c r="E8" s="8"/>
      <c r="F8" s="8"/>
      <c r="G8" s="8"/>
      <c r="H8" s="8"/>
      <c r="I8" s="8"/>
      <c r="J8" s="8"/>
      <c r="K8" s="8"/>
      <c r="L8" s="8"/>
      <c r="M8" s="10"/>
      <c r="N8" s="5"/>
    </row>
    <row r="9" spans="1:14" ht="15.5" x14ac:dyDescent="0.35">
      <c r="A9" s="11" t="s">
        <v>10</v>
      </c>
      <c r="B9" s="10"/>
      <c r="C9" s="9" t="str">
        <f>[1]Date!C5</f>
        <v>Automatică și Informatică Aplicată</v>
      </c>
      <c r="D9" s="8"/>
      <c r="E9" s="8"/>
      <c r="F9" s="8"/>
      <c r="G9" s="8"/>
      <c r="H9" s="8"/>
      <c r="I9" s="8"/>
      <c r="J9" s="8"/>
      <c r="K9" s="8"/>
      <c r="L9" s="8"/>
      <c r="M9" s="10"/>
      <c r="N9" s="5"/>
    </row>
    <row r="10" spans="1:14" ht="15.5" x14ac:dyDescent="0.35">
      <c r="A10" s="1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ht="15.5" x14ac:dyDescent="0.35">
      <c r="A11" s="6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</row>
    <row r="12" spans="1:14" ht="15.5" x14ac:dyDescent="0.35">
      <c r="A12" s="13" t="s">
        <v>12</v>
      </c>
      <c r="B12" s="14"/>
      <c r="C12" s="14"/>
      <c r="D12" s="15"/>
      <c r="E12" s="16" t="s">
        <v>13</v>
      </c>
      <c r="F12" s="14"/>
      <c r="G12" s="14"/>
      <c r="H12" s="14"/>
      <c r="I12" s="14"/>
      <c r="J12" s="14"/>
      <c r="K12" s="14"/>
      <c r="L12" s="14"/>
      <c r="M12" s="15"/>
      <c r="N12" s="5"/>
    </row>
    <row r="13" spans="1:14" ht="15.5" x14ac:dyDescent="0.35">
      <c r="A13" s="17" t="s">
        <v>14</v>
      </c>
      <c r="B13" s="18"/>
      <c r="C13" s="18"/>
      <c r="D13" s="19"/>
      <c r="E13" s="20" t="str">
        <f t="array" aca="1" ref="E13" ca="1">INDEX([1]Date!D8:D21, MATCH(E12,[1]Date!C8:C21,0),0)</f>
        <v>The English Language II</v>
      </c>
      <c r="F13" s="18"/>
      <c r="G13" s="18"/>
      <c r="H13" s="18"/>
      <c r="I13" s="18"/>
      <c r="J13" s="18"/>
      <c r="K13" s="18"/>
      <c r="L13" s="18"/>
      <c r="M13" s="19"/>
      <c r="N13" s="5"/>
    </row>
    <row r="14" spans="1:14" ht="15.5" x14ac:dyDescent="0.35">
      <c r="A14" s="7" t="s">
        <v>15</v>
      </c>
      <c r="B14" s="8"/>
      <c r="C14" s="8"/>
      <c r="D14" s="10"/>
      <c r="E14" s="21" t="str">
        <f t="array" aca="1" ref="E14" ca="1">INDEX([1]Date!E8:E21, MATCH(E12,[1]Date!C8:C21,0),0)</f>
        <v>AIA214</v>
      </c>
      <c r="F14" s="18"/>
      <c r="G14" s="18"/>
      <c r="H14" s="18"/>
      <c r="I14" s="7" t="s">
        <v>16</v>
      </c>
      <c r="J14" s="8"/>
      <c r="K14" s="8"/>
      <c r="L14" s="10"/>
      <c r="M14" s="22" t="str">
        <f t="array" aca="1" ref="M14" ca="1">INDEX([1]Date!G8:G21, MATCH(E12,[1]Date!C8:C21,0),0)</f>
        <v>DC</v>
      </c>
      <c r="N14" s="5"/>
    </row>
    <row r="15" spans="1:14" ht="15.5" hidden="1" x14ac:dyDescent="0.35">
      <c r="A15" s="13" t="s">
        <v>17</v>
      </c>
      <c r="B15" s="14"/>
      <c r="C15" s="14"/>
      <c r="D15" s="15"/>
      <c r="E15" s="23"/>
      <c r="F15" s="8"/>
      <c r="G15" s="8"/>
      <c r="H15" s="8"/>
      <c r="I15" s="8"/>
      <c r="J15" s="8"/>
      <c r="K15" s="8"/>
      <c r="L15" s="8"/>
      <c r="M15" s="10"/>
      <c r="N15" s="5"/>
    </row>
    <row r="16" spans="1:14" ht="15.5" hidden="1" x14ac:dyDescent="0.35">
      <c r="A16" s="24"/>
      <c r="B16" s="18"/>
      <c r="C16" s="18"/>
      <c r="D16" s="19"/>
      <c r="E16" s="23"/>
      <c r="F16" s="8"/>
      <c r="G16" s="8"/>
      <c r="H16" s="8"/>
      <c r="I16" s="8"/>
      <c r="J16" s="8"/>
      <c r="K16" s="8"/>
      <c r="L16" s="8"/>
      <c r="M16" s="10"/>
      <c r="N16" s="5"/>
    </row>
    <row r="17" spans="1:14" ht="15.5" x14ac:dyDescent="0.35">
      <c r="A17" s="13" t="s">
        <v>18</v>
      </c>
      <c r="B17" s="14"/>
      <c r="C17" s="14"/>
      <c r="D17" s="15"/>
      <c r="E17" s="23" t="s">
        <v>19</v>
      </c>
      <c r="F17" s="8"/>
      <c r="G17" s="8"/>
      <c r="H17" s="8"/>
      <c r="I17" s="8"/>
      <c r="J17" s="8"/>
      <c r="K17" s="8"/>
      <c r="L17" s="8"/>
      <c r="M17" s="10"/>
      <c r="N17" s="5"/>
    </row>
    <row r="18" spans="1:14" ht="15.5" x14ac:dyDescent="0.35">
      <c r="A18" s="25"/>
      <c r="B18" s="2"/>
      <c r="C18" s="2"/>
      <c r="D18" s="26"/>
      <c r="E18" s="23"/>
      <c r="F18" s="8"/>
      <c r="G18" s="8"/>
      <c r="H18" s="8"/>
      <c r="I18" s="8"/>
      <c r="J18" s="8"/>
      <c r="K18" s="8"/>
      <c r="L18" s="8"/>
      <c r="M18" s="10"/>
      <c r="N18" s="5"/>
    </row>
    <row r="19" spans="1:14" ht="15.5" hidden="1" x14ac:dyDescent="0.35">
      <c r="A19" s="25"/>
      <c r="B19" s="2"/>
      <c r="C19" s="2"/>
      <c r="D19" s="26"/>
      <c r="E19" s="23"/>
      <c r="F19" s="8"/>
      <c r="G19" s="8"/>
      <c r="H19" s="8"/>
      <c r="I19" s="8"/>
      <c r="J19" s="8"/>
      <c r="K19" s="8"/>
      <c r="L19" s="8"/>
      <c r="M19" s="10"/>
      <c r="N19" s="5"/>
    </row>
    <row r="20" spans="1:14" ht="15.5" hidden="1" x14ac:dyDescent="0.35">
      <c r="A20" s="25"/>
      <c r="B20" s="2"/>
      <c r="C20" s="2"/>
      <c r="D20" s="26"/>
      <c r="E20" s="23"/>
      <c r="F20" s="8"/>
      <c r="G20" s="8"/>
      <c r="H20" s="8"/>
      <c r="I20" s="8"/>
      <c r="J20" s="8"/>
      <c r="K20" s="8"/>
      <c r="L20" s="8"/>
      <c r="M20" s="10"/>
      <c r="N20" s="5"/>
    </row>
    <row r="21" spans="1:14" ht="15.5" hidden="1" x14ac:dyDescent="0.35">
      <c r="A21" s="25"/>
      <c r="B21" s="2"/>
      <c r="C21" s="2"/>
      <c r="D21" s="26"/>
      <c r="E21" s="23"/>
      <c r="F21" s="8"/>
      <c r="G21" s="8"/>
      <c r="H21" s="8"/>
      <c r="I21" s="8"/>
      <c r="J21" s="8"/>
      <c r="K21" s="8"/>
      <c r="L21" s="8"/>
      <c r="M21" s="10"/>
      <c r="N21" s="5"/>
    </row>
    <row r="22" spans="1:14" ht="15.5" hidden="1" x14ac:dyDescent="0.35">
      <c r="A22" s="24"/>
      <c r="B22" s="18"/>
      <c r="C22" s="18"/>
      <c r="D22" s="19"/>
      <c r="E22" s="23"/>
      <c r="F22" s="8"/>
      <c r="G22" s="8"/>
      <c r="H22" s="8"/>
      <c r="I22" s="8"/>
      <c r="J22" s="8"/>
      <c r="K22" s="8"/>
      <c r="L22" s="8"/>
      <c r="M22" s="10"/>
      <c r="N22" s="5"/>
    </row>
    <row r="23" spans="1:14" ht="31" x14ac:dyDescent="0.35">
      <c r="A23" s="7" t="s">
        <v>20</v>
      </c>
      <c r="B23" s="10"/>
      <c r="C23" s="27">
        <f>[1]Date!B4</f>
        <v>2</v>
      </c>
      <c r="D23" s="28" t="s">
        <v>21</v>
      </c>
      <c r="E23" s="27">
        <f t="array" aca="1" ref="E23" ca="1">INDEX([1]Date!A8:A21, MATCH(E12,[1]Date!C8:C21,0),0)</f>
        <v>2</v>
      </c>
      <c r="F23" s="29" t="s">
        <v>22</v>
      </c>
      <c r="G23" s="8"/>
      <c r="H23" s="10"/>
      <c r="I23" s="22" t="str">
        <f t="array" aca="1" ref="I23" ca="1">INDEX([1]Date!M8:M21, MATCH(E12,[1]Date!C8:C21,0),0)</f>
        <v>VP</v>
      </c>
      <c r="J23" s="29" t="s">
        <v>23</v>
      </c>
      <c r="K23" s="8"/>
      <c r="L23" s="10"/>
      <c r="M23" s="27" t="str">
        <f t="array" aca="1" ref="M23" ca="1">INDEX([1]Date!F8:F21, MATCH(E12,[1]Date!C8:C21,0),0)</f>
        <v>DI</v>
      </c>
      <c r="N23" s="5"/>
    </row>
    <row r="24" spans="1:14" ht="15.5" x14ac:dyDescent="0.35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</row>
    <row r="25" spans="1:14" ht="15.5" x14ac:dyDescent="0.35">
      <c r="A25" s="6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0"/>
    </row>
    <row r="26" spans="1:14" ht="31" x14ac:dyDescent="0.35">
      <c r="A26" s="7" t="s">
        <v>25</v>
      </c>
      <c r="B26" s="10"/>
      <c r="C26" s="31">
        <f ca="1">SUM(E26+G26+I26+K26)</f>
        <v>1</v>
      </c>
      <c r="D26" s="28" t="s">
        <v>26</v>
      </c>
      <c r="E26" s="27">
        <f t="array" aca="1" ref="E26" ca="1">INDEX([1]Date!H8:H21, MATCH(E12,[1]Date!C8:C21,0),0)</f>
        <v>0</v>
      </c>
      <c r="F26" s="28" t="s">
        <v>27</v>
      </c>
      <c r="G26" s="27">
        <f t="array" aca="1" ref="G26" ca="1">INDEX([1]Date!I8:I21, MATCH(E12,[1]Date!C8:C21,0),0)</f>
        <v>1</v>
      </c>
      <c r="H26" s="28" t="s">
        <v>28</v>
      </c>
      <c r="I26" s="31">
        <f t="array" aca="1" ref="I26" ca="1">INDEX([1]Date!J8:J21, MATCH(E12,[1]Date!C8:C21,0),0)</f>
        <v>0</v>
      </c>
      <c r="J26" s="28" t="s">
        <v>29</v>
      </c>
      <c r="K26" s="27">
        <f t="array" aca="1" ref="K26" ca="1">INDEX([1]Date!K8:K21, MATCH(E12,[1]Date!C8:C21,0),0)</f>
        <v>0</v>
      </c>
      <c r="L26" s="7" t="s">
        <v>30</v>
      </c>
      <c r="M26" s="10"/>
      <c r="N26" s="30"/>
    </row>
    <row r="27" spans="1:14" ht="31" x14ac:dyDescent="0.35">
      <c r="A27" s="7" t="s">
        <v>31</v>
      </c>
      <c r="B27" s="10"/>
      <c r="C27" s="27">
        <f ca="1">C26*14</f>
        <v>14</v>
      </c>
      <c r="D27" s="28" t="s">
        <v>32</v>
      </c>
      <c r="E27" s="27">
        <f ca="1">E26*14</f>
        <v>0</v>
      </c>
      <c r="F27" s="28" t="s">
        <v>33</v>
      </c>
      <c r="G27" s="27">
        <f ca="1">G26*14</f>
        <v>14</v>
      </c>
      <c r="H27" s="28" t="s">
        <v>34</v>
      </c>
      <c r="I27" s="27">
        <f ca="1">I26*14</f>
        <v>0</v>
      </c>
      <c r="J27" s="28" t="s">
        <v>35</v>
      </c>
      <c r="K27" s="27">
        <f ca="1">K26*14</f>
        <v>0</v>
      </c>
      <c r="L27" s="28" t="s">
        <v>36</v>
      </c>
      <c r="M27" s="27">
        <v>0</v>
      </c>
      <c r="N27" s="5"/>
    </row>
    <row r="28" spans="1:14" ht="15.5" x14ac:dyDescent="0.35">
      <c r="A28" s="7" t="s">
        <v>37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27" t="s">
        <v>38</v>
      </c>
      <c r="N28" s="5"/>
    </row>
    <row r="29" spans="1:14" ht="15.5" x14ac:dyDescent="0.35">
      <c r="A29" s="7" t="s">
        <v>39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32"/>
      <c r="N29" s="5"/>
    </row>
    <row r="30" spans="1:14" ht="15.5" x14ac:dyDescent="0.35">
      <c r="A30" s="7" t="s">
        <v>40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32"/>
      <c r="N30" s="5"/>
    </row>
    <row r="31" spans="1:14" ht="15.5" x14ac:dyDescent="0.35">
      <c r="A31" s="7" t="s">
        <v>41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32">
        <v>11</v>
      </c>
      <c r="N31" s="5"/>
    </row>
    <row r="32" spans="1:14" ht="15.5" x14ac:dyDescent="0.35">
      <c r="A32" s="7" t="s">
        <v>42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27">
        <f t="array" aca="1" ref="M32" ca="1">IF(INDEX([1]Date!M8:M21, MATCH(E12,[1]Date!C8:C21,0),0)="E",3,0)</f>
        <v>0</v>
      </c>
      <c r="N32" s="5"/>
    </row>
    <row r="33" spans="1:14" ht="15.5" x14ac:dyDescent="0.35">
      <c r="A33" s="7" t="s">
        <v>43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27">
        <f ca="1">C34-SUM(M29:M31)</f>
        <v>0</v>
      </c>
      <c r="N33" s="5"/>
    </row>
    <row r="34" spans="1:14" ht="15.5" x14ac:dyDescent="0.35">
      <c r="A34" s="7" t="s">
        <v>44</v>
      </c>
      <c r="B34" s="10"/>
      <c r="C34" s="27">
        <f t="array" aca="1" ref="C34" ca="1">INDEX([1]Date!L8:L21, MATCH(E12,[1]Date!C8:C21,0),0)</f>
        <v>11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5.5" x14ac:dyDescent="0.35">
      <c r="A35" s="7" t="s">
        <v>45</v>
      </c>
      <c r="B35" s="10"/>
      <c r="C35" s="27">
        <f ca="1">C27+M32+C34</f>
        <v>25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5.5" x14ac:dyDescent="0.35">
      <c r="A36" s="7" t="s">
        <v>46</v>
      </c>
      <c r="B36" s="10"/>
      <c r="C36" s="27">
        <f t="array" aca="1" ref="C36" ca="1">INDEX([1]Date!N8:N21, MATCH(E12,[1]Date!C8:C21,0),0)</f>
        <v>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5.5" x14ac:dyDescent="0.35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</row>
    <row r="38" spans="1:14" ht="15.5" x14ac:dyDescent="0.35">
      <c r="A38" s="6" t="s">
        <v>47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0"/>
    </row>
    <row r="39" spans="1:14" ht="15.5" x14ac:dyDescent="0.35">
      <c r="A39" s="7" t="s">
        <v>48</v>
      </c>
      <c r="B39" s="10"/>
      <c r="C39" s="9" t="s">
        <v>49</v>
      </c>
      <c r="D39" s="8"/>
      <c r="E39" s="8"/>
      <c r="F39" s="8"/>
      <c r="G39" s="8"/>
      <c r="H39" s="8"/>
      <c r="I39" s="8"/>
      <c r="J39" s="8"/>
      <c r="K39" s="8"/>
      <c r="L39" s="8"/>
      <c r="M39" s="10"/>
      <c r="N39" s="30"/>
    </row>
    <row r="40" spans="1:14" ht="15.5" x14ac:dyDescent="0.35">
      <c r="A40" s="7" t="s">
        <v>50</v>
      </c>
      <c r="B40" s="10"/>
      <c r="C40" s="23"/>
      <c r="D40" s="8"/>
      <c r="E40" s="8"/>
      <c r="F40" s="8"/>
      <c r="G40" s="8"/>
      <c r="H40" s="8"/>
      <c r="I40" s="8"/>
      <c r="J40" s="8"/>
      <c r="K40" s="8"/>
      <c r="L40" s="8"/>
      <c r="M40" s="10"/>
      <c r="N40" s="5"/>
    </row>
    <row r="41" spans="1:14" ht="15.5" x14ac:dyDescent="0.35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</row>
    <row r="42" spans="1:14" ht="15.5" x14ac:dyDescent="0.35">
      <c r="A42" s="6" t="s">
        <v>51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0"/>
    </row>
    <row r="43" spans="1:14" ht="15.5" x14ac:dyDescent="0.35">
      <c r="A43" s="7" t="s">
        <v>52</v>
      </c>
      <c r="B43" s="10"/>
      <c r="C43" s="23"/>
      <c r="D43" s="8"/>
      <c r="E43" s="8"/>
      <c r="F43" s="8"/>
      <c r="G43" s="8"/>
      <c r="H43" s="8"/>
      <c r="I43" s="8"/>
      <c r="J43" s="8"/>
      <c r="K43" s="8"/>
      <c r="L43" s="8"/>
      <c r="M43" s="10"/>
      <c r="N43" s="30"/>
    </row>
    <row r="44" spans="1:14" ht="15.5" x14ac:dyDescent="0.35">
      <c r="A44" s="7" t="s">
        <v>53</v>
      </c>
      <c r="B44" s="10"/>
      <c r="C44" s="23" t="s">
        <v>54</v>
      </c>
      <c r="D44" s="8"/>
      <c r="E44" s="8"/>
      <c r="F44" s="8"/>
      <c r="G44" s="8"/>
      <c r="H44" s="8"/>
      <c r="I44" s="8"/>
      <c r="J44" s="8"/>
      <c r="K44" s="8"/>
      <c r="L44" s="8"/>
      <c r="M44" s="10"/>
      <c r="N44" s="5"/>
    </row>
    <row r="45" spans="1:14" ht="15.5" x14ac:dyDescent="0.35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/>
    </row>
    <row r="46" spans="1:14" ht="15.5" x14ac:dyDescent="0.35">
      <c r="A46" s="6" t="s">
        <v>55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0"/>
    </row>
    <row r="47" spans="1:14" ht="15.5" x14ac:dyDescent="0.35">
      <c r="A47" s="23" t="s">
        <v>56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5"/>
    </row>
    <row r="48" spans="1:14" ht="15.5" x14ac:dyDescent="0.3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"/>
    </row>
    <row r="49" spans="1:14" ht="15.5" x14ac:dyDescent="0.35">
      <c r="A49" s="6" t="s">
        <v>57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0"/>
    </row>
    <row r="50" spans="1:14" ht="15.5" x14ac:dyDescent="0.35">
      <c r="A50" s="33" t="s">
        <v>58</v>
      </c>
      <c r="B50" s="34" t="s">
        <v>59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10"/>
      <c r="N50" s="5"/>
    </row>
    <row r="51" spans="1:14" ht="15.5" x14ac:dyDescent="0.35">
      <c r="A51" s="35"/>
      <c r="B51" s="36" t="s">
        <v>60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5"/>
    </row>
    <row r="52" spans="1:14" ht="15.5" x14ac:dyDescent="0.35">
      <c r="A52" s="33" t="s">
        <v>61</v>
      </c>
      <c r="B52" s="34" t="s">
        <v>59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5"/>
    </row>
    <row r="53" spans="1:14" ht="15.5" x14ac:dyDescent="0.35">
      <c r="A53" s="35"/>
      <c r="B53" s="36" t="s">
        <v>62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5"/>
    </row>
    <row r="54" spans="1:14" ht="18" customHeight="1" x14ac:dyDescent="0.35">
      <c r="A54" s="33" t="s">
        <v>63</v>
      </c>
      <c r="B54" s="34" t="s">
        <v>59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5"/>
    </row>
    <row r="55" spans="1:14" ht="15.5" x14ac:dyDescent="0.35">
      <c r="A55" s="35"/>
      <c r="B55" s="37" t="s">
        <v>64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5"/>
    </row>
    <row r="56" spans="1:14" ht="15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5.5" x14ac:dyDescent="0.35">
      <c r="A57" s="6" t="s">
        <v>65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0"/>
    </row>
    <row r="58" spans="1:14" ht="53.25" customHeight="1" x14ac:dyDescent="0.35">
      <c r="A58" s="23" t="s">
        <v>66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5"/>
    </row>
    <row r="59" spans="1:14" ht="15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5.5" x14ac:dyDescent="0.35">
      <c r="A60" s="6" t="s">
        <v>67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0"/>
    </row>
    <row r="61" spans="1:14" ht="24.75" hidden="1" customHeight="1" x14ac:dyDescent="0.35">
      <c r="A61" s="38" t="s">
        <v>68</v>
      </c>
      <c r="B61" s="8"/>
      <c r="C61" s="8"/>
      <c r="D61" s="8"/>
      <c r="E61" s="8"/>
      <c r="F61" s="8"/>
      <c r="G61" s="10"/>
      <c r="H61" s="38" t="s">
        <v>69</v>
      </c>
      <c r="I61" s="8"/>
      <c r="J61" s="8"/>
      <c r="K61" s="10"/>
      <c r="L61" s="38" t="s">
        <v>70</v>
      </c>
      <c r="M61" s="10"/>
      <c r="N61" s="30"/>
    </row>
    <row r="62" spans="1:14" ht="15.5" hidden="1" x14ac:dyDescent="0.35">
      <c r="A62" s="39" t="s">
        <v>71</v>
      </c>
      <c r="B62" s="23"/>
      <c r="C62" s="8"/>
      <c r="D62" s="8"/>
      <c r="E62" s="8"/>
      <c r="F62" s="8"/>
      <c r="G62" s="10"/>
      <c r="H62" s="40"/>
      <c r="I62" s="14"/>
      <c r="J62" s="14"/>
      <c r="K62" s="15"/>
      <c r="L62" s="23"/>
      <c r="M62" s="10"/>
      <c r="N62" s="5"/>
    </row>
    <row r="63" spans="1:14" ht="15.5" hidden="1" x14ac:dyDescent="0.35">
      <c r="A63" s="39" t="s">
        <v>72</v>
      </c>
      <c r="B63" s="23"/>
      <c r="C63" s="8"/>
      <c r="D63" s="8"/>
      <c r="E63" s="8"/>
      <c r="F63" s="8"/>
      <c r="G63" s="10"/>
      <c r="H63" s="25"/>
      <c r="I63" s="2"/>
      <c r="J63" s="2"/>
      <c r="K63" s="26"/>
      <c r="L63" s="23"/>
      <c r="M63" s="10"/>
      <c r="N63" s="5"/>
    </row>
    <row r="64" spans="1:14" ht="15.5" hidden="1" x14ac:dyDescent="0.35">
      <c r="A64" s="39" t="s">
        <v>73</v>
      </c>
      <c r="B64" s="23"/>
      <c r="C64" s="8"/>
      <c r="D64" s="8"/>
      <c r="E64" s="8"/>
      <c r="F64" s="8"/>
      <c r="G64" s="10"/>
      <c r="H64" s="25"/>
      <c r="I64" s="2"/>
      <c r="J64" s="2"/>
      <c r="K64" s="26"/>
      <c r="L64" s="23"/>
      <c r="M64" s="10"/>
      <c r="N64" s="5"/>
    </row>
    <row r="65" spans="1:14" ht="15.5" hidden="1" x14ac:dyDescent="0.35">
      <c r="A65" s="39" t="s">
        <v>74</v>
      </c>
      <c r="B65" s="23"/>
      <c r="C65" s="8"/>
      <c r="D65" s="8"/>
      <c r="E65" s="8"/>
      <c r="F65" s="8"/>
      <c r="G65" s="10"/>
      <c r="H65" s="25"/>
      <c r="I65" s="2"/>
      <c r="J65" s="2"/>
      <c r="K65" s="26"/>
      <c r="L65" s="23"/>
      <c r="M65" s="10"/>
      <c r="N65" s="5"/>
    </row>
    <row r="66" spans="1:14" ht="15.5" hidden="1" x14ac:dyDescent="0.35">
      <c r="A66" s="39" t="s">
        <v>75</v>
      </c>
      <c r="B66" s="23"/>
      <c r="C66" s="8"/>
      <c r="D66" s="8"/>
      <c r="E66" s="8"/>
      <c r="F66" s="8"/>
      <c r="G66" s="10"/>
      <c r="H66" s="25"/>
      <c r="I66" s="2"/>
      <c r="J66" s="2"/>
      <c r="K66" s="26"/>
      <c r="L66" s="23"/>
      <c r="M66" s="10"/>
      <c r="N66" s="5"/>
    </row>
    <row r="67" spans="1:14" ht="15.5" hidden="1" x14ac:dyDescent="0.35">
      <c r="A67" s="39" t="s">
        <v>76</v>
      </c>
      <c r="B67" s="23"/>
      <c r="C67" s="8"/>
      <c r="D67" s="8"/>
      <c r="E67" s="8"/>
      <c r="F67" s="8"/>
      <c r="G67" s="10"/>
      <c r="H67" s="25"/>
      <c r="I67" s="2"/>
      <c r="J67" s="2"/>
      <c r="K67" s="26"/>
      <c r="L67" s="23"/>
      <c r="M67" s="10"/>
      <c r="N67" s="5"/>
    </row>
    <row r="68" spans="1:14" ht="15.5" hidden="1" x14ac:dyDescent="0.35">
      <c r="A68" s="39" t="s">
        <v>77</v>
      </c>
      <c r="B68" s="23"/>
      <c r="C68" s="8"/>
      <c r="D68" s="8"/>
      <c r="E68" s="8"/>
      <c r="F68" s="8"/>
      <c r="G68" s="10"/>
      <c r="H68" s="25"/>
      <c r="I68" s="2"/>
      <c r="J68" s="2"/>
      <c r="K68" s="26"/>
      <c r="L68" s="23"/>
      <c r="M68" s="10"/>
      <c r="N68" s="5"/>
    </row>
    <row r="69" spans="1:14" ht="15.5" hidden="1" x14ac:dyDescent="0.35">
      <c r="A69" s="39" t="s">
        <v>78</v>
      </c>
      <c r="B69" s="23"/>
      <c r="C69" s="8"/>
      <c r="D69" s="8"/>
      <c r="E69" s="8"/>
      <c r="F69" s="8"/>
      <c r="G69" s="10"/>
      <c r="H69" s="25"/>
      <c r="I69" s="2"/>
      <c r="J69" s="2"/>
      <c r="K69" s="26"/>
      <c r="L69" s="23"/>
      <c r="M69" s="10"/>
      <c r="N69" s="5"/>
    </row>
    <row r="70" spans="1:14" ht="15.5" hidden="1" x14ac:dyDescent="0.35">
      <c r="A70" s="39" t="s">
        <v>79</v>
      </c>
      <c r="B70" s="23"/>
      <c r="C70" s="8"/>
      <c r="D70" s="8"/>
      <c r="E70" s="8"/>
      <c r="F70" s="8"/>
      <c r="G70" s="10"/>
      <c r="H70" s="25"/>
      <c r="I70" s="2"/>
      <c r="J70" s="2"/>
      <c r="K70" s="26"/>
      <c r="L70" s="23"/>
      <c r="M70" s="10"/>
      <c r="N70" s="5"/>
    </row>
    <row r="71" spans="1:14" ht="15.5" hidden="1" x14ac:dyDescent="0.35">
      <c r="A71" s="39" t="s">
        <v>80</v>
      </c>
      <c r="B71" s="23"/>
      <c r="C71" s="8"/>
      <c r="D71" s="8"/>
      <c r="E71" s="8"/>
      <c r="F71" s="8"/>
      <c r="G71" s="10"/>
      <c r="H71" s="25"/>
      <c r="I71" s="2"/>
      <c r="J71" s="2"/>
      <c r="K71" s="26"/>
      <c r="L71" s="23"/>
      <c r="M71" s="10"/>
      <c r="N71" s="5"/>
    </row>
    <row r="72" spans="1:14" ht="15.5" hidden="1" x14ac:dyDescent="0.35">
      <c r="A72" s="39" t="s">
        <v>81</v>
      </c>
      <c r="B72" s="23"/>
      <c r="C72" s="8"/>
      <c r="D72" s="8"/>
      <c r="E72" s="8"/>
      <c r="F72" s="8"/>
      <c r="G72" s="10"/>
      <c r="H72" s="25"/>
      <c r="I72" s="2"/>
      <c r="J72" s="2"/>
      <c r="K72" s="26"/>
      <c r="L72" s="23"/>
      <c r="M72" s="10"/>
      <c r="N72" s="5"/>
    </row>
    <row r="73" spans="1:14" ht="15.5" hidden="1" x14ac:dyDescent="0.35">
      <c r="A73" s="39" t="s">
        <v>82</v>
      </c>
      <c r="B73" s="23"/>
      <c r="C73" s="8"/>
      <c r="D73" s="8"/>
      <c r="E73" s="8"/>
      <c r="F73" s="8"/>
      <c r="G73" s="10"/>
      <c r="H73" s="25"/>
      <c r="I73" s="2"/>
      <c r="J73" s="2"/>
      <c r="K73" s="26"/>
      <c r="L73" s="23"/>
      <c r="M73" s="10"/>
      <c r="N73" s="5"/>
    </row>
    <row r="74" spans="1:14" ht="15.5" hidden="1" x14ac:dyDescent="0.35">
      <c r="A74" s="39" t="s">
        <v>83</v>
      </c>
      <c r="B74" s="23"/>
      <c r="C74" s="8"/>
      <c r="D74" s="8"/>
      <c r="E74" s="8"/>
      <c r="F74" s="8"/>
      <c r="G74" s="10"/>
      <c r="H74" s="25"/>
      <c r="I74" s="2"/>
      <c r="J74" s="2"/>
      <c r="K74" s="26"/>
      <c r="L74" s="23"/>
      <c r="M74" s="10"/>
      <c r="N74" s="5"/>
    </row>
    <row r="75" spans="1:14" ht="15.5" hidden="1" x14ac:dyDescent="0.35">
      <c r="A75" s="39" t="s">
        <v>84</v>
      </c>
      <c r="B75" s="23"/>
      <c r="C75" s="8"/>
      <c r="D75" s="8"/>
      <c r="E75" s="8"/>
      <c r="F75" s="8"/>
      <c r="G75" s="10"/>
      <c r="H75" s="24"/>
      <c r="I75" s="18"/>
      <c r="J75" s="18"/>
      <c r="K75" s="19"/>
      <c r="L75" s="23"/>
      <c r="M75" s="10"/>
      <c r="N75" s="5"/>
    </row>
    <row r="76" spans="1:14" ht="84.75" hidden="1" customHeight="1" x14ac:dyDescent="0.35">
      <c r="A76" s="37" t="s">
        <v>85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5"/>
    </row>
    <row r="77" spans="1:14" ht="24.75" customHeight="1" x14ac:dyDescent="0.35">
      <c r="A77" s="38" t="s">
        <v>86</v>
      </c>
      <c r="B77" s="8"/>
      <c r="C77" s="8"/>
      <c r="D77" s="8"/>
      <c r="E77" s="8"/>
      <c r="F77" s="8"/>
      <c r="G77" s="10"/>
      <c r="H77" s="38" t="s">
        <v>87</v>
      </c>
      <c r="I77" s="8"/>
      <c r="J77" s="8"/>
      <c r="K77" s="10"/>
      <c r="L77" s="38" t="s">
        <v>70</v>
      </c>
      <c r="M77" s="10"/>
      <c r="N77" s="30"/>
    </row>
    <row r="78" spans="1:14" ht="15.5" x14ac:dyDescent="0.35">
      <c r="A78" s="39" t="s">
        <v>71</v>
      </c>
      <c r="B78" s="23" t="s">
        <v>88</v>
      </c>
      <c r="C78" s="8"/>
      <c r="D78" s="8"/>
      <c r="E78" s="8"/>
      <c r="F78" s="8"/>
      <c r="G78" s="10"/>
      <c r="H78" s="40" t="s">
        <v>89</v>
      </c>
      <c r="I78" s="14"/>
      <c r="J78" s="14"/>
      <c r="K78" s="15"/>
      <c r="L78" s="41">
        <v>2</v>
      </c>
      <c r="M78" s="10"/>
      <c r="N78" s="5"/>
    </row>
    <row r="79" spans="1:14" ht="15.5" x14ac:dyDescent="0.35">
      <c r="A79" s="39" t="s">
        <v>72</v>
      </c>
      <c r="B79" s="23" t="s">
        <v>90</v>
      </c>
      <c r="C79" s="8"/>
      <c r="D79" s="8"/>
      <c r="E79" s="8"/>
      <c r="F79" s="8"/>
      <c r="G79" s="10"/>
      <c r="H79" s="25"/>
      <c r="I79" s="2"/>
      <c r="J79" s="2"/>
      <c r="K79" s="26"/>
      <c r="L79" s="41">
        <v>4</v>
      </c>
      <c r="M79" s="10"/>
      <c r="N79" s="5"/>
    </row>
    <row r="80" spans="1:14" ht="15.5" x14ac:dyDescent="0.35">
      <c r="A80" s="39" t="s">
        <v>73</v>
      </c>
      <c r="B80" s="23" t="s">
        <v>91</v>
      </c>
      <c r="C80" s="8"/>
      <c r="D80" s="8"/>
      <c r="E80" s="8"/>
      <c r="F80" s="8"/>
      <c r="G80" s="10"/>
      <c r="H80" s="25"/>
      <c r="I80" s="2"/>
      <c r="J80" s="2"/>
      <c r="K80" s="26"/>
      <c r="L80" s="41">
        <v>2</v>
      </c>
      <c r="M80" s="10"/>
      <c r="N80" s="5"/>
    </row>
    <row r="81" spans="1:14" ht="15.5" x14ac:dyDescent="0.35">
      <c r="A81" s="39" t="s">
        <v>74</v>
      </c>
      <c r="B81" s="23" t="s">
        <v>92</v>
      </c>
      <c r="C81" s="8"/>
      <c r="D81" s="8"/>
      <c r="E81" s="8"/>
      <c r="F81" s="8"/>
      <c r="G81" s="10"/>
      <c r="H81" s="25"/>
      <c r="I81" s="2"/>
      <c r="J81" s="2"/>
      <c r="K81" s="26"/>
      <c r="L81" s="41">
        <v>2</v>
      </c>
      <c r="M81" s="10"/>
      <c r="N81" s="5"/>
    </row>
    <row r="82" spans="1:14" ht="15.5" x14ac:dyDescent="0.35">
      <c r="A82" s="39" t="s">
        <v>75</v>
      </c>
      <c r="B82" s="23" t="s">
        <v>93</v>
      </c>
      <c r="C82" s="8"/>
      <c r="D82" s="8"/>
      <c r="E82" s="8"/>
      <c r="F82" s="8"/>
      <c r="G82" s="10"/>
      <c r="H82" s="25"/>
      <c r="I82" s="2"/>
      <c r="J82" s="2"/>
      <c r="K82" s="26"/>
      <c r="L82" s="41">
        <v>2</v>
      </c>
      <c r="M82" s="10"/>
      <c r="N82" s="5"/>
    </row>
    <row r="83" spans="1:14" ht="15.5" x14ac:dyDescent="0.35">
      <c r="A83" s="39" t="s">
        <v>76</v>
      </c>
      <c r="B83" s="23" t="s">
        <v>94</v>
      </c>
      <c r="C83" s="8"/>
      <c r="D83" s="8"/>
      <c r="E83" s="8"/>
      <c r="F83" s="8"/>
      <c r="G83" s="10"/>
      <c r="H83" s="25"/>
      <c r="I83" s="2"/>
      <c r="J83" s="2"/>
      <c r="K83" s="26"/>
      <c r="L83" s="41">
        <v>1</v>
      </c>
      <c r="M83" s="10"/>
      <c r="N83" s="5"/>
    </row>
    <row r="84" spans="1:14" ht="15.5" x14ac:dyDescent="0.35">
      <c r="A84" s="39" t="s">
        <v>77</v>
      </c>
      <c r="B84" s="23" t="s">
        <v>95</v>
      </c>
      <c r="C84" s="8"/>
      <c r="D84" s="8"/>
      <c r="E84" s="8"/>
      <c r="F84" s="8"/>
      <c r="G84" s="10"/>
      <c r="H84" s="25"/>
      <c r="I84" s="2"/>
      <c r="J84" s="2"/>
      <c r="K84" s="26"/>
      <c r="L84" s="41">
        <v>1</v>
      </c>
      <c r="M84" s="10"/>
      <c r="N84" s="5"/>
    </row>
    <row r="85" spans="1:14" ht="15.5" x14ac:dyDescent="0.35">
      <c r="A85" s="39" t="s">
        <v>78</v>
      </c>
      <c r="B85" s="23"/>
      <c r="C85" s="8"/>
      <c r="D85" s="8"/>
      <c r="E85" s="8"/>
      <c r="F85" s="8"/>
      <c r="G85" s="10"/>
      <c r="H85" s="25"/>
      <c r="I85" s="2"/>
      <c r="J85" s="2"/>
      <c r="K85" s="26"/>
      <c r="L85" s="23"/>
      <c r="M85" s="10"/>
      <c r="N85" s="5"/>
    </row>
    <row r="86" spans="1:14" ht="15.5" hidden="1" x14ac:dyDescent="0.35">
      <c r="A86" s="39" t="s">
        <v>79</v>
      </c>
      <c r="B86" s="23"/>
      <c r="C86" s="8"/>
      <c r="D86" s="8"/>
      <c r="E86" s="8"/>
      <c r="F86" s="8"/>
      <c r="G86" s="10"/>
      <c r="H86" s="25"/>
      <c r="I86" s="2"/>
      <c r="J86" s="2"/>
      <c r="K86" s="26"/>
      <c r="L86" s="23"/>
      <c r="M86" s="10"/>
      <c r="N86" s="5"/>
    </row>
    <row r="87" spans="1:14" ht="15.5" hidden="1" x14ac:dyDescent="0.35">
      <c r="A87" s="39" t="s">
        <v>80</v>
      </c>
      <c r="B87" s="23"/>
      <c r="C87" s="8"/>
      <c r="D87" s="8"/>
      <c r="E87" s="8"/>
      <c r="F87" s="8"/>
      <c r="G87" s="10"/>
      <c r="H87" s="25"/>
      <c r="I87" s="2"/>
      <c r="J87" s="2"/>
      <c r="K87" s="26"/>
      <c r="L87" s="23"/>
      <c r="M87" s="10"/>
      <c r="N87" s="5"/>
    </row>
    <row r="88" spans="1:14" ht="15.5" hidden="1" x14ac:dyDescent="0.35">
      <c r="A88" s="39" t="s">
        <v>81</v>
      </c>
      <c r="B88" s="23"/>
      <c r="C88" s="8"/>
      <c r="D88" s="8"/>
      <c r="E88" s="8"/>
      <c r="F88" s="8"/>
      <c r="G88" s="10"/>
      <c r="H88" s="25"/>
      <c r="I88" s="2"/>
      <c r="J88" s="2"/>
      <c r="K88" s="26"/>
      <c r="L88" s="23"/>
      <c r="M88" s="10"/>
      <c r="N88" s="5"/>
    </row>
    <row r="89" spans="1:14" ht="15.5" hidden="1" x14ac:dyDescent="0.35">
      <c r="A89" s="39" t="s">
        <v>82</v>
      </c>
      <c r="B89" s="23"/>
      <c r="C89" s="8"/>
      <c r="D89" s="8"/>
      <c r="E89" s="8"/>
      <c r="F89" s="8"/>
      <c r="G89" s="10"/>
      <c r="H89" s="25"/>
      <c r="I89" s="2"/>
      <c r="J89" s="2"/>
      <c r="K89" s="26"/>
      <c r="L89" s="23"/>
      <c r="M89" s="10"/>
      <c r="N89" s="5"/>
    </row>
    <row r="90" spans="1:14" ht="15.5" hidden="1" x14ac:dyDescent="0.35">
      <c r="A90" s="39" t="s">
        <v>83</v>
      </c>
      <c r="B90" s="23"/>
      <c r="C90" s="8"/>
      <c r="D90" s="8"/>
      <c r="E90" s="8"/>
      <c r="F90" s="8"/>
      <c r="G90" s="10"/>
      <c r="H90" s="25"/>
      <c r="I90" s="2"/>
      <c r="J90" s="2"/>
      <c r="K90" s="26"/>
      <c r="L90" s="23"/>
      <c r="M90" s="10"/>
      <c r="N90" s="5"/>
    </row>
    <row r="91" spans="1:14" ht="15.5" hidden="1" x14ac:dyDescent="0.35">
      <c r="A91" s="39" t="s">
        <v>84</v>
      </c>
      <c r="B91" s="23"/>
      <c r="C91" s="8"/>
      <c r="D91" s="8"/>
      <c r="E91" s="8"/>
      <c r="F91" s="8"/>
      <c r="G91" s="10"/>
      <c r="H91" s="24"/>
      <c r="I91" s="18"/>
      <c r="J91" s="18"/>
      <c r="K91" s="19"/>
      <c r="L91" s="23"/>
      <c r="M91" s="10"/>
      <c r="N91" s="5"/>
    </row>
    <row r="92" spans="1:14" ht="24" hidden="1" customHeight="1" x14ac:dyDescent="0.35">
      <c r="A92" s="38" t="s">
        <v>96</v>
      </c>
      <c r="B92" s="8"/>
      <c r="C92" s="8"/>
      <c r="D92" s="8"/>
      <c r="E92" s="8"/>
      <c r="F92" s="8"/>
      <c r="G92" s="10"/>
      <c r="H92" s="38" t="s">
        <v>87</v>
      </c>
      <c r="I92" s="8"/>
      <c r="J92" s="8"/>
      <c r="K92" s="10"/>
      <c r="L92" s="38" t="s">
        <v>70</v>
      </c>
      <c r="M92" s="10"/>
      <c r="N92" s="30"/>
    </row>
    <row r="93" spans="1:14" ht="15.5" hidden="1" x14ac:dyDescent="0.35">
      <c r="A93" s="39" t="s">
        <v>71</v>
      </c>
      <c r="B93" s="23"/>
      <c r="C93" s="8"/>
      <c r="D93" s="8"/>
      <c r="E93" s="8"/>
      <c r="F93" s="8"/>
      <c r="G93" s="10"/>
      <c r="H93" s="40"/>
      <c r="I93" s="14"/>
      <c r="J93" s="14"/>
      <c r="K93" s="15"/>
      <c r="L93" s="23"/>
      <c r="M93" s="10"/>
      <c r="N93" s="5"/>
    </row>
    <row r="94" spans="1:14" ht="15.5" hidden="1" x14ac:dyDescent="0.35">
      <c r="A94" s="39" t="s">
        <v>72</v>
      </c>
      <c r="B94" s="23"/>
      <c r="C94" s="8"/>
      <c r="D94" s="8"/>
      <c r="E94" s="8"/>
      <c r="F94" s="8"/>
      <c r="G94" s="10"/>
      <c r="H94" s="25"/>
      <c r="I94" s="2"/>
      <c r="J94" s="2"/>
      <c r="K94" s="26"/>
      <c r="L94" s="23"/>
      <c r="M94" s="10"/>
      <c r="N94" s="5"/>
    </row>
    <row r="95" spans="1:14" ht="15.5" hidden="1" x14ac:dyDescent="0.35">
      <c r="A95" s="39" t="s">
        <v>73</v>
      </c>
      <c r="B95" s="23"/>
      <c r="C95" s="8"/>
      <c r="D95" s="8"/>
      <c r="E95" s="8"/>
      <c r="F95" s="8"/>
      <c r="G95" s="10"/>
      <c r="H95" s="25"/>
      <c r="I95" s="2"/>
      <c r="J95" s="2"/>
      <c r="K95" s="26"/>
      <c r="L95" s="23"/>
      <c r="M95" s="10"/>
      <c r="N95" s="5"/>
    </row>
    <row r="96" spans="1:14" ht="15.5" hidden="1" x14ac:dyDescent="0.35">
      <c r="A96" s="39" t="s">
        <v>74</v>
      </c>
      <c r="B96" s="23"/>
      <c r="C96" s="8"/>
      <c r="D96" s="8"/>
      <c r="E96" s="8"/>
      <c r="F96" s="8"/>
      <c r="G96" s="10"/>
      <c r="H96" s="25"/>
      <c r="I96" s="2"/>
      <c r="J96" s="2"/>
      <c r="K96" s="26"/>
      <c r="L96" s="23"/>
      <c r="M96" s="10"/>
      <c r="N96" s="5"/>
    </row>
    <row r="97" spans="1:14" ht="15.5" hidden="1" x14ac:dyDescent="0.35">
      <c r="A97" s="39" t="s">
        <v>75</v>
      </c>
      <c r="B97" s="23"/>
      <c r="C97" s="8"/>
      <c r="D97" s="8"/>
      <c r="E97" s="8"/>
      <c r="F97" s="8"/>
      <c r="G97" s="10"/>
      <c r="H97" s="25"/>
      <c r="I97" s="2"/>
      <c r="J97" s="2"/>
      <c r="K97" s="26"/>
      <c r="L97" s="23"/>
      <c r="M97" s="10"/>
      <c r="N97" s="5"/>
    </row>
    <row r="98" spans="1:14" ht="15.5" hidden="1" x14ac:dyDescent="0.35">
      <c r="A98" s="39" t="s">
        <v>76</v>
      </c>
      <c r="B98" s="23"/>
      <c r="C98" s="8"/>
      <c r="D98" s="8"/>
      <c r="E98" s="8"/>
      <c r="F98" s="8"/>
      <c r="G98" s="10"/>
      <c r="H98" s="25"/>
      <c r="I98" s="2"/>
      <c r="J98" s="2"/>
      <c r="K98" s="26"/>
      <c r="L98" s="23"/>
      <c r="M98" s="10"/>
      <c r="N98" s="5"/>
    </row>
    <row r="99" spans="1:14" ht="15.5" hidden="1" x14ac:dyDescent="0.35">
      <c r="A99" s="39" t="s">
        <v>77</v>
      </c>
      <c r="B99" s="23"/>
      <c r="C99" s="8"/>
      <c r="D99" s="8"/>
      <c r="E99" s="8"/>
      <c r="F99" s="8"/>
      <c r="G99" s="10"/>
      <c r="H99" s="25"/>
      <c r="I99" s="2"/>
      <c r="J99" s="2"/>
      <c r="K99" s="26"/>
      <c r="L99" s="23"/>
      <c r="M99" s="10"/>
      <c r="N99" s="5"/>
    </row>
    <row r="100" spans="1:14" ht="15.5" hidden="1" x14ac:dyDescent="0.35">
      <c r="A100" s="39" t="s">
        <v>78</v>
      </c>
      <c r="B100" s="23"/>
      <c r="C100" s="8"/>
      <c r="D100" s="8"/>
      <c r="E100" s="8"/>
      <c r="F100" s="8"/>
      <c r="G100" s="10"/>
      <c r="H100" s="25"/>
      <c r="I100" s="2"/>
      <c r="J100" s="2"/>
      <c r="K100" s="26"/>
      <c r="L100" s="23"/>
      <c r="M100" s="10"/>
      <c r="N100" s="5"/>
    </row>
    <row r="101" spans="1:14" ht="15.5" hidden="1" x14ac:dyDescent="0.35">
      <c r="A101" s="39" t="s">
        <v>79</v>
      </c>
      <c r="B101" s="23"/>
      <c r="C101" s="8"/>
      <c r="D101" s="8"/>
      <c r="E101" s="8"/>
      <c r="F101" s="8"/>
      <c r="G101" s="10"/>
      <c r="H101" s="25"/>
      <c r="I101" s="2"/>
      <c r="J101" s="2"/>
      <c r="K101" s="26"/>
      <c r="L101" s="23"/>
      <c r="M101" s="10"/>
      <c r="N101" s="5"/>
    </row>
    <row r="102" spans="1:14" ht="15.5" hidden="1" x14ac:dyDescent="0.35">
      <c r="A102" s="39" t="s">
        <v>80</v>
      </c>
      <c r="B102" s="23"/>
      <c r="C102" s="8"/>
      <c r="D102" s="8"/>
      <c r="E102" s="8"/>
      <c r="F102" s="8"/>
      <c r="G102" s="10"/>
      <c r="H102" s="25"/>
      <c r="I102" s="2"/>
      <c r="J102" s="2"/>
      <c r="K102" s="26"/>
      <c r="L102" s="23"/>
      <c r="M102" s="10"/>
      <c r="N102" s="5"/>
    </row>
    <row r="103" spans="1:14" ht="15.5" hidden="1" x14ac:dyDescent="0.35">
      <c r="A103" s="39" t="s">
        <v>81</v>
      </c>
      <c r="B103" s="23"/>
      <c r="C103" s="8"/>
      <c r="D103" s="8"/>
      <c r="E103" s="8"/>
      <c r="F103" s="8"/>
      <c r="G103" s="10"/>
      <c r="H103" s="25"/>
      <c r="I103" s="2"/>
      <c r="J103" s="2"/>
      <c r="K103" s="26"/>
      <c r="L103" s="23"/>
      <c r="M103" s="10"/>
      <c r="N103" s="5"/>
    </row>
    <row r="104" spans="1:14" ht="15.5" hidden="1" x14ac:dyDescent="0.35">
      <c r="A104" s="39" t="s">
        <v>82</v>
      </c>
      <c r="B104" s="23"/>
      <c r="C104" s="8"/>
      <c r="D104" s="8"/>
      <c r="E104" s="8"/>
      <c r="F104" s="8"/>
      <c r="G104" s="10"/>
      <c r="H104" s="25"/>
      <c r="I104" s="2"/>
      <c r="J104" s="2"/>
      <c r="K104" s="26"/>
      <c r="L104" s="23"/>
      <c r="M104" s="10"/>
      <c r="N104" s="5"/>
    </row>
    <row r="105" spans="1:14" ht="15.5" hidden="1" x14ac:dyDescent="0.35">
      <c r="A105" s="39" t="s">
        <v>83</v>
      </c>
      <c r="B105" s="23"/>
      <c r="C105" s="8"/>
      <c r="D105" s="8"/>
      <c r="E105" s="8"/>
      <c r="F105" s="8"/>
      <c r="G105" s="10"/>
      <c r="H105" s="25"/>
      <c r="I105" s="2"/>
      <c r="J105" s="2"/>
      <c r="K105" s="26"/>
      <c r="L105" s="23"/>
      <c r="M105" s="10"/>
      <c r="N105" s="5"/>
    </row>
    <row r="106" spans="1:14" ht="15.5" hidden="1" x14ac:dyDescent="0.35">
      <c r="A106" s="39" t="s">
        <v>84</v>
      </c>
      <c r="B106" s="23"/>
      <c r="C106" s="8"/>
      <c r="D106" s="8"/>
      <c r="E106" s="8"/>
      <c r="F106" s="8"/>
      <c r="G106" s="10"/>
      <c r="H106" s="24"/>
      <c r="I106" s="18"/>
      <c r="J106" s="18"/>
      <c r="K106" s="19"/>
      <c r="L106" s="23"/>
      <c r="M106" s="10"/>
      <c r="N106" s="5"/>
    </row>
    <row r="107" spans="1:14" ht="24" hidden="1" customHeight="1" x14ac:dyDescent="0.35">
      <c r="A107" s="38" t="s">
        <v>97</v>
      </c>
      <c r="B107" s="8"/>
      <c r="C107" s="8"/>
      <c r="D107" s="8"/>
      <c r="E107" s="8"/>
      <c r="F107" s="8"/>
      <c r="G107" s="10"/>
      <c r="H107" s="38" t="s">
        <v>87</v>
      </c>
      <c r="I107" s="8"/>
      <c r="J107" s="8"/>
      <c r="K107" s="10"/>
      <c r="L107" s="38" t="s">
        <v>70</v>
      </c>
      <c r="M107" s="10"/>
      <c r="N107" s="30"/>
    </row>
    <row r="108" spans="1:14" ht="15.5" hidden="1" x14ac:dyDescent="0.35">
      <c r="A108" s="39" t="s">
        <v>71</v>
      </c>
      <c r="B108" s="23"/>
      <c r="C108" s="8"/>
      <c r="D108" s="8"/>
      <c r="E108" s="8"/>
      <c r="F108" s="8"/>
      <c r="G108" s="10"/>
      <c r="H108" s="40"/>
      <c r="I108" s="14"/>
      <c r="J108" s="14"/>
      <c r="K108" s="15"/>
      <c r="L108" s="23"/>
      <c r="M108" s="10"/>
      <c r="N108" s="5"/>
    </row>
    <row r="109" spans="1:14" ht="15.5" hidden="1" x14ac:dyDescent="0.35">
      <c r="A109" s="39" t="s">
        <v>72</v>
      </c>
      <c r="B109" s="23"/>
      <c r="C109" s="8"/>
      <c r="D109" s="8"/>
      <c r="E109" s="8"/>
      <c r="F109" s="8"/>
      <c r="G109" s="10"/>
      <c r="H109" s="25"/>
      <c r="I109" s="2"/>
      <c r="J109" s="2"/>
      <c r="K109" s="26"/>
      <c r="L109" s="23"/>
      <c r="M109" s="10"/>
      <c r="N109" s="5"/>
    </row>
    <row r="110" spans="1:14" ht="15.5" hidden="1" x14ac:dyDescent="0.35">
      <c r="A110" s="39" t="s">
        <v>73</v>
      </c>
      <c r="B110" s="23"/>
      <c r="C110" s="8"/>
      <c r="D110" s="8"/>
      <c r="E110" s="8"/>
      <c r="F110" s="8"/>
      <c r="G110" s="10"/>
      <c r="H110" s="25"/>
      <c r="I110" s="2"/>
      <c r="J110" s="2"/>
      <c r="K110" s="26"/>
      <c r="L110" s="23"/>
      <c r="M110" s="10"/>
      <c r="N110" s="5"/>
    </row>
    <row r="111" spans="1:14" ht="15.5" hidden="1" x14ac:dyDescent="0.35">
      <c r="A111" s="39" t="s">
        <v>74</v>
      </c>
      <c r="B111" s="23"/>
      <c r="C111" s="8"/>
      <c r="D111" s="8"/>
      <c r="E111" s="8"/>
      <c r="F111" s="8"/>
      <c r="G111" s="10"/>
      <c r="H111" s="25"/>
      <c r="I111" s="2"/>
      <c r="J111" s="2"/>
      <c r="K111" s="26"/>
      <c r="L111" s="23"/>
      <c r="M111" s="10"/>
      <c r="N111" s="5"/>
    </row>
    <row r="112" spans="1:14" ht="15.5" hidden="1" x14ac:dyDescent="0.35">
      <c r="A112" s="39" t="s">
        <v>75</v>
      </c>
      <c r="B112" s="23"/>
      <c r="C112" s="8"/>
      <c r="D112" s="8"/>
      <c r="E112" s="8"/>
      <c r="F112" s="8"/>
      <c r="G112" s="10"/>
      <c r="H112" s="25"/>
      <c r="I112" s="2"/>
      <c r="J112" s="2"/>
      <c r="K112" s="26"/>
      <c r="L112" s="23"/>
      <c r="M112" s="10"/>
      <c r="N112" s="5"/>
    </row>
    <row r="113" spans="1:14" ht="15.5" hidden="1" x14ac:dyDescent="0.35">
      <c r="A113" s="39" t="s">
        <v>76</v>
      </c>
      <c r="B113" s="23"/>
      <c r="C113" s="8"/>
      <c r="D113" s="8"/>
      <c r="E113" s="8"/>
      <c r="F113" s="8"/>
      <c r="G113" s="10"/>
      <c r="H113" s="25"/>
      <c r="I113" s="2"/>
      <c r="J113" s="2"/>
      <c r="K113" s="26"/>
      <c r="L113" s="23"/>
      <c r="M113" s="10"/>
      <c r="N113" s="5"/>
    </row>
    <row r="114" spans="1:14" ht="15.5" hidden="1" x14ac:dyDescent="0.35">
      <c r="A114" s="39" t="s">
        <v>77</v>
      </c>
      <c r="B114" s="23"/>
      <c r="C114" s="8"/>
      <c r="D114" s="8"/>
      <c r="E114" s="8"/>
      <c r="F114" s="8"/>
      <c r="G114" s="10"/>
      <c r="H114" s="25"/>
      <c r="I114" s="2"/>
      <c r="J114" s="2"/>
      <c r="K114" s="26"/>
      <c r="L114" s="23"/>
      <c r="M114" s="10"/>
      <c r="N114" s="5"/>
    </row>
    <row r="115" spans="1:14" ht="15.5" hidden="1" x14ac:dyDescent="0.35">
      <c r="A115" s="39" t="s">
        <v>78</v>
      </c>
      <c r="B115" s="23"/>
      <c r="C115" s="8"/>
      <c r="D115" s="8"/>
      <c r="E115" s="8"/>
      <c r="F115" s="8"/>
      <c r="G115" s="10"/>
      <c r="H115" s="25"/>
      <c r="I115" s="2"/>
      <c r="J115" s="2"/>
      <c r="K115" s="26"/>
      <c r="L115" s="23"/>
      <c r="M115" s="10"/>
      <c r="N115" s="5"/>
    </row>
    <row r="116" spans="1:14" ht="15.5" hidden="1" x14ac:dyDescent="0.35">
      <c r="A116" s="39" t="s">
        <v>79</v>
      </c>
      <c r="B116" s="23"/>
      <c r="C116" s="8"/>
      <c r="D116" s="8"/>
      <c r="E116" s="8"/>
      <c r="F116" s="8"/>
      <c r="G116" s="10"/>
      <c r="H116" s="25"/>
      <c r="I116" s="2"/>
      <c r="J116" s="2"/>
      <c r="K116" s="26"/>
      <c r="L116" s="23"/>
      <c r="M116" s="10"/>
      <c r="N116" s="5"/>
    </row>
    <row r="117" spans="1:14" ht="15.5" hidden="1" x14ac:dyDescent="0.35">
      <c r="A117" s="39" t="s">
        <v>80</v>
      </c>
      <c r="B117" s="23"/>
      <c r="C117" s="8"/>
      <c r="D117" s="8"/>
      <c r="E117" s="8"/>
      <c r="F117" s="8"/>
      <c r="G117" s="10"/>
      <c r="H117" s="25"/>
      <c r="I117" s="2"/>
      <c r="J117" s="2"/>
      <c r="K117" s="26"/>
      <c r="L117" s="23"/>
      <c r="M117" s="10"/>
      <c r="N117" s="5"/>
    </row>
    <row r="118" spans="1:14" ht="15.5" hidden="1" x14ac:dyDescent="0.35">
      <c r="A118" s="39" t="s">
        <v>81</v>
      </c>
      <c r="B118" s="23"/>
      <c r="C118" s="8"/>
      <c r="D118" s="8"/>
      <c r="E118" s="8"/>
      <c r="F118" s="8"/>
      <c r="G118" s="10"/>
      <c r="H118" s="25"/>
      <c r="I118" s="2"/>
      <c r="J118" s="2"/>
      <c r="K118" s="26"/>
      <c r="L118" s="23"/>
      <c r="M118" s="10"/>
      <c r="N118" s="5"/>
    </row>
    <row r="119" spans="1:14" ht="15.5" hidden="1" x14ac:dyDescent="0.35">
      <c r="A119" s="39" t="s">
        <v>82</v>
      </c>
      <c r="B119" s="23"/>
      <c r="C119" s="8"/>
      <c r="D119" s="8"/>
      <c r="E119" s="8"/>
      <c r="F119" s="8"/>
      <c r="G119" s="10"/>
      <c r="H119" s="25"/>
      <c r="I119" s="2"/>
      <c r="J119" s="2"/>
      <c r="K119" s="26"/>
      <c r="L119" s="23"/>
      <c r="M119" s="10"/>
      <c r="N119" s="5"/>
    </row>
    <row r="120" spans="1:14" ht="15.5" hidden="1" x14ac:dyDescent="0.35">
      <c r="A120" s="39" t="s">
        <v>83</v>
      </c>
      <c r="B120" s="23"/>
      <c r="C120" s="8"/>
      <c r="D120" s="8"/>
      <c r="E120" s="8"/>
      <c r="F120" s="8"/>
      <c r="G120" s="10"/>
      <c r="H120" s="25"/>
      <c r="I120" s="2"/>
      <c r="J120" s="2"/>
      <c r="K120" s="26"/>
      <c r="L120" s="23"/>
      <c r="M120" s="10"/>
      <c r="N120" s="5"/>
    </row>
    <row r="121" spans="1:14" ht="15.5" hidden="1" x14ac:dyDescent="0.35">
      <c r="A121" s="39" t="s">
        <v>84</v>
      </c>
      <c r="B121" s="23"/>
      <c r="C121" s="8"/>
      <c r="D121" s="8"/>
      <c r="E121" s="8"/>
      <c r="F121" s="8"/>
      <c r="G121" s="10"/>
      <c r="H121" s="24"/>
      <c r="I121" s="18"/>
      <c r="J121" s="18"/>
      <c r="K121" s="19"/>
      <c r="L121" s="23"/>
      <c r="M121" s="10"/>
      <c r="N121" s="5"/>
    </row>
    <row r="122" spans="1:14" ht="15.5" x14ac:dyDescent="0.35">
      <c r="A122" s="23" t="s">
        <v>98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5"/>
    </row>
    <row r="123" spans="1:14" ht="15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.5" x14ac:dyDescent="0.35">
      <c r="A124" s="6" t="s">
        <v>99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0"/>
    </row>
    <row r="125" spans="1:14" ht="46.5" x14ac:dyDescent="0.35">
      <c r="A125" s="42" t="s">
        <v>100</v>
      </c>
      <c r="B125" s="43" t="s">
        <v>101</v>
      </c>
      <c r="C125" s="8"/>
      <c r="D125" s="8"/>
      <c r="E125" s="8"/>
      <c r="F125" s="8"/>
      <c r="G125" s="10"/>
      <c r="H125" s="43" t="s">
        <v>102</v>
      </c>
      <c r="I125" s="8"/>
      <c r="J125" s="8"/>
      <c r="K125" s="10"/>
      <c r="L125" s="44" t="s">
        <v>103</v>
      </c>
      <c r="M125" s="10"/>
      <c r="N125" s="5"/>
    </row>
    <row r="126" spans="1:14" ht="15.5" x14ac:dyDescent="0.35">
      <c r="A126" s="45" t="s">
        <v>104</v>
      </c>
      <c r="B126" s="46" t="s">
        <v>105</v>
      </c>
      <c r="C126" s="14"/>
      <c r="D126" s="14"/>
      <c r="E126" s="14"/>
      <c r="F126" s="14"/>
      <c r="G126" s="15"/>
      <c r="H126" s="47" t="s">
        <v>106</v>
      </c>
      <c r="I126" s="14"/>
      <c r="J126" s="14"/>
      <c r="K126" s="48" t="s">
        <v>107</v>
      </c>
      <c r="L126" s="49">
        <f>1-SUM(L129:M131)</f>
        <v>0.5</v>
      </c>
      <c r="M126" s="15"/>
      <c r="N126" s="5"/>
    </row>
    <row r="127" spans="1:14" ht="15.5" x14ac:dyDescent="0.35">
      <c r="A127" s="50"/>
      <c r="B127" s="25"/>
      <c r="C127" s="2"/>
      <c r="D127" s="2"/>
      <c r="E127" s="2"/>
      <c r="F127" s="2"/>
      <c r="G127" s="26"/>
      <c r="H127" s="25"/>
      <c r="I127" s="2"/>
      <c r="J127" s="2"/>
      <c r="K127" s="50"/>
      <c r="L127" s="25"/>
      <c r="M127" s="26"/>
      <c r="N127" s="5"/>
    </row>
    <row r="128" spans="1:14" ht="15.5" x14ac:dyDescent="0.35">
      <c r="A128" s="35"/>
      <c r="B128" s="24"/>
      <c r="C128" s="18"/>
      <c r="D128" s="18"/>
      <c r="E128" s="18"/>
      <c r="F128" s="18"/>
      <c r="G128" s="19"/>
      <c r="H128" s="24"/>
      <c r="I128" s="18"/>
      <c r="J128" s="18"/>
      <c r="K128" s="35"/>
      <c r="L128" s="24"/>
      <c r="M128" s="19"/>
      <c r="N128" s="5"/>
    </row>
    <row r="129" spans="1:14" ht="31" x14ac:dyDescent="0.35">
      <c r="A129" s="42" t="s">
        <v>108</v>
      </c>
      <c r="B129" s="51" t="s">
        <v>109</v>
      </c>
      <c r="C129" s="8"/>
      <c r="D129" s="8"/>
      <c r="E129" s="8"/>
      <c r="F129" s="8"/>
      <c r="G129" s="10"/>
      <c r="H129" s="51" t="s">
        <v>110</v>
      </c>
      <c r="I129" s="8"/>
      <c r="J129" s="8"/>
      <c r="K129" s="10"/>
      <c r="L129" s="52">
        <v>0.5</v>
      </c>
      <c r="M129" s="10"/>
      <c r="N129" s="5"/>
    </row>
    <row r="130" spans="1:14" ht="46.5" hidden="1" x14ac:dyDescent="0.35">
      <c r="A130" s="42" t="s">
        <v>111</v>
      </c>
      <c r="B130" s="53" t="s">
        <v>112</v>
      </c>
      <c r="C130" s="8"/>
      <c r="D130" s="8"/>
      <c r="E130" s="8"/>
      <c r="F130" s="8"/>
      <c r="G130" s="10"/>
      <c r="H130" s="51" t="s">
        <v>113</v>
      </c>
      <c r="I130" s="8"/>
      <c r="J130" s="8"/>
      <c r="K130" s="10"/>
      <c r="L130" s="52"/>
      <c r="M130" s="10"/>
      <c r="N130" s="5"/>
    </row>
    <row r="131" spans="1:14" ht="31" hidden="1" x14ac:dyDescent="0.35">
      <c r="A131" s="42" t="s">
        <v>114</v>
      </c>
      <c r="B131" s="53" t="s">
        <v>115</v>
      </c>
      <c r="C131" s="8"/>
      <c r="D131" s="8"/>
      <c r="E131" s="8"/>
      <c r="F131" s="8"/>
      <c r="G131" s="10"/>
      <c r="H131" s="51" t="s">
        <v>116</v>
      </c>
      <c r="I131" s="8"/>
      <c r="J131" s="8"/>
      <c r="K131" s="10"/>
      <c r="L131" s="52"/>
      <c r="M131" s="10"/>
      <c r="N131" s="5"/>
    </row>
    <row r="132" spans="1:14" ht="15.5" x14ac:dyDescent="0.35">
      <c r="A132" s="43" t="s">
        <v>117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0"/>
      <c r="N132" s="5"/>
    </row>
    <row r="133" spans="1:14" ht="15.5" x14ac:dyDescent="0.35">
      <c r="A133" s="54" t="s">
        <v>118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0"/>
      <c r="N133" s="5"/>
    </row>
    <row r="134" spans="1:14" ht="15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.5" x14ac:dyDescent="0.35">
      <c r="A135" s="55" t="s">
        <v>119</v>
      </c>
      <c r="B135" s="10"/>
      <c r="C135" s="56">
        <v>45912</v>
      </c>
      <c r="D135" s="8"/>
      <c r="E135" s="8"/>
      <c r="F135" s="8"/>
      <c r="G135" s="8"/>
      <c r="H135" s="8"/>
      <c r="I135" s="8"/>
      <c r="J135" s="8"/>
      <c r="K135" s="8"/>
      <c r="L135" s="8"/>
      <c r="M135" s="10"/>
      <c r="N135" s="5"/>
    </row>
    <row r="136" spans="1:14" ht="8.25" customHeight="1" x14ac:dyDescent="0.35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"/>
    </row>
    <row r="137" spans="1:14" ht="35.25" hidden="1" customHeight="1" x14ac:dyDescent="0.35">
      <c r="A137" s="55" t="s">
        <v>120</v>
      </c>
      <c r="B137" s="10"/>
      <c r="C137" s="9">
        <f>E15</f>
        <v>0</v>
      </c>
      <c r="D137" s="8"/>
      <c r="E137" s="8"/>
      <c r="F137" s="8"/>
      <c r="G137" s="10"/>
      <c r="H137" s="9">
        <f>E16</f>
        <v>0</v>
      </c>
      <c r="I137" s="8"/>
      <c r="J137" s="8"/>
      <c r="K137" s="8"/>
      <c r="L137" s="8"/>
      <c r="M137" s="10"/>
      <c r="N137" s="5"/>
    </row>
    <row r="138" spans="1:14" ht="11.25" customHeight="1" x14ac:dyDescent="0.35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</row>
    <row r="139" spans="1:14" ht="32.25" customHeight="1" x14ac:dyDescent="0.35">
      <c r="A139" s="57" t="s">
        <v>121</v>
      </c>
      <c r="B139" s="15"/>
      <c r="C139" s="9" t="str">
        <f t="shared" ref="C139:C141" si="0">E17</f>
        <v>Conf.univ.dr. Panainte Daniela Lucia</v>
      </c>
      <c r="D139" s="8"/>
      <c r="E139" s="8"/>
      <c r="F139" s="8"/>
      <c r="G139" s="10"/>
      <c r="H139" s="9">
        <f t="shared" ref="H139:H141" si="1">E20</f>
        <v>0</v>
      </c>
      <c r="I139" s="8"/>
      <c r="J139" s="8"/>
      <c r="K139" s="8"/>
      <c r="L139" s="8"/>
      <c r="M139" s="10"/>
      <c r="N139" s="5"/>
    </row>
    <row r="140" spans="1:14" ht="32.25" hidden="1" customHeight="1" x14ac:dyDescent="0.35">
      <c r="A140" s="25"/>
      <c r="B140" s="26"/>
      <c r="C140" s="9">
        <f t="shared" si="0"/>
        <v>0</v>
      </c>
      <c r="D140" s="8"/>
      <c r="E140" s="8"/>
      <c r="F140" s="8"/>
      <c r="G140" s="10"/>
      <c r="H140" s="9">
        <f t="shared" si="1"/>
        <v>0</v>
      </c>
      <c r="I140" s="8"/>
      <c r="J140" s="8"/>
      <c r="K140" s="8"/>
      <c r="L140" s="8"/>
      <c r="M140" s="10"/>
      <c r="N140" s="5"/>
    </row>
    <row r="141" spans="1:14" ht="32.25" hidden="1" customHeight="1" x14ac:dyDescent="0.35">
      <c r="A141" s="24"/>
      <c r="B141" s="19"/>
      <c r="C141" s="9">
        <f t="shared" si="0"/>
        <v>0</v>
      </c>
      <c r="D141" s="8"/>
      <c r="E141" s="8"/>
      <c r="F141" s="8"/>
      <c r="G141" s="10"/>
      <c r="H141" s="9">
        <f t="shared" si="1"/>
        <v>0</v>
      </c>
      <c r="I141" s="8"/>
      <c r="J141" s="8"/>
      <c r="K141" s="8"/>
      <c r="L141" s="8"/>
      <c r="M141" s="10"/>
      <c r="N141" s="5"/>
    </row>
    <row r="142" spans="1:14" ht="15.5" x14ac:dyDescent="0.35">
      <c r="A142" s="5"/>
      <c r="B142" s="5"/>
      <c r="C142" s="12"/>
      <c r="D142" s="2"/>
      <c r="E142" s="2"/>
      <c r="F142" s="2"/>
      <c r="G142" s="5"/>
      <c r="H142" s="12"/>
      <c r="I142" s="2"/>
      <c r="J142" s="2"/>
      <c r="K142" s="2"/>
      <c r="L142" s="2"/>
      <c r="M142" s="2"/>
      <c r="N142" s="5"/>
    </row>
    <row r="143" spans="1:14" ht="35.25" customHeight="1" x14ac:dyDescent="0.35">
      <c r="A143" s="55" t="s">
        <v>122</v>
      </c>
      <c r="B143" s="10"/>
      <c r="C143" s="58">
        <f>[1]Date!C29</f>
        <v>45915</v>
      </c>
      <c r="D143" s="10"/>
      <c r="E143" s="55" t="s">
        <v>123</v>
      </c>
      <c r="F143" s="8"/>
      <c r="G143" s="10"/>
      <c r="H143" s="59" t="str">
        <f>[1]Date!C31</f>
        <v>Conf.dr.ing. Mihai POSTOLACHE</v>
      </c>
      <c r="I143" s="8"/>
      <c r="J143" s="8"/>
      <c r="K143" s="8"/>
      <c r="L143" s="8"/>
      <c r="M143" s="10"/>
      <c r="N143" s="5"/>
    </row>
    <row r="144" spans="1:14" ht="21.75" customHeight="1" x14ac:dyDescent="0.35">
      <c r="A144" s="60"/>
      <c r="B144" s="60"/>
      <c r="C144" s="61"/>
      <c r="D144" s="61"/>
      <c r="E144" s="60"/>
      <c r="F144" s="60"/>
      <c r="G144" s="60"/>
      <c r="H144" s="61"/>
      <c r="I144" s="61"/>
      <c r="J144" s="61"/>
      <c r="K144" s="61"/>
      <c r="L144" s="61"/>
      <c r="M144" s="61"/>
      <c r="N144" s="5"/>
    </row>
    <row r="145" spans="1:14" ht="28.5" customHeight="1" x14ac:dyDescent="0.35">
      <c r="A145" s="55" t="s">
        <v>124</v>
      </c>
      <c r="B145" s="10"/>
      <c r="C145" s="58">
        <f>[1]Date!C30</f>
        <v>45918</v>
      </c>
      <c r="D145" s="10"/>
      <c r="E145" s="55" t="s">
        <v>125</v>
      </c>
      <c r="F145" s="8"/>
      <c r="G145" s="10"/>
      <c r="H145" s="59" t="str">
        <f>[1]Date!C32</f>
        <v>Prof.univ.dr.ing. Adrian BURLACU</v>
      </c>
      <c r="I145" s="8"/>
      <c r="J145" s="8"/>
      <c r="K145" s="8"/>
      <c r="L145" s="8"/>
      <c r="M145" s="10"/>
      <c r="N145" s="5"/>
    </row>
  </sheetData>
  <mergeCells count="254"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A143:B143"/>
    <mergeCell ref="C143:D143"/>
    <mergeCell ref="E143:G143"/>
    <mergeCell ref="H143:M143"/>
    <mergeCell ref="A136:M136"/>
    <mergeCell ref="A137:B137"/>
    <mergeCell ref="C137:G137"/>
    <mergeCell ref="H137:M137"/>
    <mergeCell ref="A138:M138"/>
    <mergeCell ref="A139:B141"/>
    <mergeCell ref="C139:G139"/>
    <mergeCell ref="H139:M139"/>
    <mergeCell ref="C140:G140"/>
    <mergeCell ref="H140:M140"/>
    <mergeCell ref="B131:G131"/>
    <mergeCell ref="H131:K131"/>
    <mergeCell ref="L131:M131"/>
    <mergeCell ref="A132:M132"/>
    <mergeCell ref="A133:M133"/>
    <mergeCell ref="A135:B135"/>
    <mergeCell ref="C135:M135"/>
    <mergeCell ref="B129:G129"/>
    <mergeCell ref="H129:K129"/>
    <mergeCell ref="L129:M129"/>
    <mergeCell ref="B130:G130"/>
    <mergeCell ref="H130:K130"/>
    <mergeCell ref="L130:M130"/>
    <mergeCell ref="B125:G125"/>
    <mergeCell ref="H125:K125"/>
    <mergeCell ref="L125:M125"/>
    <mergeCell ref="A126:A128"/>
    <mergeCell ref="B126:G128"/>
    <mergeCell ref="H126:J128"/>
    <mergeCell ref="K126:K128"/>
    <mergeCell ref="L126:M128"/>
    <mergeCell ref="B120:G120"/>
    <mergeCell ref="L120:M120"/>
    <mergeCell ref="B121:G121"/>
    <mergeCell ref="L121:M121"/>
    <mergeCell ref="A122:M122"/>
    <mergeCell ref="A124:M124"/>
    <mergeCell ref="B117:G117"/>
    <mergeCell ref="L117:M117"/>
    <mergeCell ref="B118:G118"/>
    <mergeCell ref="L118:M118"/>
    <mergeCell ref="B119:G119"/>
    <mergeCell ref="L119:M119"/>
    <mergeCell ref="B114:G114"/>
    <mergeCell ref="L114:M114"/>
    <mergeCell ref="B115:G115"/>
    <mergeCell ref="L115:M115"/>
    <mergeCell ref="B116:G116"/>
    <mergeCell ref="L116:M116"/>
    <mergeCell ref="B111:G111"/>
    <mergeCell ref="L111:M111"/>
    <mergeCell ref="B112:G112"/>
    <mergeCell ref="L112:M112"/>
    <mergeCell ref="B113:G113"/>
    <mergeCell ref="L113:M113"/>
    <mergeCell ref="A107:G107"/>
    <mergeCell ref="H107:K107"/>
    <mergeCell ref="L107:M107"/>
    <mergeCell ref="B108:G108"/>
    <mergeCell ref="H108:K121"/>
    <mergeCell ref="L108:M108"/>
    <mergeCell ref="B109:G109"/>
    <mergeCell ref="L109:M109"/>
    <mergeCell ref="B110:G110"/>
    <mergeCell ref="L110:M110"/>
    <mergeCell ref="B104:G104"/>
    <mergeCell ref="L104:M104"/>
    <mergeCell ref="B105:G105"/>
    <mergeCell ref="L105:M105"/>
    <mergeCell ref="B106:G106"/>
    <mergeCell ref="L106:M106"/>
    <mergeCell ref="B101:G101"/>
    <mergeCell ref="L101:M101"/>
    <mergeCell ref="B102:G102"/>
    <mergeCell ref="L102:M102"/>
    <mergeCell ref="B103:G103"/>
    <mergeCell ref="L103:M103"/>
    <mergeCell ref="L97:M97"/>
    <mergeCell ref="B98:G98"/>
    <mergeCell ref="L98:M98"/>
    <mergeCell ref="B99:G99"/>
    <mergeCell ref="L99:M99"/>
    <mergeCell ref="B100:G100"/>
    <mergeCell ref="L100:M100"/>
    <mergeCell ref="B93:G93"/>
    <mergeCell ref="H93:K106"/>
    <mergeCell ref="L93:M93"/>
    <mergeCell ref="B94:G94"/>
    <mergeCell ref="L94:M94"/>
    <mergeCell ref="B95:G95"/>
    <mergeCell ref="L95:M95"/>
    <mergeCell ref="B96:G96"/>
    <mergeCell ref="L96:M96"/>
    <mergeCell ref="B97:G97"/>
    <mergeCell ref="B90:G90"/>
    <mergeCell ref="L90:M90"/>
    <mergeCell ref="B91:G91"/>
    <mergeCell ref="L91:M91"/>
    <mergeCell ref="A92:G92"/>
    <mergeCell ref="H92:K92"/>
    <mergeCell ref="L92:M92"/>
    <mergeCell ref="B87:G87"/>
    <mergeCell ref="L87:M87"/>
    <mergeCell ref="B88:G88"/>
    <mergeCell ref="L88:M88"/>
    <mergeCell ref="B89:G89"/>
    <mergeCell ref="L89:M89"/>
    <mergeCell ref="B84:G84"/>
    <mergeCell ref="L84:M84"/>
    <mergeCell ref="B85:G85"/>
    <mergeCell ref="L85:M85"/>
    <mergeCell ref="B86:G86"/>
    <mergeCell ref="L86:M86"/>
    <mergeCell ref="L80:M80"/>
    <mergeCell ref="B81:G81"/>
    <mergeCell ref="L81:M81"/>
    <mergeCell ref="B82:G82"/>
    <mergeCell ref="L82:M82"/>
    <mergeCell ref="B83:G83"/>
    <mergeCell ref="L83:M83"/>
    <mergeCell ref="A76:M76"/>
    <mergeCell ref="A77:G77"/>
    <mergeCell ref="H77:K77"/>
    <mergeCell ref="L77:M77"/>
    <mergeCell ref="B78:G78"/>
    <mergeCell ref="H78:K91"/>
    <mergeCell ref="L78:M78"/>
    <mergeCell ref="B79:G79"/>
    <mergeCell ref="L79:M79"/>
    <mergeCell ref="B80:G80"/>
    <mergeCell ref="B73:G73"/>
    <mergeCell ref="L73:M73"/>
    <mergeCell ref="B74:G74"/>
    <mergeCell ref="L74:M74"/>
    <mergeCell ref="B75:G75"/>
    <mergeCell ref="L75:M75"/>
    <mergeCell ref="B70:G70"/>
    <mergeCell ref="L70:M70"/>
    <mergeCell ref="B71:G71"/>
    <mergeCell ref="L71:M71"/>
    <mergeCell ref="B72:G72"/>
    <mergeCell ref="L72:M72"/>
    <mergeCell ref="L66:M66"/>
    <mergeCell ref="B67:G67"/>
    <mergeCell ref="L67:M67"/>
    <mergeCell ref="B68:G68"/>
    <mergeCell ref="L68:M68"/>
    <mergeCell ref="B69:G69"/>
    <mergeCell ref="L69:M69"/>
    <mergeCell ref="B62:G62"/>
    <mergeCell ref="H62:K75"/>
    <mergeCell ref="L62:M62"/>
    <mergeCell ref="B63:G63"/>
    <mergeCell ref="L63:M63"/>
    <mergeCell ref="B64:G64"/>
    <mergeCell ref="L64:M64"/>
    <mergeCell ref="B65:G65"/>
    <mergeCell ref="L65:M65"/>
    <mergeCell ref="B66:G66"/>
    <mergeCell ref="A57:M57"/>
    <mergeCell ref="A58:M58"/>
    <mergeCell ref="A60:M60"/>
    <mergeCell ref="A61:G61"/>
    <mergeCell ref="H61:K61"/>
    <mergeCell ref="L61:M61"/>
    <mergeCell ref="A52:A53"/>
    <mergeCell ref="B52:M52"/>
    <mergeCell ref="B53:M53"/>
    <mergeCell ref="A54:A55"/>
    <mergeCell ref="B54:M54"/>
    <mergeCell ref="B55:M55"/>
    <mergeCell ref="A47:M47"/>
    <mergeCell ref="A48:M48"/>
    <mergeCell ref="A49:M49"/>
    <mergeCell ref="A50:A51"/>
    <mergeCell ref="B50:M50"/>
    <mergeCell ref="B51:M51"/>
    <mergeCell ref="A43:B43"/>
    <mergeCell ref="C43:M43"/>
    <mergeCell ref="A44:B44"/>
    <mergeCell ref="C44:M44"/>
    <mergeCell ref="A45:M45"/>
    <mergeCell ref="A46:M46"/>
    <mergeCell ref="A39:B39"/>
    <mergeCell ref="C39:M39"/>
    <mergeCell ref="A40:B40"/>
    <mergeCell ref="C40:M40"/>
    <mergeCell ref="A41:M41"/>
    <mergeCell ref="A42:M42"/>
    <mergeCell ref="A33:L33"/>
    <mergeCell ref="A34:B34"/>
    <mergeCell ref="A35:B35"/>
    <mergeCell ref="A36:B36"/>
    <mergeCell ref="A37:M37"/>
    <mergeCell ref="A38:M38"/>
    <mergeCell ref="A27:B27"/>
    <mergeCell ref="A28:L28"/>
    <mergeCell ref="A29:L29"/>
    <mergeCell ref="A30:L30"/>
    <mergeCell ref="A31:L31"/>
    <mergeCell ref="A32:L32"/>
    <mergeCell ref="A23:B23"/>
    <mergeCell ref="F23:H23"/>
    <mergeCell ref="J23:L23"/>
    <mergeCell ref="A24:M24"/>
    <mergeCell ref="A25:M25"/>
    <mergeCell ref="A26:B26"/>
    <mergeCell ref="L26:M26"/>
    <mergeCell ref="A17:D22"/>
    <mergeCell ref="E17:M17"/>
    <mergeCell ref="E18:M18"/>
    <mergeCell ref="E19:M19"/>
    <mergeCell ref="E20:M20"/>
    <mergeCell ref="E21:M21"/>
    <mergeCell ref="E22:M22"/>
    <mergeCell ref="A13:D13"/>
    <mergeCell ref="E13:M13"/>
    <mergeCell ref="A14:D14"/>
    <mergeCell ref="E14:H14"/>
    <mergeCell ref="I14:L14"/>
    <mergeCell ref="A15:D16"/>
    <mergeCell ref="E15:M15"/>
    <mergeCell ref="E16:M16"/>
    <mergeCell ref="A9:B9"/>
    <mergeCell ref="C9:M9"/>
    <mergeCell ref="A10:M10"/>
    <mergeCell ref="A11:M11"/>
    <mergeCell ref="A12:D12"/>
    <mergeCell ref="E12:M12"/>
    <mergeCell ref="A6:B6"/>
    <mergeCell ref="C6:M6"/>
    <mergeCell ref="A7:B7"/>
    <mergeCell ref="C7:M7"/>
    <mergeCell ref="A8:B8"/>
    <mergeCell ref="C8:M8"/>
    <mergeCell ref="A1:M1"/>
    <mergeCell ref="A2:M2"/>
    <mergeCell ref="A3:M3"/>
    <mergeCell ref="A4:B4"/>
    <mergeCell ref="C4:M4"/>
    <mergeCell ref="A5:B5"/>
    <mergeCell ref="C5:M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2026-03-01T09:12:02Z</dcterms:created>
  <dcterms:modified xsi:type="dcterms:W3CDTF">2026-03-01T09:12:05Z</dcterms:modified>
</cp:coreProperties>
</file>