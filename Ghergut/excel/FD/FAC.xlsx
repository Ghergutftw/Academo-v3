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2A35E0C9-BE07-465B-AB8B-1DEE90E90E3B}" xr6:coauthVersionLast="47" xr6:coauthVersionMax="47" xr10:uidLastSave="{00000000-0000-0000-0000-000000000000}"/>
  <bookViews>
    <workbookView xWindow="-110" yWindow="-110" windowWidth="25820" windowHeight="15500" xr2:uid="{D9D39F40-DC15-42AC-99AF-A5B949AE4209}"/>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G26" i="1" a="1"/>
  <c r="G26" i="1" s="1"/>
  <c r="G27" i="1" s="1"/>
  <c r="C23" i="1"/>
  <c r="C9" i="1"/>
  <c r="C8" i="1"/>
  <c r="C7" i="1"/>
  <c r="A2" i="1"/>
  <c r="C36" i="1" l="1" a="1"/>
  <c r="C36" i="1" s="1"/>
  <c r="E14" i="1" a="1"/>
  <c r="E14" i="1" s="1"/>
  <c r="M14" i="1" a="1"/>
  <c r="M14" i="1" s="1"/>
  <c r="K26" i="1" a="1"/>
  <c r="K26" i="1" s="1"/>
  <c r="K27" i="1" s="1"/>
  <c r="E23" i="1" a="1"/>
  <c r="E23" i="1" s="1"/>
  <c r="I23" i="1" a="1"/>
  <c r="I23" i="1" s="1"/>
  <c r="M23" i="1" a="1"/>
  <c r="M23" i="1" s="1"/>
  <c r="M32" i="1" a="1"/>
  <c r="M32" i="1" s="1"/>
  <c r="I26" i="1" a="1"/>
  <c r="I26" i="1" s="1"/>
  <c r="I27" i="1" s="1"/>
  <c r="E13" i="1" a="1"/>
  <c r="E13"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6F535C4E-DAB7-48B3-BF0F-8EE1C1E8B3B2}">
      <text>
        <r>
          <rPr>
            <sz val="10"/>
            <color rgb="FF000000"/>
            <rFont val="Aptos Narrow"/>
            <scheme val="minor"/>
          </rPr>
          <t>Pondere din nota de la E / V</t>
        </r>
      </text>
    </comment>
    <comment ref="K127" authorId="0" shapeId="0" xr:uid="{5AB6FCD2-0DD1-45FA-9149-9CD6CA96A53D}">
      <text>
        <r>
          <rPr>
            <sz val="10"/>
            <color rgb="FF000000"/>
            <rFont val="Aptos Narrow"/>
            <scheme val="minor"/>
          </rPr>
          <t>Pondere din nota de la E / V</t>
        </r>
      </text>
    </comment>
    <comment ref="K128" authorId="0" shapeId="0" xr:uid="{7136365B-C2B2-43F2-AF7A-0EFA2D079188}">
      <text>
        <r>
          <rPr>
            <sz val="10"/>
            <color rgb="FF000000"/>
            <rFont val="Aptos Narrow"/>
            <scheme val="minor"/>
          </rPr>
          <t>Pondere din nota de la E / V</t>
        </r>
      </text>
    </comment>
  </commentList>
</comments>
</file>

<file path=xl/sharedStrings.xml><?xml version="1.0" encoding="utf-8"?>
<sst xmlns="http://schemas.openxmlformats.org/spreadsheetml/2006/main" count="183" uniqueCount="147">
  <si>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</si>
  <si>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</si>
  <si>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</si>
  <si>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</si>
  <si>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</si>
  <si>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</si>
  <si>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</si>
  <si>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</si>
  <si>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</si>
  <si>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</si>
  <si>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</si>
  <si>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</si>
  <si>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</si>
  <si>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Fabricație asistată de calculator</t>
  </si>
  <si>
    <t>(în limba engleză, conform Suplimentului la diplomă)</t>
  </si>
  <si>
    <t>2.1.2. Codul disciplinei</t>
  </si>
  <si>
    <t xml:space="preserve">2.1.3. Categoria formativă </t>
  </si>
  <si>
    <t>2.2 Titularul / titularii activităţilor de curs</t>
  </si>
  <si>
    <t>conf.dr.ing. Mastacan Lucian</t>
  </si>
  <si>
    <t>2.3 Titularul / titularii activităţilor de aplicaţii (S, L, P, Pr)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</si>
  <si>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</si>
  <si>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</si>
  <si>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</si>
  <si>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</si>
  <si>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</si>
  <si>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</si>
  <si>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</si>
  <si>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</si>
  <si>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</si>
  <si>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</si>
  <si>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</si>
  <si>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</si>
  <si>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</si>
  <si>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</si>
  <si>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</si>
  <si>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</si>
  <si>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</si>
  <si>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</si>
  <si>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</si>
  <si>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</si>
  <si>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</si>
  <si>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</si>
  <si>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</si>
  <si>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</si>
  <si>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</si>
  <si>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</si>
  <si>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</si>
  <si>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</si>
  <si>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</si>
  <si>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</si>
  <si>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</si>
  <si>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</si>
  <si>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</si>
  <si>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Sală dotată cu tablă și videoproiector</t>
  </si>
  <si>
    <t>5.2 de desfăşurare a seminarului / laboratorului / proiectului</t>
  </si>
  <si>
    <t>Reţea de calculatoare, software Matlab/Simulink, sistem flexibil de fabricaţie cu maşină unealtă de tip freză, cu comandă numerică EMCO PC MILL 55, roboţi industriali de tip IRB 1400 şi 2400, pachet software CAD CATIA V5, pachet WinCAM şi program CAM comandă numerică WinNC</t>
  </si>
  <si>
    <t>6. Obiectivul general al disciplinei</t>
  </si>
  <si>
    <t>Studiul arhitecturii sistemelor de fabricație flexibilă, în conceptul CIM (Computer Integrated Manufacturing), a componentelor sistemului și a modului de procesare a informației în sistem.</t>
  </si>
  <si>
    <t>7. Rezultatele învățării</t>
  </si>
  <si>
    <t>Cunoștințe</t>
  </si>
  <si>
    <t>Studentul / Absolventul:</t>
  </si>
  <si>
    <t xml:space="preserve">- identifică elementele componente de bază ale unui sistem de fabricație în concept CIM
- descrie modul de organizare al unui sistem de fabricație pe baza arhitecturii acestuia și explică circuitul informației între părțile componente ale acestuia
- explică arhitectura unui sistem de proiectare asistată de calculator (CAD)
- explică rolul modelelor și al comunicării intr-un sistem de proiectare asistată de calculator
- descrie un sistem de fabricație asistată de calculator (CAM) pe baza componentelor acestuia și a informației procesate pentru  programarea mașinilor unelte cu comandă numerică
- compară sistemele de fabricație flexibilă (FMS) pe baza analizei liniilor de fabricație.
</t>
  </si>
  <si>
    <t>Aptitudini</t>
  </si>
  <si>
    <t xml:space="preserve">- analizează și clasifică structuri de sisteme de fabricație
- aplică metode de simulare a sistemelor de fabricație asistată de calculator (CAM) utilizând limbajul de programare Matlab/Simulink în toolboxul SimEvents
- analizează sisteme de fabricație pentru organizarea experimentelor de simulare în Matlab/Simulink, toolboxul SimEvents
- compară sistemele de proiectare asistată de calculator (CAD) și rezolvă problema realizării schițelor în software-ul CATIA V5
- programează comenzi numerice în software-ul WinCAM pentru comanda mașinilor unelte cu comandă numerică
- selectează metode de proiectare și de reprezentare 2D și 3D a corpurilor solide  și a suprafețelor în software-ul CATIA V5
- rezolvă problema modelării prelucrării pieselor în software-ul CATIA V5
- experimentează funcționarea maşinii unelte EMCO PC MILL 55 utilizând software-ul WinNC
- testează metode de realizare a pieselor pe mașina unealtă EMCO PC MILL 55 prin sistemul CAD/CAM 
</t>
  </si>
  <si>
    <t>Responsabilitate și autonomie</t>
  </si>
  <si>
    <t xml:space="preserve">- se alătură unei echipe pentru a propune și selecta idei privind rezolvarea aplicațiilor
- raportează rezultatele experimentelor realizate prin referate scrise
- manifestă interes pentru cunoașterea modului de implementare prin tehnologii hardware și software a sistemelor de fabricație flexibilă în concept CIM
</t>
  </si>
  <si>
    <t xml:space="preserve">8. Metode de predare </t>
  </si>
  <si>
    <t>Prezentarea cursului prin slide-uri expuse cu videoproiector
Discuții cu studenții pentru verificarea modului în care noțiunile prezentate au fost receptate</t>
  </si>
  <si>
    <t>9. Conţinuturi</t>
  </si>
  <si>
    <t>9.1. Curs</t>
  </si>
  <si>
    <t>Metode de predare</t>
  </si>
  <si>
    <t>Timp alocat</t>
  </si>
  <si>
    <t>Cap 1</t>
  </si>
  <si>
    <t>1. Introducere în domeniul sistemelor de fabricație și prezentarea generală a conceptului CIM 
1.1 Clasificarea sistemelor de fabricație
1.2 Operații de fabricație
1.3 Circuitul informației și organizarea sistemelor de fabricație
1.4 Modele matematice şi indicatori de producție
1.5 Strategii de automatizare
1.6 Arhitectura sistemelor CIM şi sisteme informatice în CIM (Sisteme cu baze de date şi sisteme de asistare în luarea deciziilor)</t>
  </si>
  <si>
    <t>Expunerea dialogată, problematizarea, demonstrația, studiul de caz.</t>
  </si>
  <si>
    <t>Cap 2</t>
  </si>
  <si>
    <t>2. Sistemul de proiectare asistată de calculator (CAD) 
2.1 Arhitectura sistemelor CAD, structura datelor și organizarea informației
2.2 Clasificarea și organizarea modelelor
2.3 Rolul modelelor și al comunicării în CAD
2.4 Procesul de proiectare
2.5 Proiectarea 2D
2.6 Reprezentarea analitică a curbelor şi suprafeţelor prin metode parametrice (metoda lui Lagrange, Hermite, Bezier)
2.7 Reprezentarea 3D a corpurilor solide
2.8 Limbaje neutre de schimb de informații în sistemele CAD/CAM
2.9 Ingineria asistată de calculator (CAE), metode CAE de analiză și evaluare.</t>
  </si>
  <si>
    <t>Cap 3</t>
  </si>
  <si>
    <t>3. Sistemul de fabricație asistată de calculator (CAM) 
3.1 Prezentarea componentelor și procesarea informației în sistem
3.2 Sistemul de planificare și control (MPC)
3.3 Algoritmi de prognoză şi elaborarea planului de producție
3.4 Sistemul de planificare a necesarului de materiale (MRP)
3.5 Sistemul CAD/CAM, programarea mașinilor unelte cu comandă numerică (MUCN)
3.6 Sistemul de planificare asistată de calculator a proceselor (CAPP) şi sistemul de planificare a capacităților de producție
3.7 Algoritmi de echilibrare a liniilor de fabricație.</t>
  </si>
  <si>
    <t>Cap 4</t>
  </si>
  <si>
    <t>4. Sistemul de fabricație flexibilă (FMS) 
4.1 Analiza liniilor de fabricație fără elemente de stocare
4.2 Analiza unei linii de fabricație cu două secțiuni și un element de stocare
4.3 Algoritmi de programare a sarcinilor
4.4 Arhitectura sistemelor FMS
4.5 Modelarea sistemelor de fabricație prin rețele Petri</t>
  </si>
  <si>
    <t xml:space="preserve">Bibliografie curs:
1. D. L. Goetsch, Modern Manufacturing Processes, Delmar Publishers,1991
2. D. H. Nelson, G. Schneider, Applied Manufacturing Process Planning, Prentice Hall, 2001
3. J. A. Rehg, W. Kraebber,Computer-Integrated Manufacturing, Prentice Hall, 2001.
</t>
  </si>
  <si>
    <t>9.2a Seminar</t>
  </si>
  <si>
    <t>Metode de lucru</t>
  </si>
  <si>
    <t>1</t>
  </si>
  <si>
    <t>2</t>
  </si>
  <si>
    <t>3</t>
  </si>
  <si>
    <t>4</t>
  </si>
  <si>
    <t>5</t>
  </si>
  <si>
    <t>6</t>
  </si>
  <si>
    <t>7</t>
  </si>
  <si>
    <t>8</t>
  </si>
  <si>
    <t>9</t>
  </si>
  <si>
    <t>10</t>
  </si>
  <si>
    <t>11</t>
  </si>
  <si>
    <t>12</t>
  </si>
  <si>
    <t>13</t>
  </si>
  <si>
    <t>14</t>
  </si>
  <si>
    <t>9.2b Laborator</t>
  </si>
  <si>
    <t>Noțiuni teoretice în simularea sistemelor; noțiunea de sistem şi model de
Simulare. Aplicaţii în limbajul MATLAB.</t>
  </si>
  <si>
    <t xml:space="preserve">Lucrul pe calculator, experimente şi demonstraţii practice
 </t>
  </si>
  <si>
    <t>Modelarea sistemelor de fabricaţie folosind toolbox-ul SimEvents, din Matlab/Simulink. Elaborarea şi simularea modelului.</t>
  </si>
  <si>
    <t>Gestionarea tranzacţiilor şi modelarea serverilor individuali şi multiplii folosind SimEvents.</t>
  </si>
  <si>
    <t>Instrucţiuni de transfer, testare şi asamblare a tranzacţiilor. Studiu de caz: Simularea unui sistem FMS.</t>
  </si>
  <si>
    <t>Sincronizarea tranzacţiilor in model. Studiu de caz: Simularea unui sistem PERT</t>
  </si>
  <si>
    <t>Distribuţii de probabilitate, generatoare de numere aleatoare şi organizarea experimentelor de simulare</t>
  </si>
  <si>
    <t>Sisteme CAD. Realizarea schitelor în CATIA V5</t>
  </si>
  <si>
    <t>Modelarea 3D a corpului solid şi a suprafeţelor în CATIA V5</t>
  </si>
  <si>
    <t>Realizarea ansamblurilor şi simularea cinematică în CATIA V5</t>
  </si>
  <si>
    <t>Modelarea prelucrării pieselor în CATIA V5</t>
  </si>
  <si>
    <t>Utilizarea pachetului software WinCAM</t>
  </si>
  <si>
    <t>Limbajul de programare al comenzilor numerice. Aplicaţii WinCAM</t>
  </si>
  <si>
    <t>Utilizarea maşinii unelte EMCO PC MILL 55 şi a pachetului software WinNC</t>
  </si>
  <si>
    <t>Realizarea pieselor pe maşina unealtă folosind sistemul integrat CAD/CAM</t>
  </si>
  <si>
    <t>9.2c Proiect</t>
  </si>
  <si>
    <t xml:space="preserve">Bibliografie aplicaţii (seminar / laborator / proiect):
1. Şt. Dumbravă, D. A. Pănescu, Simularea sistemelor de fabricație în limbajul GPSS, editura Politehnium, Iași, 2009
2. D. L. Goetsch, Modern Manufacturing Processes, Delmar Publishers, 1991
3. D. H. Nelson, G. Schneider, Applied Manufacturing Process Planning, Prentice Hall, 2001
4. J. A. Rehg, W. Kraebber, Computer-Integrated Manufacturing, Prentice Hall, 2001
</t>
  </si>
  <si>
    <t>10. Evaluare</t>
  </si>
  <si>
    <t>Tip activitate</t>
  </si>
  <si>
    <t>10.1 Criterii de evaluare</t>
  </si>
  <si>
    <t>10.2 Metode de evaluare</t>
  </si>
  <si>
    <t>10.3 Pondere din nota finală [%]</t>
  </si>
  <si>
    <t>10.4 Examen / Colocviu</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</si>
  <si>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prelucra datele și de a rezolva problemele enunțate.</t>
  </si>
  <si>
    <t>- observarea sistematică a studenţilor (teme individuale/ de echipă - temele trebuie efectuate în săptămâna dintre cursuri, pregătirea unui referat - studiu de caz).</t>
  </si>
  <si>
    <t>10%</t>
  </si>
  <si>
    <t>- test de evaluare formativ (verificări pe parcursul semestrului).</t>
  </si>
  <si>
    <t>20%</t>
  </si>
  <si>
    <t>- test de evaluare sumativ (verificare finală).</t>
  </si>
  <si>
    <t>70%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</si>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</sst>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1">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979F-8D35-483F-849D-1B563A5FB546}">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Computer Aided Manufacturing</v>
      </c>
      <c r="F13" s="18"/>
      <c r="G13" s="18"/>
      <c r="H13" s="18"/>
      <c r="I13" s="18"/>
      <c r="J13" s="18"/>
      <c r="K13" s="18"/>
      <c r="L13" s="18"/>
      <c r="M13" s="19"/>
      <c r="N13" s="5"/>
    </row>
    <row r="14" spans="1:14" ht="15.5" x14ac:dyDescent="0.35">
      <c r="A14" s="7" t="s">
        <v>15</v>
      </c>
      <c r="B14" s="8"/>
      <c r="C14" s="8"/>
      <c r="D14" s="10"/>
      <c r="E14" s="21" t="str">
        <f t="array" aca="1" ref="E14" ca="1">INDEX([1]Date!E8:E32, MATCH(E12,[1]Date!C8:C32,0),0)</f>
        <v>A410</v>
      </c>
      <c r="F14" s="18"/>
      <c r="G14" s="18"/>
      <c r="H14" s="18"/>
      <c r="I14" s="7" t="s">
        <v>16</v>
      </c>
      <c r="J14" s="8"/>
      <c r="K14" s="8"/>
      <c r="L14" s="10"/>
      <c r="M14" s="22" t="str">
        <f t="array" aca="1" ref="M14" ca="1">INDEX([1]Date!G8:G32, MATCH(E12,[1]Date!C8:C32,0),0)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4</v>
      </c>
      <c r="D23" s="28" t="s">
        <v>21</v>
      </c>
      <c r="E23" s="27">
        <f t="array" aca="1" ref="E23" ca="1">INDEX([1]Date!A8:A32, MATCH(E12,[1]Date!C8:C32,0),0)</f>
        <v>1</v>
      </c>
      <c r="F23" s="29" t="s">
        <v>22</v>
      </c>
      <c r="G23" s="8"/>
      <c r="H23" s="10"/>
      <c r="I23" s="22" t="str">
        <f t="array" aca="1" ref="I23" ca="1">INDEX([1]Date!M8:M32, MATCH(E12,[1]Date!C8:C32,0),0)</f>
        <v>C</v>
      </c>
      <c r="J23" s="29" t="s">
        <v>23</v>
      </c>
      <c r="K23" s="8"/>
      <c r="L23" s="10"/>
      <c r="M23" s="27" t="str">
        <f t="array" aca="1" ref="M23" ca="1">INDEX([1]Date!F8:F32, MATCH(E12,[1]Date!C8:C32,0),0)</f>
        <v>DO</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4</v>
      </c>
      <c r="D26" s="28" t="s">
        <v>26</v>
      </c>
      <c r="E26" s="27">
        <f t="array" aca="1" ref="E26" ca="1">INDEX([1]Date!H8:H32, MATCH(E12,[1]Date!C8:C32,0),0)</f>
        <v>2</v>
      </c>
      <c r="F26" s="28" t="s">
        <v>27</v>
      </c>
      <c r="G26" s="27">
        <f t="array" aca="1" ref="G26" ca="1">INDEX([1]Date!I8:I32, MATCH(E12,[1]Date!C8:C32,0),0)</f>
        <v>0</v>
      </c>
      <c r="H26" s="28" t="s">
        <v>28</v>
      </c>
      <c r="I26" s="31">
        <f t="array" aca="1" ref="I26" ca="1">INDEX([1]Date!J8:J32, MATCH(E12,[1]Date!C8:C32,0),0)</f>
        <v>2</v>
      </c>
      <c r="J26" s="28" t="s">
        <v>29</v>
      </c>
      <c r="K26" s="27">
        <f t="array" aca="1" ref="K26" ca="1">INDEX([1]Date!K8:K32, MATCH(E12,[1]Date!C8:C32,0),0)</f>
        <v>0</v>
      </c>
      <c r="L26" s="7" t="s">
        <v>30</v>
      </c>
      <c r="M26" s="10"/>
      <c r="N26" s="30"/>
    </row>
    <row r="27" spans="1:14" ht="31" x14ac:dyDescent="0.35">
      <c r="A27" s="7" t="s">
        <v>31</v>
      </c>
      <c r="B27" s="10"/>
      <c r="C27" s="27">
        <f ca="1">C26*14</f>
        <v>56</v>
      </c>
      <c r="D27" s="28" t="s">
        <v>32</v>
      </c>
      <c r="E27" s="27">
        <f ca="1">E26*14</f>
        <v>28</v>
      </c>
      <c r="F27" s="28" t="s">
        <v>33</v>
      </c>
      <c r="G27" s="27">
        <f ca="1">G26*14</f>
        <v>0</v>
      </c>
      <c r="H27" s="28" t="s">
        <v>34</v>
      </c>
      <c r="I27" s="27">
        <f ca="1">I26*14</f>
        <v>28</v>
      </c>
      <c r="J27" s="28" t="s">
        <v>35</v>
      </c>
      <c r="K27" s="27">
        <f ca="1">K26*14</f>
        <v>0</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v>12</v>
      </c>
      <c r="N29" s="5"/>
    </row>
    <row r="30" spans="1:14" ht="15.5" x14ac:dyDescent="0.35">
      <c r="A30" s="7" t="s">
        <v>40</v>
      </c>
      <c r="B30" s="8"/>
      <c r="C30" s="8"/>
      <c r="D30" s="8"/>
      <c r="E30" s="8"/>
      <c r="F30" s="8"/>
      <c r="G30" s="8"/>
      <c r="H30" s="8"/>
      <c r="I30" s="8"/>
      <c r="J30" s="8"/>
      <c r="K30" s="8"/>
      <c r="L30" s="10"/>
      <c r="M30" s="32">
        <v>12</v>
      </c>
      <c r="N30" s="5"/>
    </row>
    <row r="31" spans="1:14" ht="15.5" x14ac:dyDescent="0.35">
      <c r="A31" s="7" t="s">
        <v>41</v>
      </c>
      <c r="B31" s="8"/>
      <c r="C31" s="8"/>
      <c r="D31" s="8"/>
      <c r="E31" s="8"/>
      <c r="F31" s="8"/>
      <c r="G31" s="8"/>
      <c r="H31" s="8"/>
      <c r="I31" s="8"/>
      <c r="J31" s="8"/>
      <c r="K31" s="8"/>
      <c r="L31" s="10"/>
      <c r="M31" s="32">
        <v>20</v>
      </c>
      <c r="N31" s="5"/>
    </row>
    <row r="32" spans="1:14" ht="15.5" x14ac:dyDescent="0.35">
      <c r="A32" s="7" t="s">
        <v>42</v>
      </c>
      <c r="B32" s="8"/>
      <c r="C32" s="8"/>
      <c r="D32" s="8"/>
      <c r="E32" s="8"/>
      <c r="F32" s="8"/>
      <c r="G32" s="8"/>
      <c r="H32" s="8"/>
      <c r="I32" s="8"/>
      <c r="J32" s="8"/>
      <c r="K32" s="8"/>
      <c r="L32" s="10"/>
      <c r="M32" s="27">
        <f t="array" aca="1" ref="M32" ca="1">IF(INDEX([1]Date!M8:M32, MATCH(E12,[1]Date!C8:C32,0),0)="E",3,0)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INDEX([1]Date!L8:L32, MATCH(E12,[1]Date!C8:C32,0),0)</f>
        <v>44</v>
      </c>
      <c r="D34" s="5"/>
      <c r="E34" s="5"/>
      <c r="F34" s="5"/>
      <c r="G34" s="5"/>
      <c r="H34" s="5"/>
      <c r="I34" s="5"/>
      <c r="J34" s="5"/>
      <c r="K34" s="5"/>
      <c r="L34" s="5"/>
      <c r="M34" s="5"/>
      <c r="N34" s="5"/>
    </row>
    <row r="35" spans="1:14" ht="15.5" x14ac:dyDescent="0.35">
      <c r="A35" s="7" t="s">
        <v>45</v>
      </c>
      <c r="B35" s="10"/>
      <c r="C35" s="27">
        <f ca="1">C27+C34</f>
        <v>100</v>
      </c>
      <c r="D35" s="5"/>
      <c r="E35" s="5"/>
      <c r="F35" s="5"/>
      <c r="G35" s="5"/>
      <c r="H35" s="5"/>
      <c r="I35" s="5"/>
      <c r="J35" s="5"/>
      <c r="K35" s="5"/>
      <c r="L35" s="5"/>
      <c r="M35" s="5"/>
      <c r="N35" s="5"/>
    </row>
    <row r="36" spans="1:14" ht="15.5" x14ac:dyDescent="0.35">
      <c r="A36" s="7" t="s">
        <v>46</v>
      </c>
      <c r="B36" s="10"/>
      <c r="C36" s="27">
        <f t="array" aca="1" ref="C36" ca="1">INDEX([1]Date!N8:N32, MATCH(E12,[1]Date!C8:C32,0),0)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51</v>
      </c>
      <c r="B42" s="2"/>
      <c r="C42" s="2"/>
      <c r="D42" s="2"/>
      <c r="E42" s="2"/>
      <c r="F42" s="2"/>
      <c r="G42" s="2"/>
      <c r="H42" s="2"/>
      <c r="I42" s="2"/>
      <c r="J42" s="2"/>
      <c r="K42" s="2"/>
      <c r="L42" s="2"/>
      <c r="M42" s="2"/>
      <c r="N42" s="30"/>
    </row>
    <row r="43" spans="1:14" ht="15.5" x14ac:dyDescent="0.35">
      <c r="A43" s="7" t="s">
        <v>52</v>
      </c>
      <c r="B43" s="10"/>
      <c r="C43" s="23" t="s">
        <v>53</v>
      </c>
      <c r="D43" s="8"/>
      <c r="E43" s="8"/>
      <c r="F43" s="8"/>
      <c r="G43" s="8"/>
      <c r="H43" s="8"/>
      <c r="I43" s="8"/>
      <c r="J43" s="8"/>
      <c r="K43" s="8"/>
      <c r="L43" s="8"/>
      <c r="M43" s="10"/>
      <c r="N43" s="30"/>
    </row>
    <row r="44" spans="1:14" ht="15.5" x14ac:dyDescent="0.35">
      <c r="A44" s="7" t="s">
        <v>54</v>
      </c>
      <c r="B44" s="10"/>
      <c r="C44" s="23" t="s">
        <v>55</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56</v>
      </c>
      <c r="B46" s="2"/>
      <c r="C46" s="2"/>
      <c r="D46" s="2"/>
      <c r="E46" s="2"/>
      <c r="F46" s="2"/>
      <c r="G46" s="2"/>
      <c r="H46" s="2"/>
      <c r="I46" s="2"/>
      <c r="J46" s="2"/>
      <c r="K46" s="2"/>
      <c r="L46" s="2"/>
      <c r="M46" s="2"/>
      <c r="N46" s="30"/>
    </row>
    <row r="47" spans="1:14" ht="62.25" customHeight="1" x14ac:dyDescent="0.35">
      <c r="A47" s="23" t="s">
        <v>57</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58</v>
      </c>
      <c r="B49" s="2"/>
      <c r="C49" s="2"/>
      <c r="D49" s="2"/>
      <c r="E49" s="2"/>
      <c r="F49" s="2"/>
      <c r="G49" s="2"/>
      <c r="H49" s="2"/>
      <c r="I49" s="2"/>
      <c r="J49" s="2"/>
      <c r="K49" s="2"/>
      <c r="L49" s="2"/>
      <c r="M49" s="2"/>
      <c r="N49" s="30"/>
    </row>
    <row r="50" spans="1:14" ht="15.5" x14ac:dyDescent="0.35">
      <c r="A50" s="33" t="s">
        <v>59</v>
      </c>
      <c r="B50" s="34" t="s">
        <v>60</v>
      </c>
      <c r="C50" s="8"/>
      <c r="D50" s="8"/>
      <c r="E50" s="8"/>
      <c r="F50" s="8"/>
      <c r="G50" s="8"/>
      <c r="H50" s="8"/>
      <c r="I50" s="8"/>
      <c r="J50" s="8"/>
      <c r="K50" s="8"/>
      <c r="L50" s="8"/>
      <c r="M50" s="10"/>
      <c r="N50" s="5"/>
    </row>
    <row r="51" spans="1:14" ht="15.5" x14ac:dyDescent="0.35">
      <c r="A51" s="35"/>
      <c r="B51" s="36" t="s">
        <v>61</v>
      </c>
      <c r="C51" s="8"/>
      <c r="D51" s="8"/>
      <c r="E51" s="8"/>
      <c r="F51" s="8"/>
      <c r="G51" s="8"/>
      <c r="H51" s="8"/>
      <c r="I51" s="8"/>
      <c r="J51" s="8"/>
      <c r="K51" s="8"/>
      <c r="L51" s="8"/>
      <c r="M51" s="10"/>
      <c r="N51" s="5"/>
    </row>
    <row r="52" spans="1:14" ht="15.5" x14ac:dyDescent="0.35">
      <c r="A52" s="33" t="s">
        <v>62</v>
      </c>
      <c r="B52" s="34" t="s">
        <v>60</v>
      </c>
      <c r="C52" s="8"/>
      <c r="D52" s="8"/>
      <c r="E52" s="8"/>
      <c r="F52" s="8"/>
      <c r="G52" s="8"/>
      <c r="H52" s="8"/>
      <c r="I52" s="8"/>
      <c r="J52" s="8"/>
      <c r="K52" s="8"/>
      <c r="L52" s="8"/>
      <c r="M52" s="10"/>
      <c r="N52" s="5"/>
    </row>
    <row r="53" spans="1:14" ht="15.5" x14ac:dyDescent="0.35">
      <c r="A53" s="35"/>
      <c r="B53" s="36" t="s">
        <v>63</v>
      </c>
      <c r="C53" s="8"/>
      <c r="D53" s="8"/>
      <c r="E53" s="8"/>
      <c r="F53" s="8"/>
      <c r="G53" s="8"/>
      <c r="H53" s="8"/>
      <c r="I53" s="8"/>
      <c r="J53" s="8"/>
      <c r="K53" s="8"/>
      <c r="L53" s="8"/>
      <c r="M53" s="10"/>
      <c r="N53" s="5"/>
    </row>
    <row r="54" spans="1:14" ht="18" customHeight="1" x14ac:dyDescent="0.35">
      <c r="A54" s="33" t="s">
        <v>64</v>
      </c>
      <c r="B54" s="34" t="s">
        <v>60</v>
      </c>
      <c r="C54" s="8"/>
      <c r="D54" s="8"/>
      <c r="E54" s="8"/>
      <c r="F54" s="8"/>
      <c r="G54" s="8"/>
      <c r="H54" s="8"/>
      <c r="I54" s="8"/>
      <c r="J54" s="8"/>
      <c r="K54" s="8"/>
      <c r="L54" s="8"/>
      <c r="M54" s="10"/>
      <c r="N54" s="5"/>
    </row>
    <row r="55" spans="1:14" ht="104.25" customHeight="1" x14ac:dyDescent="0.35">
      <c r="A55" s="35"/>
      <c r="B55" s="37" t="s">
        <v>65</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66</v>
      </c>
      <c r="B57" s="2"/>
      <c r="C57" s="2"/>
      <c r="D57" s="2"/>
      <c r="E57" s="2"/>
      <c r="F57" s="2"/>
      <c r="G57" s="2"/>
      <c r="H57" s="2"/>
      <c r="I57" s="2"/>
      <c r="J57" s="2"/>
      <c r="K57" s="2"/>
      <c r="L57" s="2"/>
      <c r="M57" s="2"/>
      <c r="N57" s="30"/>
    </row>
    <row r="58" spans="1:14" ht="53.25" customHeight="1" x14ac:dyDescent="0.35">
      <c r="A58" s="23" t="s">
        <v>67</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68</v>
      </c>
      <c r="B60" s="2"/>
      <c r="C60" s="2"/>
      <c r="D60" s="2"/>
      <c r="E60" s="2"/>
      <c r="F60" s="2"/>
      <c r="G60" s="2"/>
      <c r="H60" s="2"/>
      <c r="I60" s="2"/>
      <c r="J60" s="2"/>
      <c r="K60" s="2"/>
      <c r="L60" s="2"/>
      <c r="M60" s="2"/>
      <c r="N60" s="30"/>
    </row>
    <row r="61" spans="1:14" ht="24.75" customHeight="1" x14ac:dyDescent="0.35">
      <c r="A61" s="38" t="s">
        <v>69</v>
      </c>
      <c r="B61" s="8"/>
      <c r="C61" s="8"/>
      <c r="D61" s="8"/>
      <c r="E61" s="8"/>
      <c r="F61" s="8"/>
      <c r="G61" s="10"/>
      <c r="H61" s="38" t="s">
        <v>70</v>
      </c>
      <c r="I61" s="8"/>
      <c r="J61" s="8"/>
      <c r="K61" s="10"/>
      <c r="L61" s="38" t="s">
        <v>71</v>
      </c>
      <c r="M61" s="10"/>
      <c r="N61" s="30"/>
    </row>
    <row r="62" spans="1:14" ht="15.5" x14ac:dyDescent="0.35">
      <c r="A62" s="39" t="s">
        <v>72</v>
      </c>
      <c r="B62" s="23" t="s">
        <v>73</v>
      </c>
      <c r="C62" s="8"/>
      <c r="D62" s="8"/>
      <c r="E62" s="8"/>
      <c r="F62" s="8"/>
      <c r="G62" s="10"/>
      <c r="H62" s="40" t="s">
        <v>74</v>
      </c>
      <c r="I62" s="14"/>
      <c r="J62" s="14"/>
      <c r="K62" s="15"/>
      <c r="L62" s="41">
        <v>6</v>
      </c>
      <c r="M62" s="10"/>
      <c r="N62" s="5"/>
    </row>
    <row r="63" spans="1:14" ht="15.5" x14ac:dyDescent="0.35">
      <c r="A63" s="39" t="s">
        <v>75</v>
      </c>
      <c r="B63" s="23" t="s">
        <v>76</v>
      </c>
      <c r="C63" s="8"/>
      <c r="D63" s="8"/>
      <c r="E63" s="8"/>
      <c r="F63" s="8"/>
      <c r="G63" s="10"/>
      <c r="H63" s="25"/>
      <c r="I63" s="2"/>
      <c r="J63" s="2"/>
      <c r="K63" s="26"/>
      <c r="L63" s="41">
        <v>8</v>
      </c>
      <c r="M63" s="10"/>
      <c r="N63" s="5"/>
    </row>
    <row r="64" spans="1:14" ht="15.5" x14ac:dyDescent="0.35">
      <c r="A64" s="39" t="s">
        <v>77</v>
      </c>
      <c r="B64" s="23" t="s">
        <v>78</v>
      </c>
      <c r="C64" s="8"/>
      <c r="D64" s="8"/>
      <c r="E64" s="8"/>
      <c r="F64" s="8"/>
      <c r="G64" s="10"/>
      <c r="H64" s="25"/>
      <c r="I64" s="2"/>
      <c r="J64" s="2"/>
      <c r="K64" s="26"/>
      <c r="L64" s="41">
        <v>8</v>
      </c>
      <c r="M64" s="10"/>
      <c r="N64" s="5"/>
    </row>
    <row r="65" spans="1:14" ht="15.5" x14ac:dyDescent="0.35">
      <c r="A65" s="39" t="s">
        <v>79</v>
      </c>
      <c r="B65" s="23" t="s">
        <v>80</v>
      </c>
      <c r="C65" s="8"/>
      <c r="D65" s="8"/>
      <c r="E65" s="8"/>
      <c r="F65" s="8"/>
      <c r="G65" s="10"/>
      <c r="H65" s="25"/>
      <c r="I65" s="2"/>
      <c r="J65" s="2"/>
      <c r="K65" s="26"/>
      <c r="L65" s="41">
        <v>6</v>
      </c>
      <c r="M65" s="10"/>
      <c r="N65" s="5"/>
    </row>
    <row r="66" spans="1:14" ht="15.5" x14ac:dyDescent="0.35">
      <c r="A66" s="39"/>
      <c r="B66" s="23"/>
      <c r="C66" s="8"/>
      <c r="D66" s="8"/>
      <c r="E66" s="8"/>
      <c r="F66" s="8"/>
      <c r="G66" s="10"/>
      <c r="H66" s="25"/>
      <c r="I66" s="2"/>
      <c r="J66" s="2"/>
      <c r="K66" s="26"/>
      <c r="L66" s="23"/>
      <c r="M66" s="10"/>
      <c r="N66" s="5"/>
    </row>
    <row r="67" spans="1:14" ht="15.5" hidden="1" x14ac:dyDescent="0.35">
      <c r="A67" s="39"/>
      <c r="B67" s="23"/>
      <c r="C67" s="8"/>
      <c r="D67" s="8"/>
      <c r="E67" s="8"/>
      <c r="F67" s="8"/>
      <c r="G67" s="10"/>
      <c r="H67" s="25"/>
      <c r="I67" s="2"/>
      <c r="J67" s="2"/>
      <c r="K67" s="26"/>
      <c r="L67" s="23"/>
      <c r="M67" s="10"/>
      <c r="N67" s="5"/>
    </row>
    <row r="68" spans="1:14" ht="15.5" hidden="1" x14ac:dyDescent="0.35">
      <c r="A68" s="39"/>
      <c r="B68" s="23"/>
      <c r="C68" s="8"/>
      <c r="D68" s="8"/>
      <c r="E68" s="8"/>
      <c r="F68" s="8"/>
      <c r="G68" s="10"/>
      <c r="H68" s="25"/>
      <c r="I68" s="2"/>
      <c r="J68" s="2"/>
      <c r="K68" s="26"/>
      <c r="L68" s="23"/>
      <c r="M68" s="10"/>
      <c r="N68" s="5"/>
    </row>
    <row r="69" spans="1:14" ht="15.5" hidden="1" x14ac:dyDescent="0.35">
      <c r="A69" s="39"/>
      <c r="B69" s="23"/>
      <c r="C69" s="8"/>
      <c r="D69" s="8"/>
      <c r="E69" s="8"/>
      <c r="F69" s="8"/>
      <c r="G69" s="10"/>
      <c r="H69" s="25"/>
      <c r="I69" s="2"/>
      <c r="J69" s="2"/>
      <c r="K69" s="26"/>
      <c r="L69" s="23"/>
      <c r="M69" s="10"/>
      <c r="N69" s="5"/>
    </row>
    <row r="70" spans="1:14" ht="15.5" hidden="1" x14ac:dyDescent="0.35">
      <c r="A70" s="39"/>
      <c r="B70" s="23"/>
      <c r="C70" s="8"/>
      <c r="D70" s="8"/>
      <c r="E70" s="8"/>
      <c r="F70" s="8"/>
      <c r="G70" s="10"/>
      <c r="H70" s="25"/>
      <c r="I70" s="2"/>
      <c r="J70" s="2"/>
      <c r="K70" s="26"/>
      <c r="L70" s="23"/>
      <c r="M70" s="10"/>
      <c r="N70" s="5"/>
    </row>
    <row r="71" spans="1:14" ht="15.5" hidden="1" x14ac:dyDescent="0.35">
      <c r="A71" s="39"/>
      <c r="B71" s="23"/>
      <c r="C71" s="8"/>
      <c r="D71" s="8"/>
      <c r="E71" s="8"/>
      <c r="F71" s="8"/>
      <c r="G71" s="10"/>
      <c r="H71" s="25"/>
      <c r="I71" s="2"/>
      <c r="J71" s="2"/>
      <c r="K71" s="26"/>
      <c r="L71" s="23"/>
      <c r="M71" s="10"/>
      <c r="N71" s="5"/>
    </row>
    <row r="72" spans="1:14" ht="15.5" hidden="1" x14ac:dyDescent="0.35">
      <c r="A72" s="39"/>
      <c r="B72" s="23"/>
      <c r="C72" s="8"/>
      <c r="D72" s="8"/>
      <c r="E72" s="8"/>
      <c r="F72" s="8"/>
      <c r="G72" s="10"/>
      <c r="H72" s="25"/>
      <c r="I72" s="2"/>
      <c r="J72" s="2"/>
      <c r="K72" s="26"/>
      <c r="L72" s="23"/>
      <c r="M72" s="10"/>
      <c r="N72" s="5"/>
    </row>
    <row r="73" spans="1:14" ht="15.5" hidden="1" x14ac:dyDescent="0.35">
      <c r="A73" s="39"/>
      <c r="B73" s="23"/>
      <c r="C73" s="8"/>
      <c r="D73" s="8"/>
      <c r="E73" s="8"/>
      <c r="F73" s="8"/>
      <c r="G73" s="10"/>
      <c r="H73" s="25"/>
      <c r="I73" s="2"/>
      <c r="J73" s="2"/>
      <c r="K73" s="26"/>
      <c r="L73" s="23"/>
      <c r="M73" s="10"/>
      <c r="N73" s="5"/>
    </row>
    <row r="74" spans="1:14" ht="15.5" hidden="1" x14ac:dyDescent="0.35">
      <c r="A74" s="39"/>
      <c r="B74" s="23"/>
      <c r="C74" s="8"/>
      <c r="D74" s="8"/>
      <c r="E74" s="8"/>
      <c r="F74" s="8"/>
      <c r="G74" s="10"/>
      <c r="H74" s="25"/>
      <c r="I74" s="2"/>
      <c r="J74" s="2"/>
      <c r="K74" s="26"/>
      <c r="L74" s="23"/>
      <c r="M74" s="10"/>
      <c r="N74" s="5"/>
    </row>
    <row r="75" spans="1:14" ht="15.5" hidden="1" x14ac:dyDescent="0.35">
      <c r="A75" s="39"/>
      <c r="B75" s="23"/>
      <c r="C75" s="8"/>
      <c r="D75" s="8"/>
      <c r="E75" s="8"/>
      <c r="F75" s="8"/>
      <c r="G75" s="10"/>
      <c r="H75" s="24"/>
      <c r="I75" s="18"/>
      <c r="J75" s="18"/>
      <c r="K75" s="19"/>
      <c r="L75" s="23"/>
      <c r="M75" s="10"/>
      <c r="N75" s="5"/>
    </row>
    <row r="76" spans="1:14" ht="84.75" customHeight="1" x14ac:dyDescent="0.35">
      <c r="A76" s="37" t="s">
        <v>81</v>
      </c>
      <c r="B76" s="8"/>
      <c r="C76" s="8"/>
      <c r="D76" s="8"/>
      <c r="E76" s="8"/>
      <c r="F76" s="8"/>
      <c r="G76" s="8"/>
      <c r="H76" s="8"/>
      <c r="I76" s="8"/>
      <c r="J76" s="8"/>
      <c r="K76" s="8"/>
      <c r="L76" s="8"/>
      <c r="M76" s="10"/>
      <c r="N76" s="5"/>
    </row>
    <row r="77" spans="1:14" ht="24.75" hidden="1" customHeight="1" x14ac:dyDescent="0.35">
      <c r="A77" s="38" t="s">
        <v>82</v>
      </c>
      <c r="B77" s="8"/>
      <c r="C77" s="8"/>
      <c r="D77" s="8"/>
      <c r="E77" s="8"/>
      <c r="F77" s="8"/>
      <c r="G77" s="10"/>
      <c r="H77" s="38" t="s">
        <v>83</v>
      </c>
      <c r="I77" s="8"/>
      <c r="J77" s="8"/>
      <c r="K77" s="10"/>
      <c r="L77" s="38" t="s">
        <v>71</v>
      </c>
      <c r="M77" s="10"/>
      <c r="N77" s="30"/>
    </row>
    <row r="78" spans="1:14" ht="15.5" hidden="1" x14ac:dyDescent="0.35">
      <c r="A78" s="39" t="s">
        <v>84</v>
      </c>
      <c r="B78" s="23"/>
      <c r="C78" s="8"/>
      <c r="D78" s="8"/>
      <c r="E78" s="8"/>
      <c r="F78" s="8"/>
      <c r="G78" s="10"/>
      <c r="H78" s="40"/>
      <c r="I78" s="14"/>
      <c r="J78" s="14"/>
      <c r="K78" s="15"/>
      <c r="L78" s="23"/>
      <c r="M78" s="10"/>
      <c r="N78" s="5"/>
    </row>
    <row r="79" spans="1:14" ht="15.5" hidden="1" x14ac:dyDescent="0.35">
      <c r="A79" s="39" t="s">
        <v>85</v>
      </c>
      <c r="B79" s="23"/>
      <c r="C79" s="8"/>
      <c r="D79" s="8"/>
      <c r="E79" s="8"/>
      <c r="F79" s="8"/>
      <c r="G79" s="10"/>
      <c r="H79" s="25"/>
      <c r="I79" s="2"/>
      <c r="J79" s="2"/>
      <c r="K79" s="26"/>
      <c r="L79" s="23"/>
      <c r="M79" s="10"/>
      <c r="N79" s="5"/>
    </row>
    <row r="80" spans="1:14" ht="15.5" hidden="1" x14ac:dyDescent="0.35">
      <c r="A80" s="39" t="s">
        <v>86</v>
      </c>
      <c r="B80" s="23"/>
      <c r="C80" s="8"/>
      <c r="D80" s="8"/>
      <c r="E80" s="8"/>
      <c r="F80" s="8"/>
      <c r="G80" s="10"/>
      <c r="H80" s="25"/>
      <c r="I80" s="2"/>
      <c r="J80" s="2"/>
      <c r="K80" s="26"/>
      <c r="L80" s="23"/>
      <c r="M80" s="10"/>
      <c r="N80" s="5"/>
    </row>
    <row r="81" spans="1:14" ht="15.5" hidden="1" x14ac:dyDescent="0.35">
      <c r="A81" s="39" t="s">
        <v>87</v>
      </c>
      <c r="B81" s="23"/>
      <c r="C81" s="8"/>
      <c r="D81" s="8"/>
      <c r="E81" s="8"/>
      <c r="F81" s="8"/>
      <c r="G81" s="10"/>
      <c r="H81" s="25"/>
      <c r="I81" s="2"/>
      <c r="J81" s="2"/>
      <c r="K81" s="26"/>
      <c r="L81" s="23"/>
      <c r="M81" s="10"/>
      <c r="N81" s="5"/>
    </row>
    <row r="82" spans="1:14" ht="15.5" hidden="1" x14ac:dyDescent="0.35">
      <c r="A82" s="39" t="s">
        <v>88</v>
      </c>
      <c r="B82" s="23"/>
      <c r="C82" s="8"/>
      <c r="D82" s="8"/>
      <c r="E82" s="8"/>
      <c r="F82" s="8"/>
      <c r="G82" s="10"/>
      <c r="H82" s="25"/>
      <c r="I82" s="2"/>
      <c r="J82" s="2"/>
      <c r="K82" s="26"/>
      <c r="L82" s="23"/>
      <c r="M82" s="10"/>
      <c r="N82" s="5"/>
    </row>
    <row r="83" spans="1:14" ht="15.5" hidden="1" x14ac:dyDescent="0.35">
      <c r="A83" s="39" t="s">
        <v>89</v>
      </c>
      <c r="B83" s="23"/>
      <c r="C83" s="8"/>
      <c r="D83" s="8"/>
      <c r="E83" s="8"/>
      <c r="F83" s="8"/>
      <c r="G83" s="10"/>
      <c r="H83" s="25"/>
      <c r="I83" s="2"/>
      <c r="J83" s="2"/>
      <c r="K83" s="26"/>
      <c r="L83" s="23"/>
      <c r="M83" s="10"/>
      <c r="N83" s="5"/>
    </row>
    <row r="84" spans="1:14" ht="15.5" hidden="1" x14ac:dyDescent="0.35">
      <c r="A84" s="39" t="s">
        <v>90</v>
      </c>
      <c r="B84" s="23"/>
      <c r="C84" s="8"/>
      <c r="D84" s="8"/>
      <c r="E84" s="8"/>
      <c r="F84" s="8"/>
      <c r="G84" s="10"/>
      <c r="H84" s="25"/>
      <c r="I84" s="2"/>
      <c r="J84" s="2"/>
      <c r="K84" s="26"/>
      <c r="L84" s="23"/>
      <c r="M84" s="10"/>
      <c r="N84" s="5"/>
    </row>
    <row r="85" spans="1:14" ht="15.5" hidden="1" x14ac:dyDescent="0.35">
      <c r="A85" s="39" t="s">
        <v>91</v>
      </c>
      <c r="B85" s="23"/>
      <c r="C85" s="8"/>
      <c r="D85" s="8"/>
      <c r="E85" s="8"/>
      <c r="F85" s="8"/>
      <c r="G85" s="10"/>
      <c r="H85" s="25"/>
      <c r="I85" s="2"/>
      <c r="J85" s="2"/>
      <c r="K85" s="26"/>
      <c r="L85" s="23"/>
      <c r="M85" s="10"/>
      <c r="N85" s="5"/>
    </row>
    <row r="86" spans="1:14" ht="15.5" hidden="1" x14ac:dyDescent="0.35">
      <c r="A86" s="39" t="s">
        <v>92</v>
      </c>
      <c r="B86" s="23"/>
      <c r="C86" s="8"/>
      <c r="D86" s="8"/>
      <c r="E86" s="8"/>
      <c r="F86" s="8"/>
      <c r="G86" s="10"/>
      <c r="H86" s="25"/>
      <c r="I86" s="2"/>
      <c r="J86" s="2"/>
      <c r="K86" s="26"/>
      <c r="L86" s="23"/>
      <c r="M86" s="10"/>
      <c r="N86" s="5"/>
    </row>
    <row r="87" spans="1:14" ht="15.5" hidden="1" x14ac:dyDescent="0.35">
      <c r="A87" s="39" t="s">
        <v>93</v>
      </c>
      <c r="B87" s="23"/>
      <c r="C87" s="8"/>
      <c r="D87" s="8"/>
      <c r="E87" s="8"/>
      <c r="F87" s="8"/>
      <c r="G87" s="10"/>
      <c r="H87" s="25"/>
      <c r="I87" s="2"/>
      <c r="J87" s="2"/>
      <c r="K87" s="26"/>
      <c r="L87" s="23"/>
      <c r="M87" s="10"/>
      <c r="N87" s="5"/>
    </row>
    <row r="88" spans="1:14" ht="15.5" hidden="1" x14ac:dyDescent="0.35">
      <c r="A88" s="39" t="s">
        <v>94</v>
      </c>
      <c r="B88" s="23"/>
      <c r="C88" s="8"/>
      <c r="D88" s="8"/>
      <c r="E88" s="8"/>
      <c r="F88" s="8"/>
      <c r="G88" s="10"/>
      <c r="H88" s="25"/>
      <c r="I88" s="2"/>
      <c r="J88" s="2"/>
      <c r="K88" s="26"/>
      <c r="L88" s="23"/>
      <c r="M88" s="10"/>
      <c r="N88" s="5"/>
    </row>
    <row r="89" spans="1:14" ht="15.5" hidden="1" x14ac:dyDescent="0.35">
      <c r="A89" s="39" t="s">
        <v>95</v>
      </c>
      <c r="B89" s="23"/>
      <c r="C89" s="8"/>
      <c r="D89" s="8"/>
      <c r="E89" s="8"/>
      <c r="F89" s="8"/>
      <c r="G89" s="10"/>
      <c r="H89" s="25"/>
      <c r="I89" s="2"/>
      <c r="J89" s="2"/>
      <c r="K89" s="26"/>
      <c r="L89" s="23"/>
      <c r="M89" s="10"/>
      <c r="N89" s="5"/>
    </row>
    <row r="90" spans="1:14" ht="15.5" hidden="1" x14ac:dyDescent="0.35">
      <c r="A90" s="39" t="s">
        <v>96</v>
      </c>
      <c r="B90" s="23"/>
      <c r="C90" s="8"/>
      <c r="D90" s="8"/>
      <c r="E90" s="8"/>
      <c r="F90" s="8"/>
      <c r="G90" s="10"/>
      <c r="H90" s="25"/>
      <c r="I90" s="2"/>
      <c r="J90" s="2"/>
      <c r="K90" s="26"/>
      <c r="L90" s="23"/>
      <c r="M90" s="10"/>
      <c r="N90" s="5"/>
    </row>
    <row r="91" spans="1:14" ht="15.5" hidden="1" x14ac:dyDescent="0.35">
      <c r="A91" s="39" t="s">
        <v>97</v>
      </c>
      <c r="B91" s="23"/>
      <c r="C91" s="8"/>
      <c r="D91" s="8"/>
      <c r="E91" s="8"/>
      <c r="F91" s="8"/>
      <c r="G91" s="10"/>
      <c r="H91" s="24"/>
      <c r="I91" s="18"/>
      <c r="J91" s="18"/>
      <c r="K91" s="19"/>
      <c r="L91" s="23"/>
      <c r="M91" s="10"/>
      <c r="N91" s="5"/>
    </row>
    <row r="92" spans="1:14" ht="24" customHeight="1" x14ac:dyDescent="0.35">
      <c r="A92" s="38" t="s">
        <v>98</v>
      </c>
      <c r="B92" s="8"/>
      <c r="C92" s="8"/>
      <c r="D92" s="8"/>
      <c r="E92" s="8"/>
      <c r="F92" s="8"/>
      <c r="G92" s="10"/>
      <c r="H92" s="38" t="s">
        <v>83</v>
      </c>
      <c r="I92" s="8"/>
      <c r="J92" s="8"/>
      <c r="K92" s="10"/>
      <c r="L92" s="38" t="s">
        <v>71</v>
      </c>
      <c r="M92" s="10"/>
      <c r="N92" s="30"/>
    </row>
    <row r="93" spans="1:14" ht="15.5" x14ac:dyDescent="0.35">
      <c r="A93" s="39" t="s">
        <v>84</v>
      </c>
      <c r="B93" s="23" t="s">
        <v>99</v>
      </c>
      <c r="C93" s="8"/>
      <c r="D93" s="8"/>
      <c r="E93" s="8"/>
      <c r="F93" s="8"/>
      <c r="G93" s="10"/>
      <c r="H93" s="40" t="s">
        <v>100</v>
      </c>
      <c r="I93" s="14"/>
      <c r="J93" s="14"/>
      <c r="K93" s="15"/>
      <c r="L93" s="41">
        <v>2</v>
      </c>
      <c r="M93" s="10"/>
      <c r="N93" s="5"/>
    </row>
    <row r="94" spans="1:14" ht="15.5" x14ac:dyDescent="0.35">
      <c r="A94" s="39" t="s">
        <v>85</v>
      </c>
      <c r="B94" s="23" t="s">
        <v>101</v>
      </c>
      <c r="C94" s="8"/>
      <c r="D94" s="8"/>
      <c r="E94" s="8"/>
      <c r="F94" s="8"/>
      <c r="G94" s="10"/>
      <c r="H94" s="25"/>
      <c r="I94" s="2"/>
      <c r="J94" s="2"/>
      <c r="K94" s="26"/>
      <c r="L94" s="41">
        <v>2</v>
      </c>
      <c r="M94" s="10"/>
      <c r="N94" s="5"/>
    </row>
    <row r="95" spans="1:14" ht="15.5" x14ac:dyDescent="0.35">
      <c r="A95" s="39" t="s">
        <v>86</v>
      </c>
      <c r="B95" s="23" t="s">
        <v>102</v>
      </c>
      <c r="C95" s="8"/>
      <c r="D95" s="8"/>
      <c r="E95" s="8"/>
      <c r="F95" s="8"/>
      <c r="G95" s="10"/>
      <c r="H95" s="25"/>
      <c r="I95" s="2"/>
      <c r="J95" s="2"/>
      <c r="K95" s="26"/>
      <c r="L95" s="41">
        <v>2</v>
      </c>
      <c r="M95" s="10"/>
      <c r="N95" s="5"/>
    </row>
    <row r="96" spans="1:14" ht="15.5" x14ac:dyDescent="0.35">
      <c r="A96" s="39" t="s">
        <v>87</v>
      </c>
      <c r="B96" s="23" t="s">
        <v>103</v>
      </c>
      <c r="C96" s="8"/>
      <c r="D96" s="8"/>
      <c r="E96" s="8"/>
      <c r="F96" s="8"/>
      <c r="G96" s="10"/>
      <c r="H96" s="25"/>
      <c r="I96" s="2"/>
      <c r="J96" s="2"/>
      <c r="K96" s="26"/>
      <c r="L96" s="41">
        <v>2</v>
      </c>
      <c r="M96" s="10"/>
      <c r="N96" s="5"/>
    </row>
    <row r="97" spans="1:14" ht="15.5" x14ac:dyDescent="0.35">
      <c r="A97" s="39" t="s">
        <v>88</v>
      </c>
      <c r="B97" s="23" t="s">
        <v>104</v>
      </c>
      <c r="C97" s="8"/>
      <c r="D97" s="8"/>
      <c r="E97" s="8"/>
      <c r="F97" s="8"/>
      <c r="G97" s="10"/>
      <c r="H97" s="25"/>
      <c r="I97" s="2"/>
      <c r="J97" s="2"/>
      <c r="K97" s="26"/>
      <c r="L97" s="41">
        <v>2</v>
      </c>
      <c r="M97" s="10"/>
      <c r="N97" s="5"/>
    </row>
    <row r="98" spans="1:14" ht="15.5" x14ac:dyDescent="0.35">
      <c r="A98" s="39" t="s">
        <v>89</v>
      </c>
      <c r="B98" s="23" t="s">
        <v>105</v>
      </c>
      <c r="C98" s="8"/>
      <c r="D98" s="8"/>
      <c r="E98" s="8"/>
      <c r="F98" s="8"/>
      <c r="G98" s="10"/>
      <c r="H98" s="25"/>
      <c r="I98" s="2"/>
      <c r="J98" s="2"/>
      <c r="K98" s="26"/>
      <c r="L98" s="41">
        <v>2</v>
      </c>
      <c r="M98" s="10"/>
      <c r="N98" s="5"/>
    </row>
    <row r="99" spans="1:14" ht="15.5" x14ac:dyDescent="0.35">
      <c r="A99" s="39" t="s">
        <v>90</v>
      </c>
      <c r="B99" s="23" t="s">
        <v>106</v>
      </c>
      <c r="C99" s="8"/>
      <c r="D99" s="8"/>
      <c r="E99" s="8"/>
      <c r="F99" s="8"/>
      <c r="G99" s="10"/>
      <c r="H99" s="25"/>
      <c r="I99" s="2"/>
      <c r="J99" s="2"/>
      <c r="K99" s="26"/>
      <c r="L99" s="41">
        <v>2</v>
      </c>
      <c r="M99" s="10"/>
      <c r="N99" s="5"/>
    </row>
    <row r="100" spans="1:14" ht="15.5" x14ac:dyDescent="0.35">
      <c r="A100" s="39" t="s">
        <v>91</v>
      </c>
      <c r="B100" s="23" t="s">
        <v>107</v>
      </c>
      <c r="C100" s="8"/>
      <c r="D100" s="8"/>
      <c r="E100" s="8"/>
      <c r="F100" s="8"/>
      <c r="G100" s="10"/>
      <c r="H100" s="25"/>
      <c r="I100" s="2"/>
      <c r="J100" s="2"/>
      <c r="K100" s="26"/>
      <c r="L100" s="41">
        <v>2</v>
      </c>
      <c r="M100" s="10"/>
      <c r="N100" s="5"/>
    </row>
    <row r="101" spans="1:14" ht="15.5" x14ac:dyDescent="0.35">
      <c r="A101" s="39" t="s">
        <v>92</v>
      </c>
      <c r="B101" s="23" t="s">
        <v>108</v>
      </c>
      <c r="C101" s="8"/>
      <c r="D101" s="8"/>
      <c r="E101" s="8"/>
      <c r="F101" s="8"/>
      <c r="G101" s="10"/>
      <c r="H101" s="25"/>
      <c r="I101" s="2"/>
      <c r="J101" s="2"/>
      <c r="K101" s="26"/>
      <c r="L101" s="41">
        <v>2</v>
      </c>
      <c r="M101" s="10"/>
      <c r="N101" s="5"/>
    </row>
    <row r="102" spans="1:14" ht="15.5" x14ac:dyDescent="0.35">
      <c r="A102" s="39" t="s">
        <v>93</v>
      </c>
      <c r="B102" s="23" t="s">
        <v>109</v>
      </c>
      <c r="C102" s="8"/>
      <c r="D102" s="8"/>
      <c r="E102" s="8"/>
      <c r="F102" s="8"/>
      <c r="G102" s="10"/>
      <c r="H102" s="25"/>
      <c r="I102" s="2"/>
      <c r="J102" s="2"/>
      <c r="K102" s="26"/>
      <c r="L102" s="41">
        <v>2</v>
      </c>
      <c r="M102" s="10"/>
      <c r="N102" s="5"/>
    </row>
    <row r="103" spans="1:14" ht="15.5" x14ac:dyDescent="0.35">
      <c r="A103" s="39" t="s">
        <v>94</v>
      </c>
      <c r="B103" s="23" t="s">
        <v>110</v>
      </c>
      <c r="C103" s="8"/>
      <c r="D103" s="8"/>
      <c r="E103" s="8"/>
      <c r="F103" s="8"/>
      <c r="G103" s="10"/>
      <c r="H103" s="25"/>
      <c r="I103" s="2"/>
      <c r="J103" s="2"/>
      <c r="K103" s="26"/>
      <c r="L103" s="41">
        <v>2</v>
      </c>
      <c r="M103" s="10"/>
      <c r="N103" s="5"/>
    </row>
    <row r="104" spans="1:14" ht="15.5" x14ac:dyDescent="0.35">
      <c r="A104" s="39" t="s">
        <v>95</v>
      </c>
      <c r="B104" s="23" t="s">
        <v>111</v>
      </c>
      <c r="C104" s="8"/>
      <c r="D104" s="8"/>
      <c r="E104" s="8"/>
      <c r="F104" s="8"/>
      <c r="G104" s="10"/>
      <c r="H104" s="25"/>
      <c r="I104" s="2"/>
      <c r="J104" s="2"/>
      <c r="K104" s="26"/>
      <c r="L104" s="41">
        <v>2</v>
      </c>
      <c r="M104" s="10"/>
      <c r="N104" s="5"/>
    </row>
    <row r="105" spans="1:14" ht="15.5" x14ac:dyDescent="0.35">
      <c r="A105" s="39" t="s">
        <v>96</v>
      </c>
      <c r="B105" s="23" t="s">
        <v>112</v>
      </c>
      <c r="C105" s="8"/>
      <c r="D105" s="8"/>
      <c r="E105" s="8"/>
      <c r="F105" s="8"/>
      <c r="G105" s="10"/>
      <c r="H105" s="25"/>
      <c r="I105" s="2"/>
      <c r="J105" s="2"/>
      <c r="K105" s="26"/>
      <c r="L105" s="41">
        <v>2</v>
      </c>
      <c r="M105" s="10"/>
      <c r="N105" s="5"/>
    </row>
    <row r="106" spans="1:14" ht="15.5" x14ac:dyDescent="0.35">
      <c r="A106" s="39" t="s">
        <v>97</v>
      </c>
      <c r="B106" s="23" t="s">
        <v>113</v>
      </c>
      <c r="C106" s="8"/>
      <c r="D106" s="8"/>
      <c r="E106" s="8"/>
      <c r="F106" s="8"/>
      <c r="G106" s="10"/>
      <c r="H106" s="24"/>
      <c r="I106" s="18"/>
      <c r="J106" s="18"/>
      <c r="K106" s="19"/>
      <c r="L106" s="41">
        <v>2</v>
      </c>
      <c r="M106" s="10"/>
      <c r="N106" s="5"/>
    </row>
    <row r="107" spans="1:14" ht="24" hidden="1" customHeight="1" x14ac:dyDescent="0.35">
      <c r="A107" s="38" t="s">
        <v>114</v>
      </c>
      <c r="B107" s="8"/>
      <c r="C107" s="8"/>
      <c r="D107" s="8"/>
      <c r="E107" s="8"/>
      <c r="F107" s="8"/>
      <c r="G107" s="10"/>
      <c r="H107" s="38" t="s">
        <v>83</v>
      </c>
      <c r="I107" s="8"/>
      <c r="J107" s="8"/>
      <c r="K107" s="10"/>
      <c r="L107" s="38" t="s">
        <v>71</v>
      </c>
      <c r="M107" s="10"/>
      <c r="N107" s="30"/>
    </row>
    <row r="108" spans="1:14" ht="15.5" hidden="1" x14ac:dyDescent="0.35">
      <c r="A108" s="39" t="s">
        <v>84</v>
      </c>
      <c r="B108" s="23"/>
      <c r="C108" s="8"/>
      <c r="D108" s="8"/>
      <c r="E108" s="8"/>
      <c r="F108" s="8"/>
      <c r="G108" s="10"/>
      <c r="H108" s="40"/>
      <c r="I108" s="14"/>
      <c r="J108" s="14"/>
      <c r="K108" s="15"/>
      <c r="L108" s="23"/>
      <c r="M108" s="10"/>
      <c r="N108" s="5"/>
    </row>
    <row r="109" spans="1:14" ht="15.5" hidden="1" x14ac:dyDescent="0.35">
      <c r="A109" s="39" t="s">
        <v>85</v>
      </c>
      <c r="B109" s="23"/>
      <c r="C109" s="8"/>
      <c r="D109" s="8"/>
      <c r="E109" s="8"/>
      <c r="F109" s="8"/>
      <c r="G109" s="10"/>
      <c r="H109" s="25"/>
      <c r="I109" s="2"/>
      <c r="J109" s="2"/>
      <c r="K109" s="26"/>
      <c r="L109" s="23"/>
      <c r="M109" s="10"/>
      <c r="N109" s="5"/>
    </row>
    <row r="110" spans="1:14" ht="15.5" hidden="1" x14ac:dyDescent="0.35">
      <c r="A110" s="39" t="s">
        <v>86</v>
      </c>
      <c r="B110" s="23"/>
      <c r="C110" s="8"/>
      <c r="D110" s="8"/>
      <c r="E110" s="8"/>
      <c r="F110" s="8"/>
      <c r="G110" s="10"/>
      <c r="H110" s="25"/>
      <c r="I110" s="2"/>
      <c r="J110" s="2"/>
      <c r="K110" s="26"/>
      <c r="L110" s="23"/>
      <c r="M110" s="10"/>
      <c r="N110" s="5"/>
    </row>
    <row r="111" spans="1:14" ht="15.5" hidden="1" x14ac:dyDescent="0.35">
      <c r="A111" s="39" t="s">
        <v>87</v>
      </c>
      <c r="B111" s="23"/>
      <c r="C111" s="8"/>
      <c r="D111" s="8"/>
      <c r="E111" s="8"/>
      <c r="F111" s="8"/>
      <c r="G111" s="10"/>
      <c r="H111" s="25"/>
      <c r="I111" s="2"/>
      <c r="J111" s="2"/>
      <c r="K111" s="26"/>
      <c r="L111" s="23"/>
      <c r="M111" s="10"/>
      <c r="N111" s="5"/>
    </row>
    <row r="112" spans="1:14" ht="15.5" hidden="1" x14ac:dyDescent="0.35">
      <c r="A112" s="39" t="s">
        <v>88</v>
      </c>
      <c r="B112" s="23"/>
      <c r="C112" s="8"/>
      <c r="D112" s="8"/>
      <c r="E112" s="8"/>
      <c r="F112" s="8"/>
      <c r="G112" s="10"/>
      <c r="H112" s="25"/>
      <c r="I112" s="2"/>
      <c r="J112" s="2"/>
      <c r="K112" s="26"/>
      <c r="L112" s="23"/>
      <c r="M112" s="10"/>
      <c r="N112" s="5"/>
    </row>
    <row r="113" spans="1:14" ht="15.5" hidden="1" x14ac:dyDescent="0.35">
      <c r="A113" s="39" t="s">
        <v>89</v>
      </c>
      <c r="B113" s="23"/>
      <c r="C113" s="8"/>
      <c r="D113" s="8"/>
      <c r="E113" s="8"/>
      <c r="F113" s="8"/>
      <c r="G113" s="10"/>
      <c r="H113" s="25"/>
      <c r="I113" s="2"/>
      <c r="J113" s="2"/>
      <c r="K113" s="26"/>
      <c r="L113" s="23"/>
      <c r="M113" s="10"/>
      <c r="N113" s="5"/>
    </row>
    <row r="114" spans="1:14" ht="15.5" hidden="1" x14ac:dyDescent="0.35">
      <c r="A114" s="39" t="s">
        <v>90</v>
      </c>
      <c r="B114" s="23"/>
      <c r="C114" s="8"/>
      <c r="D114" s="8"/>
      <c r="E114" s="8"/>
      <c r="F114" s="8"/>
      <c r="G114" s="10"/>
      <c r="H114" s="25"/>
      <c r="I114" s="2"/>
      <c r="J114" s="2"/>
      <c r="K114" s="26"/>
      <c r="L114" s="23"/>
      <c r="M114" s="10"/>
      <c r="N114" s="5"/>
    </row>
    <row r="115" spans="1:14" ht="15.5" hidden="1" x14ac:dyDescent="0.35">
      <c r="A115" s="39" t="s">
        <v>91</v>
      </c>
      <c r="B115" s="23"/>
      <c r="C115" s="8"/>
      <c r="D115" s="8"/>
      <c r="E115" s="8"/>
      <c r="F115" s="8"/>
      <c r="G115" s="10"/>
      <c r="H115" s="25"/>
      <c r="I115" s="2"/>
      <c r="J115" s="2"/>
      <c r="K115" s="26"/>
      <c r="L115" s="23"/>
      <c r="M115" s="10"/>
      <c r="N115" s="5"/>
    </row>
    <row r="116" spans="1:14" ht="15.5" hidden="1" x14ac:dyDescent="0.35">
      <c r="A116" s="39" t="s">
        <v>92</v>
      </c>
      <c r="B116" s="23"/>
      <c r="C116" s="8"/>
      <c r="D116" s="8"/>
      <c r="E116" s="8"/>
      <c r="F116" s="8"/>
      <c r="G116" s="10"/>
      <c r="H116" s="25"/>
      <c r="I116" s="2"/>
      <c r="J116" s="2"/>
      <c r="K116" s="26"/>
      <c r="L116" s="23"/>
      <c r="M116" s="10"/>
      <c r="N116" s="5"/>
    </row>
    <row r="117" spans="1:14" ht="15.5" hidden="1" x14ac:dyDescent="0.35">
      <c r="A117" s="39" t="s">
        <v>93</v>
      </c>
      <c r="B117" s="23"/>
      <c r="C117" s="8"/>
      <c r="D117" s="8"/>
      <c r="E117" s="8"/>
      <c r="F117" s="8"/>
      <c r="G117" s="10"/>
      <c r="H117" s="25"/>
      <c r="I117" s="2"/>
      <c r="J117" s="2"/>
      <c r="K117" s="26"/>
      <c r="L117" s="23"/>
      <c r="M117" s="10"/>
      <c r="N117" s="5"/>
    </row>
    <row r="118" spans="1:14" ht="15.5" hidden="1" x14ac:dyDescent="0.35">
      <c r="A118" s="39" t="s">
        <v>94</v>
      </c>
      <c r="B118" s="23"/>
      <c r="C118" s="8"/>
      <c r="D118" s="8"/>
      <c r="E118" s="8"/>
      <c r="F118" s="8"/>
      <c r="G118" s="10"/>
      <c r="H118" s="25"/>
      <c r="I118" s="2"/>
      <c r="J118" s="2"/>
      <c r="K118" s="26"/>
      <c r="L118" s="23"/>
      <c r="M118" s="10"/>
      <c r="N118" s="5"/>
    </row>
    <row r="119" spans="1:14" ht="15.5" hidden="1" x14ac:dyDescent="0.35">
      <c r="A119" s="39" t="s">
        <v>95</v>
      </c>
      <c r="B119" s="23"/>
      <c r="C119" s="8"/>
      <c r="D119" s="8"/>
      <c r="E119" s="8"/>
      <c r="F119" s="8"/>
      <c r="G119" s="10"/>
      <c r="H119" s="25"/>
      <c r="I119" s="2"/>
      <c r="J119" s="2"/>
      <c r="K119" s="26"/>
      <c r="L119" s="23"/>
      <c r="M119" s="10"/>
      <c r="N119" s="5"/>
    </row>
    <row r="120" spans="1:14" ht="15.5" hidden="1" x14ac:dyDescent="0.35">
      <c r="A120" s="39" t="s">
        <v>96</v>
      </c>
      <c r="B120" s="23"/>
      <c r="C120" s="8"/>
      <c r="D120" s="8"/>
      <c r="E120" s="8"/>
      <c r="F120" s="8"/>
      <c r="G120" s="10"/>
      <c r="H120" s="25"/>
      <c r="I120" s="2"/>
      <c r="J120" s="2"/>
      <c r="K120" s="26"/>
      <c r="L120" s="23"/>
      <c r="M120" s="10"/>
      <c r="N120" s="5"/>
    </row>
    <row r="121" spans="1:14" ht="15.5" hidden="1" x14ac:dyDescent="0.35">
      <c r="A121" s="39" t="s">
        <v>97</v>
      </c>
      <c r="B121" s="23"/>
      <c r="C121" s="8"/>
      <c r="D121" s="8"/>
      <c r="E121" s="8"/>
      <c r="F121" s="8"/>
      <c r="G121" s="10"/>
      <c r="H121" s="24"/>
      <c r="I121" s="18"/>
      <c r="J121" s="18"/>
      <c r="K121" s="19"/>
      <c r="L121" s="23"/>
      <c r="M121" s="10"/>
      <c r="N121" s="5"/>
    </row>
    <row r="122" spans="1:14" ht="115.5" customHeight="1" x14ac:dyDescent="0.35">
      <c r="A122" s="23" t="s">
        <v>115</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116</v>
      </c>
      <c r="B124" s="2"/>
      <c r="C124" s="2"/>
      <c r="D124" s="2"/>
      <c r="E124" s="2"/>
      <c r="F124" s="2"/>
      <c r="G124" s="2"/>
      <c r="H124" s="2"/>
      <c r="I124" s="2"/>
      <c r="J124" s="2"/>
      <c r="K124" s="2"/>
      <c r="L124" s="2"/>
      <c r="M124" s="2"/>
      <c r="N124" s="30"/>
    </row>
    <row r="125" spans="1:14" ht="46.5" x14ac:dyDescent="0.35">
      <c r="A125" s="42" t="s">
        <v>117</v>
      </c>
      <c r="B125" s="43" t="s">
        <v>118</v>
      </c>
      <c r="C125" s="8"/>
      <c r="D125" s="8"/>
      <c r="E125" s="8"/>
      <c r="F125" s="8"/>
      <c r="G125" s="10"/>
      <c r="H125" s="43" t="s">
        <v>119</v>
      </c>
      <c r="I125" s="8"/>
      <c r="J125" s="8"/>
      <c r="K125" s="10"/>
      <c r="L125" s="44" t="s">
        <v>120</v>
      </c>
      <c r="M125" s="10"/>
      <c r="N125" s="5"/>
    </row>
    <row r="126" spans="1:14" ht="15.5" x14ac:dyDescent="0.35">
      <c r="A126" s="45" t="s">
        <v>121</v>
      </c>
      <c r="B126" s="46" t="s">
        <v>122</v>
      </c>
      <c r="C126" s="14"/>
      <c r="D126" s="14"/>
      <c r="E126" s="14"/>
      <c r="F126" s="14"/>
      <c r="G126" s="15"/>
      <c r="H126" s="47" t="s">
        <v>123</v>
      </c>
      <c r="I126" s="8"/>
      <c r="J126" s="8"/>
      <c r="K126" s="39" t="s">
        <v>124</v>
      </c>
      <c r="L126" s="48">
        <f>1-SUM(L129:M131)</f>
        <v>0.7</v>
      </c>
      <c r="M126" s="15"/>
      <c r="N126" s="5"/>
    </row>
    <row r="127" spans="1:14" ht="15.5" x14ac:dyDescent="0.35">
      <c r="A127" s="49"/>
      <c r="B127" s="25"/>
      <c r="C127" s="2"/>
      <c r="D127" s="2"/>
      <c r="E127" s="2"/>
      <c r="F127" s="2"/>
      <c r="G127" s="26"/>
      <c r="H127" s="50" t="s">
        <v>125</v>
      </c>
      <c r="I127" s="8"/>
      <c r="J127" s="8"/>
      <c r="K127" s="39" t="s">
        <v>126</v>
      </c>
      <c r="L127" s="25"/>
      <c r="M127" s="26"/>
      <c r="N127" s="5"/>
    </row>
    <row r="128" spans="1:14" ht="15.5" x14ac:dyDescent="0.35">
      <c r="A128" s="35"/>
      <c r="B128" s="24"/>
      <c r="C128" s="18"/>
      <c r="D128" s="18"/>
      <c r="E128" s="18"/>
      <c r="F128" s="18"/>
      <c r="G128" s="19"/>
      <c r="H128" s="50" t="s">
        <v>127</v>
      </c>
      <c r="I128" s="8"/>
      <c r="J128" s="8"/>
      <c r="K128" s="39" t="s">
        <v>128</v>
      </c>
      <c r="L128" s="24"/>
      <c r="M128" s="19"/>
      <c r="N128" s="5"/>
    </row>
    <row r="129" spans="1:14" ht="68.25" hidden="1" customHeight="1" x14ac:dyDescent="0.35">
      <c r="A129" s="42" t="s">
        <v>129</v>
      </c>
      <c r="B129" s="50" t="s">
        <v>130</v>
      </c>
      <c r="C129" s="8"/>
      <c r="D129" s="8"/>
      <c r="E129" s="8"/>
      <c r="F129" s="8"/>
      <c r="G129" s="10"/>
      <c r="H129" s="50" t="s">
        <v>131</v>
      </c>
      <c r="I129" s="8"/>
      <c r="J129" s="8"/>
      <c r="K129" s="10"/>
      <c r="L129" s="51"/>
      <c r="M129" s="10"/>
      <c r="N129" s="5"/>
    </row>
    <row r="130" spans="1:14" ht="46.5" x14ac:dyDescent="0.35">
      <c r="A130" s="42" t="s">
        <v>132</v>
      </c>
      <c r="B130" s="50" t="s">
        <v>133</v>
      </c>
      <c r="C130" s="8"/>
      <c r="D130" s="8"/>
      <c r="E130" s="8"/>
      <c r="F130" s="8"/>
      <c r="G130" s="10"/>
      <c r="H130" s="50" t="s">
        <v>134</v>
      </c>
      <c r="I130" s="8"/>
      <c r="J130" s="8"/>
      <c r="K130" s="10"/>
      <c r="L130" s="51">
        <v>0.3</v>
      </c>
      <c r="M130" s="10"/>
      <c r="N130" s="5"/>
    </row>
    <row r="131" spans="1:14" ht="31" hidden="1" x14ac:dyDescent="0.35">
      <c r="A131" s="42" t="s">
        <v>135</v>
      </c>
      <c r="B131" s="52" t="s">
        <v>136</v>
      </c>
      <c r="C131" s="8"/>
      <c r="D131" s="8"/>
      <c r="E131" s="8"/>
      <c r="F131" s="8"/>
      <c r="G131" s="10"/>
      <c r="H131" s="50" t="s">
        <v>137</v>
      </c>
      <c r="I131" s="8"/>
      <c r="J131" s="8"/>
      <c r="K131" s="10"/>
      <c r="L131" s="51"/>
      <c r="M131" s="10"/>
      <c r="N131" s="5"/>
    </row>
    <row r="132" spans="1:14" ht="15.5" x14ac:dyDescent="0.35">
      <c r="A132" s="43" t="s">
        <v>138</v>
      </c>
      <c r="B132" s="8"/>
      <c r="C132" s="8"/>
      <c r="D132" s="8"/>
      <c r="E132" s="8"/>
      <c r="F132" s="8"/>
      <c r="G132" s="8"/>
      <c r="H132" s="8"/>
      <c r="I132" s="8"/>
      <c r="J132" s="8"/>
      <c r="K132" s="8"/>
      <c r="L132" s="8"/>
      <c r="M132" s="10"/>
      <c r="N132" s="5"/>
    </row>
    <row r="133" spans="1:14" ht="15.5" x14ac:dyDescent="0.35">
      <c r="A133" s="53" t="s">
        <v>139</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4" t="s">
        <v>140</v>
      </c>
      <c r="B135" s="10"/>
      <c r="C135" s="55">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4" t="s">
        <v>141</v>
      </c>
      <c r="B137" s="10"/>
      <c r="C137" s="9" t="str">
        <f>E15</f>
        <v>conf.dr.ing. Mastacan Lucian</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6" t="s">
        <v>142</v>
      </c>
      <c r="B139" s="15"/>
      <c r="C139" s="9" t="str">
        <f t="shared" ref="C139:C141" si="0">E17</f>
        <v>conf.dr.ing. Mastacan Lucian</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4" t="s">
        <v>143</v>
      </c>
      <c r="B143" s="10"/>
      <c r="C143" s="57">
        <f>[1]Date!C35</f>
        <v>45915</v>
      </c>
      <c r="D143" s="10"/>
      <c r="E143" s="54" t="s">
        <v>144</v>
      </c>
      <c r="F143" s="8"/>
      <c r="G143" s="10"/>
      <c r="H143" s="58" t="str">
        <f>[1]Date!C37</f>
        <v>Conf.dr.ing. Mihai POSTOLACHE</v>
      </c>
      <c r="I143" s="8"/>
      <c r="J143" s="8"/>
      <c r="K143" s="8"/>
      <c r="L143" s="8"/>
      <c r="M143" s="10"/>
      <c r="N143" s="5"/>
    </row>
    <row r="144" spans="1:14" ht="21.75" customHeight="1" x14ac:dyDescent="0.35">
      <c r="A144" s="59"/>
      <c r="B144" s="59"/>
      <c r="C144" s="60"/>
      <c r="D144" s="60"/>
      <c r="E144" s="59"/>
      <c r="F144" s="59"/>
      <c r="G144" s="59"/>
      <c r="H144" s="60"/>
      <c r="I144" s="60"/>
      <c r="J144" s="60"/>
      <c r="K144" s="60"/>
      <c r="L144" s="60"/>
      <c r="M144" s="60"/>
      <c r="N144" s="5"/>
    </row>
    <row r="145" spans="1:14" ht="28.5" customHeight="1" x14ac:dyDescent="0.35">
      <c r="A145" s="54" t="s">
        <v>145</v>
      </c>
      <c r="B145" s="10"/>
      <c r="C145" s="57">
        <f>[1]Date!C36</f>
        <v>45918</v>
      </c>
      <c r="D145" s="10"/>
      <c r="E145" s="54" t="s">
        <v>146</v>
      </c>
      <c r="F145" s="8"/>
      <c r="G145" s="10"/>
      <c r="H145" s="58" t="str">
        <f>[1]Date!C38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2026-03-01T09:15:31Z</dcterms:created>
  <dcterms:modified xsi:type="dcterms:W3CDTF">2026-03-01T09:15:37Z</dcterms:modified>
</cp:coreProperties>
</file>