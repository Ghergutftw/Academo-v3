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38490B36-66F7-4D34-823C-1B016CAA6B80}" xr6:coauthVersionLast="47" xr6:coauthVersionMax="47" xr10:uidLastSave="{00000000-0000-0000-0000-000000000000}"/>
  <bookViews>
    <workbookView xWindow="-110" yWindow="-110" windowWidth="25820" windowHeight="15500" xr2:uid="{4C7518AC-0807-4462-850D-96A87016A9C2}"/>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23" i="1"/>
  <c r="C9" i="1"/>
  <c r="C8" i="1"/>
  <c r="C7" i="1"/>
  <c r="A2" i="1"/>
  <c r="C36" i="1" l="1" a="1"/>
  <c r="C36" i="1" s="1"/>
  <c r="I26" i="1" a="1"/>
  <c r="I26" i="1" s="1"/>
  <c r="I27" i="1" s="1"/>
  <c r="M14" i="1" a="1"/>
  <c r="M14" i="1" s="1"/>
  <c r="K26" i="1" a="1"/>
  <c r="K26" i="1" s="1"/>
  <c r="K27" i="1" s="1"/>
  <c r="E13" i="1" a="1"/>
  <c r="E13" i="1" s="1"/>
  <c r="E23" i="1" a="1"/>
  <c r="E23" i="1" s="1"/>
  <c r="G26" i="1" a="1"/>
  <c r="G26" i="1" s="1"/>
  <c r="G27" i="1" s="1"/>
  <c r="I23" i="1" a="1"/>
  <c r="I23" i="1" s="1"/>
  <c r="M23" i="1" a="1"/>
  <c r="M23" i="1" s="1"/>
  <c r="M32" i="1" a="1"/>
  <c r="M32" i="1" s="1"/>
  <c r="E14" i="1" a="1"/>
  <c r="E14" i="1" s="1"/>
  <c r="E26" i="1" a="1"/>
  <c r="E26" i="1" s="1"/>
  <c r="C34" i="1" a="1"/>
  <c r="C34" i="1" s="1"/>
  <c r="M33"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EC69DC5A-7D98-4AE1-B158-45C0EB332A46}">
      <text>
        <r>
          <rPr>
            <sz val="10"/>
            <color rgb="FF000000"/>
            <rFont val="Aptos Narrow"/>
            <scheme val="minor"/>
          </rPr>
          <t>Pondere din nota de la E / V</t>
        </r>
      </text>
    </comment>
    <comment ref="K128" authorId="0" shapeId="0" xr:uid="{90E715E2-62D8-48D0-A73E-28D28C31FA99}">
      <text>
        <r>
          <rPr>
            <sz val="10"/>
            <color rgb="FF000000"/>
            <rFont val="Aptos Narrow"/>
            <scheme val="minor"/>
          </rPr>
          <t>Pondere din nota de la E / V</t>
        </r>
      </text>
    </comment>
  </commentList>
</comments>
</file>

<file path=xl/sharedStrings.xml><?xml version="1.0" encoding="utf-8"?>
<sst xmlns="http://schemas.openxmlformats.org/spreadsheetml/2006/main" count="243" uniqueCount="165">
  <si>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</si>
  <si>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</si>
  <si>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</si>
  <si>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</si>
  <si>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</si>
  <si>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</si>
  <si>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</si>
  <si>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</si>
  <si>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</si>
  <si>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</si>
  <si>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</si>
  <si>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</si>
  <si>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</si>
  <si>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Comunicații în sisteme de conducere</t>
  </si>
  <si>
    <t>(în limba engleză, conform Suplimentului la diplomă)</t>
  </si>
  <si>
    <t>2.1.2. Codul disciplinei</t>
  </si>
  <si>
    <t xml:space="preserve">2.1.3. Categoria formativă </t>
  </si>
  <si>
    <t>2.2 Titularul / titularii activităţilor de curs</t>
  </si>
  <si>
    <t>Conf.dr.ing. Mihai Postolache</t>
  </si>
  <si>
    <t>2.3 Titularul / titularii activităţilor de aplicaţii (S, L, P, Pr)</t>
  </si>
  <si>
    <t>Asist.dr.ing. Răzvan Gabriel Lazăr</t>
  </si>
  <si>
    <t>Ing. Andrei Valeriu Coșa</t>
  </si>
  <si>
    <t>Ing. Alexandru Conțac</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</si>
  <si>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</si>
  <si>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</si>
  <si>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</si>
  <si>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</si>
  <si>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</si>
  <si>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</si>
  <si>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</si>
  <si>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</si>
  <si>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</si>
  <si>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</si>
  <si>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</si>
  <si>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</si>
  <si>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</si>
  <si>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</si>
  <si>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</si>
  <si>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</si>
  <si>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</si>
  <si>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</si>
  <si>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</si>
  <si>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</si>
  <si>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</si>
  <si>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</si>
  <si>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</si>
  <si>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</si>
  <si>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</si>
  <si>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</si>
  <si>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</si>
  <si>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</si>
  <si>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</si>
  <si>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</si>
  <si>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</si>
  <si>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 xml:space="preserve">ASDN, AM, SMP, CEA, ED, PC I, TD, RC </t>
  </si>
  <si>
    <t>5. Condiţii</t>
  </si>
  <si>
    <t>5.1 de desfăşurare a cursului</t>
  </si>
  <si>
    <t>Videoproiector, tablă</t>
  </si>
  <si>
    <t>5.2 de desfăşurare a laboratorului / proiectului</t>
  </si>
  <si>
    <r>
      <rPr>
        <sz val="12"/>
        <color theme="1"/>
        <rFont val="Arial"/>
      </rPr>
      <t>Tablă inteligentă, videoproiector, kituri de laborator, software de dezvoltare programe</t>
    </r>
    <r>
      <rPr>
        <sz val="12"/>
        <color rgb="FFFF0000"/>
        <rFont val="Arial"/>
      </rPr>
      <t xml:space="preserve">, </t>
    </r>
    <r>
      <rPr>
        <sz val="12"/>
        <color theme="1"/>
        <rFont val="Arial"/>
      </rPr>
      <t>Hololens2</t>
    </r>
  </si>
  <si>
    <t>6. Obiectivul general al disciplinei</t>
  </si>
  <si>
    <t xml:space="preserve">Să cunoască în detaliu și să utilizeze conceptele, componentele, modul de organizare și funcționare a echipamentelor și serviciilor și de comunicație în sisteme de conducere, metodele și tehnicile de dezvoltare a serviciilor de comunicație în aplicații de automatică și informatică aplicată. </t>
  </si>
  <si>
    <t>7. Rezultatele învățării</t>
  </si>
  <si>
    <t>Cunoștințe</t>
  </si>
  <si>
    <t>Studentul / Absolventul:</t>
  </si>
  <si>
    <t>- descrie organizarea și funcționarea modelelor de comunicație ISO OSI, client-server și producător consumator în contextul rețelelor locale industriale.
- explică și compară detalii de implementare a primitivelor de comunicații punct la punct și de grup în funcție de diferite opțiuni privind adresarea nodurilor, bufferizarea mesajelor și asigurarea fiabilității transferului de mesaje.
- descrie și compară organizarea, funcționarea și particularitățile de implementare ale diferitelor variante de  algoritmi de sincronizare în timp, de excludere mutuală și de selecție a coordonatorului în rețele industriale locale.
- definește și explică diferite concepte și tehnici folosite în cadrul comunicațiilor asicrone punct la punct și multipunct, cu particularizare în cazul protocoalelor RS232, respectiv RS485.
- descrie și explică modul de organizare, funcționare și utilizare a protocolului CAN, precum și implementarea mecanismelor specifice în cadrul controlerului Bosh C-CAN.
- descrie și compară moduri de organizare, funcționare și utilizare a comunicațiilor sincrone SPI și I2C, precum și implementarea mecanismelor specifice în cadrul microcontrolerului C8051F040.
- descrie și explică modul de organizare, funcționare și utilizare a comunicațiilor wireless PAN IEEE802.15.4 în rețele ZigBee, precum și implementarea mecanismelor specifice la nivelul fizic și al legăturii de date.
- descrie și compară moduri de organizare, funcționare și utilizare a serviciilor de comunicație la nivel de aplicație Modbus ASCII și RTU, precum și implementarea mecanismelor specifice la nivelul funcțiilor uzuale Modbus.
- descrie și compară moduri de organizare, funcționare și utilizare a serviciilor de comunicație PROFIBUS ȘI PROFINET, precum și implementarea mecanismelor specifice la nivelul aplicațiilor cu PLC S7-1200 .
- descrie și explică facilitățile de dezvoltare a aplicațiilor folosind servicii de comunicație grupate în drivere de sistem pentru perifericele BIG8051, în mediul integrat ARM Keil PK51.
- descrie și explică modul de organizare, funcționare și utilizare a comunicațiilor celulare, caracteristici, tipuri de rețele, arhitecturi, mecanismele fundamentale OFDM, MIMO, Scheduling, QoS, Handover, Beamforming și Slicing.</t>
  </si>
  <si>
    <t>Aptitudini</t>
  </si>
  <si>
    <t>- testează și modifică servicii de comunicație în sisteme de conducere bazate pe comunicații seriale asincrone și sincrone, punct la punct și multipunct, folosind periferice integrate și microsisteme BIG8051.
- configurează și testează aplicații pentru rețele locale industriale bazate pe protocolul CAN folosind controlere specializate și microsisteme BIG8051.
- testează și experimentează utilizarea serviciilor de comunicație wireless într-o rețea WPAN de microsisteme BIG8051 prevăzute cu modem-uri radio MRF24J40.
- testează și configurează servicii de comunicație serială MODBUS în aplicații SCADA folosind echipamente RTU industriale și microsisteme BIG8051 interconectate prin modem-uri radio industriale Satelline 1870E
- testează și configurează servicii de comunicație PROFIBUS ȘI PROFINET în aplicații SCADA folosind PLC S7-1200 și module de comunicații
- testează și configurează servicii de comunicații celulare LTE/5G folosind modulele SIM8200 și RM500Q
- interconectează în rețea sistemele și interfețele, adaptoarele de comunicație și modem-urile radio, respectând specificațiile tehnice și restricțiile de conectare a acestora.
- analizează specificații de proiectare ale unei aplicații de comunicație în rețea: adresarea nodurilor, formatul mesajelor, tehnica de acces la mediul de comunicație și modul de organizare a bufferelor de comunicație la nivelul unei rețele.
- identifică principalele task-uri ale unei aplicații de comunicație și relațiile dintre ele
- reorganizează schema logică a unui task sub forma de automat finit de stare (FSA) și o implementează în C
- scrie codul sursă C aferent serviciilor de comunicație, plecând de la scheme logice
- testează și verifică funcționarea conform specificațiilor a serviciilor de comunicație mesaje, împreună cu programul principal, în simulare și pe o rețea de microsisteme BIG8051.</t>
  </si>
  <si>
    <t>Responsabilitate și autonomie</t>
  </si>
  <si>
    <t>- aplică principii de management de proiect pentru stabilirea specificațiilor proiectului, descrierea etapelor și repartizarea temelor de proiectare la nivel de echipă și a sarcinilor pentru membrii acesteia, modul de evaluare a rezultatelor.
- realizează documentația proiectului, prezentând etapele parcurse și rezultatele obținute, propuneri și sugestii de îmbunătațire și de extindere a acestuia.
- demonstrează spirit de inițiativă în identificarea și integrarea celor mai recente tehnologii și metodologii în domeniul comunicațiilor în sisteme de conducere, actualizând continuu cunoștințele profesionale, economice și culturale relevante.
- adoptă o conduită responsabilă și etică în proiectarea și utilizarea interfețelor de comunicații în sisteme de conducere, respectând legislația și normele profesionale pentru a menține integritatea și reputația domeniului.</t>
  </si>
  <si>
    <t xml:space="preserve">8. Metode de predare </t>
  </si>
  <si>
    <t>- Prezentarea cunoştinţelor aferente cursului – slide-uri prezentate cu videoproiectorul, discuții cu studenții
- Realizarea de conexiuni cu cunoştinţele însuşite la alte discipline înrudite de la ciclul de licenţă şi verificarea modului în care noile elemente introduse au fost receptate.</t>
  </si>
  <si>
    <t>9. Conţinuturi</t>
  </si>
  <si>
    <t>9.1. Curs</t>
  </si>
  <si>
    <t>Metode de predare</t>
  </si>
  <si>
    <t>Timp alocat</t>
  </si>
  <si>
    <t>1</t>
  </si>
  <si>
    <r>
      <rPr>
        <b/>
        <sz val="12"/>
        <color theme="1"/>
        <rFont val="Arial"/>
      </rPr>
      <t>Modele de comunicații în rețele locale industriale</t>
    </r>
    <r>
      <rPr>
        <sz val="12"/>
        <color theme="1"/>
        <rFont val="Arial"/>
      </rPr>
      <t xml:space="preserve"> (obiectivul general al disciplinei, conținutului disciplinei, rezultatele învățării, legături cu alte discipline, modul de evaluare, organizare și functionare modele ISO OSI, client-server și producător-consumator, primitive de comunicații sincrone și asincrone, adresarea nodurilor, bufferizarea mesajelor și fiabilitatea comunicațiilor, comunicații de grup, particularități de implementare).</t>
    </r>
  </si>
  <si>
    <t>Cursul se desfășoară integral față-în-față. 
a. Prezentarea cunoştinţelor aferente cursului – slide-uri prezentate cu videoproiectorul, discuții cu studenții
b. Realizarea de conexiuni cu cunoştinţele însuşite la alte discipline înrudite de la ciclul de licenţă şi verificarea modului în care noile elemente introduse au fost receptate</t>
  </si>
  <si>
    <t>2 ore</t>
  </si>
  <si>
    <t>2</t>
  </si>
  <si>
    <r>
      <rPr>
        <b/>
        <sz val="12"/>
        <color theme="1"/>
        <rFont val="Arial"/>
      </rPr>
      <t>Mecanisme şi algoritmi pentru sincronizarea comunicaţiilor</t>
    </r>
    <r>
      <rPr>
        <sz val="12"/>
        <color theme="1"/>
        <rFont val="Arial"/>
      </rPr>
      <t xml:space="preserve"> (algoritmi centralizați și distribuiți de sincronizare a ceasurilor fizice și logice, de excludere mutuală și de selecție a unui coordonator).</t>
    </r>
  </si>
  <si>
    <t>3</t>
  </si>
  <si>
    <r>
      <rPr>
        <b/>
        <sz val="12"/>
        <color theme="1"/>
        <rFont val="Arial"/>
      </rPr>
      <t xml:space="preserve">Comunicaţii seriale asincrone (RS-232, RS-485) </t>
    </r>
    <r>
      <rPr>
        <sz val="12"/>
        <color theme="1"/>
        <rFont val="Arial"/>
      </rPr>
      <t>(Comunicații punct la punct: formatul asincron, tipuri de erori, sincronizarea fluxului de date - RTS-CTS, XON-XOFF, caracteristici electrice RS232, adaptoare de comunicație, tipuri de conexiuni; Comunicații multipunct: modul multiprocesor, formatul mesajelor, tehnici de acces aleator, tehnici de arbitrare, emițătoare/receptoare de linie RS485, tipuri de conexiuni).</t>
    </r>
  </si>
  <si>
    <t>4 ore</t>
  </si>
  <si>
    <t>4</t>
  </si>
  <si>
    <r>
      <rPr>
        <b/>
        <sz val="12"/>
        <color theme="1"/>
        <rFont val="Arial"/>
      </rPr>
      <t>Rețele industriale MODBUS</t>
    </r>
    <r>
      <rPr>
        <sz val="12"/>
        <color theme="1"/>
        <rFont val="Arial"/>
      </rPr>
      <t xml:space="preserve"> (nivelul de aplicatie, modelul de comunicație, formatul mesajelor, Modbus ASCII și RTU, adresarea nodurilor, adresarea variabilelor, tipuri uzuale de funcții Modbus).</t>
    </r>
  </si>
  <si>
    <t>5</t>
  </si>
  <si>
    <r>
      <rPr>
        <b/>
        <sz val="12"/>
        <color theme="1"/>
        <rFont val="Arial"/>
      </rPr>
      <t xml:space="preserve">Comunicații industriale SIMATIC S7-1200 </t>
    </r>
    <r>
      <rPr>
        <sz val="12"/>
        <color theme="1"/>
        <rFont val="Arial"/>
      </rPr>
      <t xml:space="preserve">(FreePort, RS-485, PROFIBUS, PROFINET, AS-i, S7 Communication, Open Communication, IO-Link, OPC-UA) </t>
    </r>
  </si>
  <si>
    <t>6</t>
  </si>
  <si>
    <r>
      <rPr>
        <b/>
        <sz val="12"/>
        <color theme="1"/>
        <rFont val="Arial"/>
      </rPr>
      <t xml:space="preserve">Rețele industriale PROFIBUS </t>
    </r>
    <r>
      <rPr>
        <sz val="12"/>
        <color theme="1"/>
        <rFont val="Arial"/>
      </rPr>
      <t>(arhitectura sistemului, accesul la mediu și de arbitrare, formatul mesajelor, servicii de comunicație, detectarea și gestionarea erorilor, topologie, viteze și performanță, variante de implementare, exemple industriale).</t>
    </r>
  </si>
  <si>
    <t>7</t>
  </si>
  <si>
    <r>
      <rPr>
        <b/>
        <sz val="12"/>
        <color theme="1"/>
        <rFont val="Arial"/>
      </rPr>
      <t>Rețele industriale PROFINET</t>
    </r>
    <r>
      <rPr>
        <sz val="12"/>
        <color theme="1"/>
        <rFont val="Arial"/>
      </rPr>
      <t xml:space="preserve"> (Arhitectură și componente, clase de comunicație PROFINET, funcționarea rețelei, formatul mesajelor, arbitrarea și sincronizarea accesului la mediu, servicii de comunicație și diagnoză, detectarea și gestionarea erorilor, variante de implementare, exemple industriale).</t>
    </r>
  </si>
  <si>
    <t>8</t>
  </si>
  <si>
    <r>
      <rPr>
        <b/>
        <sz val="12"/>
        <color theme="1"/>
        <rFont val="Arial"/>
      </rPr>
      <t>Protocolul Controller Area Network</t>
    </r>
    <r>
      <rPr>
        <sz val="12"/>
        <color theme="1"/>
        <rFont val="Arial"/>
      </rPr>
      <t xml:space="preserve"> (funcționarea unei rețele CAN, arbitrarea accesului la mediu, servicii de comunicație, formatul mesajelor, mecanisme de detectare și globalizare a erorilor, variante de implementare).</t>
    </r>
  </si>
  <si>
    <t>9</t>
  </si>
  <si>
    <r>
      <rPr>
        <b/>
        <sz val="12"/>
        <color rgb="FF000000"/>
        <rFont val="Arial"/>
      </rPr>
      <t xml:space="preserve">Comunicații CANopen </t>
    </r>
    <r>
      <rPr>
        <sz val="12"/>
        <color rgb="FF000000"/>
        <rFont val="Arial"/>
      </rPr>
      <t>(arhitectura rețelei, dicționarul de obiecte, tipuri de date, obiecte de comunicații, servicii  și protocoale de comunicații, managementul rețelei, particularități de implementare pe sisteme embedded).</t>
    </r>
  </si>
  <si>
    <t>10</t>
  </si>
  <si>
    <r>
      <rPr>
        <b/>
        <sz val="12"/>
        <color theme="1"/>
        <rFont val="Arial"/>
      </rPr>
      <t xml:space="preserve">Comunicații seriale wireless (IEEE 802.15.4, Zigbee) </t>
    </r>
    <r>
      <rPr>
        <sz val="12"/>
        <color theme="1"/>
        <rFont val="Arial"/>
      </rPr>
      <t>(tipuri de dispozitive,
accesul la mediul de comunicație, canale de comunicație, formatul mesajelor,
primitive de comunicație la nivelurile fizic și al legăturii de date).</t>
    </r>
  </si>
  <si>
    <t>11</t>
  </si>
  <si>
    <r>
      <rPr>
        <b/>
        <sz val="12"/>
        <color theme="1"/>
        <rFont val="Arial"/>
      </rPr>
      <t xml:space="preserve">Comunicații celulare </t>
    </r>
    <r>
      <rPr>
        <sz val="12"/>
        <color theme="1"/>
        <rFont val="Arial"/>
      </rPr>
      <t>(caracteristici, tipuri de rețele, arhitecturi LTE/5G, parametri de performanță, serviciile eMBB, URLLC și mMTC, mecanismele fundamentale OFDM, MIMO, Scheduling, QoS, Handover, Beamforming și Slicing)</t>
    </r>
  </si>
  <si>
    <t>12</t>
  </si>
  <si>
    <t>13</t>
  </si>
  <si>
    <t xml:space="preserve">Total: </t>
  </si>
  <si>
    <t>28 ore</t>
  </si>
  <si>
    <t xml:space="preserve">Bibliografie curs:
1. Huţanu, C., Postolache, M., Microcontrolerele MCS 51 şi compatibile. Arhitectură şi programare, Ed. Tehnica-Info, Chişinău, 2002
2. Richard Zurawski, ed., Embedded systems handbook networked embedded systems, CRC Press Taylor &amp; Francis Group, Boca Raton, 2009
3. Postolache, M., Note de curs Comunicații în sisteme de conducere, platforma Moodle
*** Robert Bosh Gmbh, CAN Specification version 2.0, 1991
*** Siemens, SIMATIC STEP 7 and WinCC Engineering V17 - System Manual, 2021
*** Siemens, SIMATIC S7-1200 Programmable controller - System Manual, 2018
*** HMS, User Manual - CM CANopen - ANopen Module for SIMATIC S7-1200, 2013
*** Siemens, CPU-CPU Communication with SIMATIC Controllers, 2023
*** Siemens, SIMATIC NET - S7-1200 - PROFIBUS SIMATIC CM 1242-5 - Operating instructions, 2023
*** Siemens, SIMATIC NET - S7-1200 - PROFIBUS SIMATIC CM 1243-5 - Operating instructions, 2023
*** Siemens, SIMATIC NET Industrial Ethernet / PROFINET Industrial Ethernet - System Manual, 2019
</t>
  </si>
  <si>
    <t>9.2a Seminar</t>
  </si>
  <si>
    <t>Metode de lucru</t>
  </si>
  <si>
    <t>14</t>
  </si>
  <si>
    <t>9.2b Laborator</t>
  </si>
  <si>
    <t xml:space="preserve">Sistemul de dezvoltare BIG8051 – Mikroelektronika – drivere de sistem pentru comunicație și interfața cu operatorul </t>
  </si>
  <si>
    <t xml:space="preserve">a. Prezentarea cunoştinţelor aferente lucrărilor de laborator - materiale în format PDF
b. Demonstraţii practice, experimente
c) Discuţii asupra materialelor puse la dispoziţie pentru fiecare lucrare de laborator şi indicaţii de realizare a lucrărilor.
d) Lucru individual și pe echipe la rezolvarea sarcinilor din referatele de laborator.
</t>
  </si>
  <si>
    <t>Comunicații seriale asincrone punct-la-punct RS232</t>
  </si>
  <si>
    <t>Comunicații seriale asincrone multipunct RS485</t>
  </si>
  <si>
    <t>Comunicații MODBUS ASCII / RTU / TCP</t>
  </si>
  <si>
    <t>Comunicații industriale în TIA Portal pentru SIMATIC S7-1200</t>
  </si>
  <si>
    <t>Comunicații PROFIBUS în rețele industriale SIMATIC S7-1200</t>
  </si>
  <si>
    <t>Comunicații PROFINET în rețele industriale SIMATIC S7-1200</t>
  </si>
  <si>
    <t>Comunicații în timp real între PLC  și o interfață holografică HoloLens 2 pentru controlul unui sistem mecatronic</t>
  </si>
  <si>
    <t>Comunicații seriale sincrone SPI / I2C în sisteme embedded</t>
  </si>
  <si>
    <t>Comunicații CAN în sisteme embedded</t>
  </si>
  <si>
    <t>Comunicații CANopen în rețele SIMATIC S7-1200</t>
  </si>
  <si>
    <t xml:space="preserve">Comunicații wireless IEEE 803.15.4 în sisteme embedded                                      </t>
  </si>
  <si>
    <t>Comunicații celulare LTE/5G folosind modulele SIM8200 și RM500Q</t>
  </si>
  <si>
    <t>Total:</t>
  </si>
  <si>
    <t>9.2c Proiect</t>
  </si>
  <si>
    <t>Prezentare și repartizare teme, mod de desfășurare și evaluare a activității la proiect.</t>
  </si>
  <si>
    <t>a) Prezentarea temelor de proiectare – cerințele de lucru, etapele de proiectare - materiale în format electronic
b) Stabilirea echipelor și repartizarea sarcinilor individuale
c) discutarea soluțiilor de implementare la fiecare etapă, testarea serviciilor de comunicație dezvoltate</t>
  </si>
  <si>
    <t>Organizarea datelor, schema logică și implementarea programului principal.</t>
  </si>
  <si>
    <t>Scheme logice servicii de pregătire și transmisie mesaje - implementare</t>
  </si>
  <si>
    <t>Testarea serviciilor de transmisie mesaje</t>
  </si>
  <si>
    <t>Scheme logice servicii de recepție mesaje - implementare</t>
  </si>
  <si>
    <t>Testare servicii de recepție mesaje</t>
  </si>
  <si>
    <t>Testare finală, întocmire documentație, prezentare și evaluare proiect</t>
  </si>
  <si>
    <t>14 ore</t>
  </si>
  <si>
    <t>Bibliografie aplicaţii (seminar / laborator / proiect):
1. Huţanu, C., Postolache, M., Microcontrolerele MCS 51 şi compatibile. Arhitectură şi programare, Ed. Tehnica-Info, Chişinău, 2002
2. Postolache, M., Comunicaţii în sisteme de conducere – Îndrumar de laborator, Ed. Tehnica-Info, Chişinău, 2005
3. Postolache M., Lucrări practice de laborator Comunicații  în sisteme de conducere - platforma Moodle
4. Postolache M., Etape de proiectare Comunicații  în sisteme de conducere - platforma Moodle
5. Axelson, J., Serial Port Complete, LakeView Research, 2006
6. C. Dosoftei &amp; al., Integrating Digital Twin Capabilities with Mixed Reality Technology - An Opportunity in Educational Engineering. Studies in Computational Intelligence, vol 1136. Springer, 2024
*** Robert Bosh Gmbh, CAN Specification version 2.0, 1991
*** Silicon Labs. C8051F040 Microcontroller User’s Manual, 2019
*** MikroElektronika - BIG8051 Schematic and User manual 2010
*** Siemens, SIMATIC STEP 7 and WinCC Engineering V17 - System Manual, 2021
*** Siemens, SIMATIC S7-1200 Programmable controller - System Manual, 2018
*** HMS, User Manual - CM CANopen - ANopen Module for SIMATIC S7-1200, 2013
*** Siemens, CPU-CPU Communication with SIMATIC Controllers, 2023
*** Siemens, SIMATIC NET - S7-1200 - PROFIBUS SIMATIC CM 1242-5 - Operating instructions, 2023
*** Siemens, SIMATIC NET - S7-1200 - PROFIBUS SIMATIC CM 1243-5 - Operating instructions, 2023
*** Siemens, SIMATIC NET Industrial Ethernet / PROFINET Industrial Ethernet - System Manual, 2019
*** SIMCom, SIM8200-M2-EVB2 User Guidelines Manual, 2023
*** Quectel, RMU500-EK User Guide, 2023</t>
  </si>
  <si>
    <t>10. Evaluare</t>
  </si>
  <si>
    <t>Tip activitate</t>
  </si>
  <si>
    <t>10.1 Criterii de evaluare</t>
  </si>
  <si>
    <t>10.2 Metode de evaluare</t>
  </si>
  <si>
    <t>10.3 Pondere din nota finală [%]</t>
  </si>
  <si>
    <t>10.4 Examen / Colocviu</t>
  </si>
  <si>
    <t>Completitudinea şi corectitudinea cunoştinţelor privind protocoalele standard și interfețele de comunicație. 
Gradul de asimilare a limbajului de specialitate şi capacitatea de comunicare a cunoștințelor de specialitate.
Capacitatea de a prelucra datele și de a rezolva probleme specifice.</t>
  </si>
  <si>
    <t>- 1 test de evaluare formativ , S7</t>
  </si>
  <si>
    <t>20%</t>
  </si>
  <si>
    <t>- test de evaluare sumativ, test grilă (verificare finală).</t>
  </si>
  <si>
    <t>80%</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</si>
  <si>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</si>
  <si>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</si>
  <si>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</si>
  <si>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</si>
  <si>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</si>
  <si>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test de evaluare.</t>
  </si>
  <si>
    <t>10.5c Proiect</t>
  </si>
  <si>
    <t>Participarea la activitatea de proiectare, capacitatea de documentare, aplicarea cunoștințelor în activitatea de proiectare.</t>
  </si>
  <si>
    <t>- efectuarea activității de proiectare;
- finalizarea proiectului;
- susținerea proiectului.</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</si>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</sst>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sz val="12"/>
      <color rgb="FFFF0000"/>
      <name val="Arial"/>
    </font>
    <font>
      <b/>
      <sz val="12"/>
      <color rgb="FF000000"/>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7">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2" fillId="3" borderId="1" xfId="0" applyFont="1" applyFill="1" applyBorder="1" applyAlignment="1">
      <alignment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horizontal="right" vertical="center" wrapText="1"/>
    </xf>
    <xf numFmtId="0" fontId="3" fillId="3" borderId="1" xfId="0"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49" fontId="2" fillId="3" borderId="4" xfId="0" applyNumberFormat="1" applyFont="1" applyFill="1" applyBorder="1" applyAlignment="1">
      <alignment vertical="center" wrapText="1"/>
    </xf>
    <xf numFmtId="49" fontId="2" fillId="3" borderId="13" xfId="0" applyNumberFormat="1" applyFont="1" applyFill="1" applyBorder="1" applyAlignment="1">
      <alignment horizontal="center" vertical="center" wrapText="1"/>
    </xf>
    <xf numFmtId="9" fontId="3"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9" fontId="3" fillId="3" borderId="1" xfId="0" applyNumberFormat="1" applyFont="1" applyFill="1" applyBorder="1" applyAlignment="1">
      <alignment horizontal="center" vertical="center" wrapText="1"/>
    </xf>
    <xf numFmtId="49" fontId="2" fillId="0" borderId="1" xfId="0" applyNumberFormat="1" applyFont="1" applyBorder="1" applyAlignment="1">
      <alignment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4.xlsx" TargetMode="External"/><Relationship Id="rId1" Type="http://schemas.openxmlformats.org/officeDocument/2006/relationships/externalLinkPath" Target="/Users/Madalin/Downloads/FD%20AIA%20-%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IRA"/>
      <sheetName val="TD"/>
      <sheetName val="PATR"/>
      <sheetName val="DELTS"/>
      <sheetName val="CSC"/>
      <sheetName val="MAN"/>
      <sheetName val="PEPD"/>
      <sheetName val="EPD"/>
      <sheetName val="SCR"/>
      <sheetName val="FAC"/>
      <sheetName val="SDAMC"/>
      <sheetName val="RC"/>
      <sheetName val="SBC"/>
      <sheetName val="SAA"/>
      <sheetName val="SAR"/>
      <sheetName val="CDP"/>
      <sheetName val="SPRM"/>
      <sheetName val="RNLF"/>
      <sheetName val="SIAD"/>
      <sheetName val="PAI"/>
      <sheetName val="IRA-Pr"/>
      <sheetName val="PATR-Pr"/>
      <sheetName val="SBC-Pr"/>
      <sheetName val="EA-AD I"/>
      <sheetName val="EA-AD I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1">
          <cell r="C1" t="str">
            <v>Anul universitar: 2025-2026</v>
          </cell>
        </row>
        <row r="2">
          <cell r="B2" t="str">
            <v>Ingineria sistemelor</v>
          </cell>
        </row>
        <row r="3">
          <cell r="B3" t="str">
            <v>Licență</v>
          </cell>
        </row>
        <row r="4">
          <cell r="B4">
            <v>4</v>
          </cell>
        </row>
        <row r="5">
          <cell r="C5" t="str">
            <v>Automatică și Informatică Aplicată</v>
          </cell>
        </row>
        <row r="8">
          <cell r="A8">
            <v>1</v>
          </cell>
          <cell r="C8" t="str">
            <v>Ingineria reglării automate</v>
          </cell>
          <cell r="D8" t="str">
            <v>Control Engineering</v>
          </cell>
          <cell r="E8" t="str">
            <v>AIA401</v>
          </cell>
          <cell r="F8" t="str">
            <v>DI</v>
          </cell>
          <cell r="G8" t="str">
            <v>DD</v>
          </cell>
          <cell r="H8">
            <v>2</v>
          </cell>
          <cell r="I8">
            <v>0</v>
          </cell>
          <cell r="J8">
            <v>2</v>
          </cell>
          <cell r="K8">
            <v>0</v>
          </cell>
          <cell r="L8">
            <v>44</v>
          </cell>
          <cell r="M8" t="str">
            <v>E</v>
          </cell>
          <cell r="N8">
            <v>4</v>
          </cell>
        </row>
        <row r="9">
          <cell r="A9">
            <v>1</v>
          </cell>
          <cell r="C9" t="str">
            <v>Transmisia datelor</v>
          </cell>
          <cell r="D9" t="str">
            <v>Data Transmission</v>
          </cell>
          <cell r="E9" t="str">
            <v>AIA402</v>
          </cell>
          <cell r="F9" t="str">
            <v>DI</v>
          </cell>
          <cell r="G9" t="str">
            <v>DS</v>
          </cell>
          <cell r="H9">
            <v>2</v>
          </cell>
          <cell r="I9">
            <v>0</v>
          </cell>
          <cell r="J9">
            <v>2</v>
          </cell>
          <cell r="K9">
            <v>0</v>
          </cell>
          <cell r="L9">
            <v>44</v>
          </cell>
          <cell r="M9" t="str">
            <v>E</v>
          </cell>
          <cell r="N9">
            <v>4</v>
          </cell>
        </row>
        <row r="10">
          <cell r="A10">
            <v>1</v>
          </cell>
          <cell r="C10" t="str">
            <v>Programarea aplicațiilor de timp real</v>
          </cell>
          <cell r="D10" t="str">
            <v>Real-Time Application Programming</v>
          </cell>
          <cell r="E10" t="str">
            <v>AIA403</v>
          </cell>
          <cell r="F10" t="str">
            <v>DI</v>
          </cell>
          <cell r="G10" t="str">
            <v>DS</v>
          </cell>
          <cell r="H10">
            <v>3</v>
          </cell>
          <cell r="I10">
            <v>0</v>
          </cell>
          <cell r="J10">
            <v>2</v>
          </cell>
          <cell r="K10">
            <v>0</v>
          </cell>
          <cell r="L10">
            <v>55</v>
          </cell>
          <cell r="M10" t="str">
            <v>E</v>
          </cell>
          <cell r="N10">
            <v>5</v>
          </cell>
        </row>
        <row r="11">
          <cell r="A11">
            <v>1</v>
          </cell>
          <cell r="C11" t="str">
            <v>Documentarea și elaborarea lucrărilor tehnico-științifice</v>
          </cell>
          <cell r="D11" t="str">
            <v>Writing Technical Reports and Scientific Papers</v>
          </cell>
          <cell r="E11" t="str">
            <v>AIA404</v>
          </cell>
          <cell r="F11" t="str">
            <v>DI</v>
          </cell>
          <cell r="G11" t="str">
            <v>DC</v>
          </cell>
          <cell r="H11">
            <v>1</v>
          </cell>
          <cell r="I11">
            <v>0</v>
          </cell>
          <cell r="J11">
            <v>0</v>
          </cell>
          <cell r="K11">
            <v>0</v>
          </cell>
          <cell r="L11">
            <v>36</v>
          </cell>
          <cell r="M11" t="str">
            <v>C</v>
          </cell>
          <cell r="N11">
            <v>2</v>
          </cell>
        </row>
        <row r="12">
          <cell r="A12">
            <v>2</v>
          </cell>
          <cell r="C12" t="str">
            <v>Comunicații în sisteme de conducere</v>
          </cell>
          <cell r="D12" t="str">
            <v>Communications for Control Systems</v>
          </cell>
          <cell r="E12" t="str">
            <v>AIA405</v>
          </cell>
          <cell r="F12" t="str">
            <v>DI</v>
          </cell>
          <cell r="G12" t="str">
            <v>DS</v>
          </cell>
          <cell r="H12">
            <v>2</v>
          </cell>
          <cell r="I12">
            <v>0</v>
          </cell>
          <cell r="J12">
            <v>2</v>
          </cell>
          <cell r="K12">
            <v>1</v>
          </cell>
          <cell r="L12">
            <v>55</v>
          </cell>
          <cell r="M12" t="str">
            <v>C</v>
          </cell>
          <cell r="N12">
            <v>5</v>
          </cell>
        </row>
        <row r="13">
          <cell r="A13">
            <v>2</v>
          </cell>
          <cell r="C13" t="str">
            <v>Management</v>
          </cell>
          <cell r="D13" t="str">
            <v>Management</v>
          </cell>
          <cell r="E13" t="str">
            <v>AIA406</v>
          </cell>
          <cell r="F13" t="str">
            <v>DI</v>
          </cell>
          <cell r="G13" t="str">
            <v>DC</v>
          </cell>
          <cell r="H13">
            <v>2</v>
          </cell>
          <cell r="I13">
            <v>0</v>
          </cell>
          <cell r="J13">
            <v>1</v>
          </cell>
          <cell r="K13">
            <v>0</v>
          </cell>
          <cell r="L13">
            <v>33</v>
          </cell>
          <cell r="M13" t="str">
            <v>C</v>
          </cell>
          <cell r="N13">
            <v>3</v>
          </cell>
        </row>
        <row r="14">
          <cell r="A14">
            <v>2</v>
          </cell>
          <cell r="C14" t="str">
            <v>Elaborarea proiectului de diplomă</v>
          </cell>
          <cell r="D14" t="str">
            <v>Research and Development for Diploma Project</v>
          </cell>
          <cell r="E14" t="str">
            <v>AIA407</v>
          </cell>
          <cell r="F14" t="str">
            <v>DI</v>
          </cell>
          <cell r="G14" t="str">
            <v>DS</v>
          </cell>
          <cell r="H14">
            <v>0</v>
          </cell>
          <cell r="I14">
            <v>0</v>
          </cell>
          <cell r="J14">
            <v>0</v>
          </cell>
          <cell r="K14">
            <v>4</v>
          </cell>
          <cell r="L14">
            <v>44</v>
          </cell>
          <cell r="M14" t="str">
            <v>C</v>
          </cell>
          <cell r="N14">
            <v>4</v>
          </cell>
        </row>
        <row r="15">
          <cell r="A15">
            <v>1</v>
          </cell>
          <cell r="C15" t="str">
            <v>Practică pentru elaborarea proiectului de diplomă</v>
          </cell>
          <cell r="D15" t="str">
            <v>Practical Training for Diploma Project</v>
          </cell>
          <cell r="E15" t="str">
            <v>AIA408</v>
          </cell>
          <cell r="F15" t="str">
            <v>DI</v>
          </cell>
          <cell r="G15" t="str">
            <v>DS</v>
          </cell>
          <cell r="H15">
            <v>0</v>
          </cell>
          <cell r="I15">
            <v>0</v>
          </cell>
          <cell r="J15">
            <v>0</v>
          </cell>
          <cell r="K15">
            <v>0</v>
          </cell>
          <cell r="L15">
            <v>15</v>
          </cell>
          <cell r="M15" t="str">
            <v>VP
 A/R</v>
          </cell>
          <cell r="N15">
            <v>3</v>
          </cell>
        </row>
        <row r="16">
          <cell r="A16">
            <v>1</v>
          </cell>
          <cell r="C16" t="str">
            <v>Sisteme de conducere a roboților</v>
          </cell>
          <cell r="D16" t="str">
            <v>Robot Control Systems</v>
          </cell>
          <cell r="E16" t="str">
            <v>A409</v>
          </cell>
          <cell r="F16" t="str">
            <v>DO</v>
          </cell>
          <cell r="G16" t="str">
            <v>DS</v>
          </cell>
          <cell r="H16">
            <v>2</v>
          </cell>
          <cell r="I16">
            <v>0</v>
          </cell>
          <cell r="J16">
            <v>2</v>
          </cell>
          <cell r="K16">
            <v>0</v>
          </cell>
          <cell r="L16">
            <v>44</v>
          </cell>
          <cell r="M16" t="str">
            <v>C</v>
          </cell>
          <cell r="N16">
            <v>4</v>
          </cell>
        </row>
        <row r="17">
          <cell r="A17">
            <v>1</v>
          </cell>
          <cell r="C17" t="str">
            <v>Fabricație asistată de calculator</v>
          </cell>
          <cell r="D17" t="str">
            <v>Computer Aided Manufacturing</v>
          </cell>
          <cell r="E17" t="str">
            <v>A410</v>
          </cell>
          <cell r="F17" t="str">
            <v>DO</v>
          </cell>
          <cell r="G17" t="str">
            <v>DS</v>
          </cell>
          <cell r="H17">
            <v>2</v>
          </cell>
          <cell r="I17">
            <v>0</v>
          </cell>
          <cell r="J17">
            <v>2</v>
          </cell>
          <cell r="K17">
            <v>0</v>
          </cell>
          <cell r="L17">
            <v>44</v>
          </cell>
          <cell r="M17" t="str">
            <v>C</v>
          </cell>
          <cell r="N17">
            <v>4</v>
          </cell>
        </row>
        <row r="18">
          <cell r="A18">
            <v>1</v>
          </cell>
          <cell r="C18" t="str">
            <v>Sisteme distribuite de achiziție, monitorizare și conducere</v>
          </cell>
          <cell r="D18" t="str">
            <v>Supervisory Control and Data Acquisition</v>
          </cell>
          <cell r="E18" t="str">
            <v>A411</v>
          </cell>
          <cell r="F18" t="str">
            <v>DO</v>
          </cell>
          <cell r="G18" t="str">
            <v>DS</v>
          </cell>
          <cell r="H18">
            <v>2</v>
          </cell>
          <cell r="I18">
            <v>0</v>
          </cell>
          <cell r="J18">
            <v>2</v>
          </cell>
          <cell r="K18">
            <v>0</v>
          </cell>
          <cell r="L18">
            <v>44</v>
          </cell>
          <cell r="M18" t="str">
            <v>C</v>
          </cell>
          <cell r="N18">
            <v>4</v>
          </cell>
        </row>
        <row r="19">
          <cell r="A19">
            <v>1</v>
          </cell>
          <cell r="C19" t="str">
            <v>Rețele de calculatoare</v>
          </cell>
          <cell r="D19" t="str">
            <v>Computer Networks</v>
          </cell>
          <cell r="E19" t="str">
            <v>IA412</v>
          </cell>
          <cell r="F19" t="str">
            <v>DO</v>
          </cell>
          <cell r="G19" t="str">
            <v>DD</v>
          </cell>
          <cell r="H19">
            <v>2</v>
          </cell>
          <cell r="I19">
            <v>0</v>
          </cell>
          <cell r="J19">
            <v>2</v>
          </cell>
          <cell r="K19">
            <v>0</v>
          </cell>
          <cell r="L19">
            <v>44</v>
          </cell>
          <cell r="M19" t="str">
            <v>C</v>
          </cell>
          <cell r="N19">
            <v>4</v>
          </cell>
        </row>
        <row r="20">
          <cell r="A20">
            <v>1</v>
          </cell>
          <cell r="C20" t="str">
            <v>Sisteme bazate pe cunoaștere</v>
          </cell>
          <cell r="D20" t="str">
            <v>Knowledge Based Systems</v>
          </cell>
          <cell r="E20" t="str">
            <v>IA413</v>
          </cell>
          <cell r="F20" t="str">
            <v>DO</v>
          </cell>
          <cell r="G20" t="str">
            <v>DS</v>
          </cell>
          <cell r="H20">
            <v>2</v>
          </cell>
          <cell r="I20">
            <v>0</v>
          </cell>
          <cell r="J20">
            <v>2</v>
          </cell>
          <cell r="K20">
            <v>0</v>
          </cell>
          <cell r="L20">
            <v>44</v>
          </cell>
          <cell r="M20" t="str">
            <v>C</v>
          </cell>
          <cell r="N20">
            <v>4</v>
          </cell>
        </row>
        <row r="21">
          <cell r="A21">
            <v>1</v>
          </cell>
          <cell r="C21" t="str">
            <v>Sisteme de așteptare și aplicații</v>
          </cell>
          <cell r="D21" t="str">
            <v>Queuing Systems and Applications</v>
          </cell>
          <cell r="E21" t="str">
            <v>IA414</v>
          </cell>
          <cell r="F21" t="str">
            <v>DO</v>
          </cell>
          <cell r="G21" t="str">
            <v>DS</v>
          </cell>
          <cell r="H21">
            <v>2</v>
          </cell>
          <cell r="I21">
            <v>0</v>
          </cell>
          <cell r="J21">
            <v>2</v>
          </cell>
          <cell r="K21">
            <v>0</v>
          </cell>
          <cell r="L21">
            <v>44</v>
          </cell>
          <cell r="M21" t="str">
            <v>C</v>
          </cell>
          <cell r="N21">
            <v>4</v>
          </cell>
        </row>
        <row r="22">
          <cell r="A22">
            <v>2</v>
          </cell>
          <cell r="C22" t="str">
            <v>Sisteme adaptive și robuste</v>
          </cell>
          <cell r="D22" t="str">
            <v>Adaptive and Robust Control</v>
          </cell>
          <cell r="E22" t="str">
            <v>A415</v>
          </cell>
          <cell r="F22" t="str">
            <v>DO</v>
          </cell>
          <cell r="G22" t="str">
            <v>DS</v>
          </cell>
          <cell r="H22">
            <v>2</v>
          </cell>
          <cell r="I22">
            <v>0</v>
          </cell>
          <cell r="J22">
            <v>2</v>
          </cell>
          <cell r="K22">
            <v>0</v>
          </cell>
          <cell r="L22">
            <v>69</v>
          </cell>
          <cell r="M22" t="str">
            <v>E</v>
          </cell>
          <cell r="N22">
            <v>5</v>
          </cell>
        </row>
        <row r="23">
          <cell r="A23">
            <v>2</v>
          </cell>
          <cell r="C23" t="str">
            <v>Controlul la distanță al proceselor</v>
          </cell>
          <cell r="D23" t="str">
            <v>Process Remote Control</v>
          </cell>
          <cell r="E23" t="str">
            <v>A416</v>
          </cell>
          <cell r="F23" t="str">
            <v>DO</v>
          </cell>
          <cell r="G23" t="str">
            <v>DS</v>
          </cell>
          <cell r="H23">
            <v>2</v>
          </cell>
          <cell r="I23">
            <v>0</v>
          </cell>
          <cell r="J23">
            <v>2</v>
          </cell>
          <cell r="K23">
            <v>0</v>
          </cell>
          <cell r="L23">
            <v>69</v>
          </cell>
          <cell r="M23" t="str">
            <v>E</v>
          </cell>
          <cell r="N23">
            <v>5</v>
          </cell>
        </row>
        <row r="24">
          <cell r="A24">
            <v>2</v>
          </cell>
          <cell r="C24" t="str">
            <v>Strategii de planificare a roboţilor mobili</v>
          </cell>
          <cell r="D24" t="str">
            <v>Strategies for Planning and Control of Mobile Robots</v>
          </cell>
          <cell r="E24" t="str">
            <v>A417</v>
          </cell>
          <cell r="F24" t="str">
            <v>DO</v>
          </cell>
          <cell r="G24" t="str">
            <v>DS</v>
          </cell>
          <cell r="H24">
            <v>2</v>
          </cell>
          <cell r="I24">
            <v>0</v>
          </cell>
          <cell r="J24">
            <v>2</v>
          </cell>
          <cell r="K24">
            <v>0</v>
          </cell>
          <cell r="L24">
            <v>69</v>
          </cell>
          <cell r="M24" t="str">
            <v>E</v>
          </cell>
          <cell r="N24">
            <v>5</v>
          </cell>
        </row>
        <row r="25">
          <cell r="A25">
            <v>2</v>
          </cell>
          <cell r="C25" t="str">
            <v>Rețele neuronale și logică fuzzy</v>
          </cell>
          <cell r="D25" t="str">
            <v>Neural Networks and Fuzzy Logic</v>
          </cell>
          <cell r="E25" t="str">
            <v>IA418</v>
          </cell>
          <cell r="F25" t="str">
            <v>DO</v>
          </cell>
          <cell r="G25" t="str">
            <v>DS</v>
          </cell>
          <cell r="H25">
            <v>2</v>
          </cell>
          <cell r="I25">
            <v>0</v>
          </cell>
          <cell r="J25">
            <v>2</v>
          </cell>
          <cell r="K25">
            <v>0</v>
          </cell>
          <cell r="L25">
            <v>69</v>
          </cell>
          <cell r="M25" t="str">
            <v>E</v>
          </cell>
          <cell r="N25">
            <v>5</v>
          </cell>
        </row>
        <row r="26">
          <cell r="A26">
            <v>2</v>
          </cell>
          <cell r="C26" t="str">
            <v>Sisteme de inteligență artificială distribuite</v>
          </cell>
          <cell r="D26" t="str">
            <v>Distributed Artificial Intelligence Systems</v>
          </cell>
          <cell r="E26" t="str">
            <v>IA419</v>
          </cell>
          <cell r="F26" t="str">
            <v>DO</v>
          </cell>
          <cell r="G26" t="str">
            <v>DS</v>
          </cell>
          <cell r="H26">
            <v>2</v>
          </cell>
          <cell r="I26">
            <v>0</v>
          </cell>
          <cell r="J26">
            <v>2</v>
          </cell>
          <cell r="K26">
            <v>0</v>
          </cell>
          <cell r="L26">
            <v>69</v>
          </cell>
          <cell r="M26" t="str">
            <v>E</v>
          </cell>
          <cell r="N26">
            <v>5</v>
          </cell>
        </row>
        <row r="27">
          <cell r="A27">
            <v>2</v>
          </cell>
          <cell r="C27" t="str">
            <v>Programarea aplicațiilor internet</v>
          </cell>
          <cell r="D27" t="str">
            <v>Internet Applications Programming</v>
          </cell>
          <cell r="E27" t="str">
            <v>IA420</v>
          </cell>
          <cell r="F27" t="str">
            <v>DO</v>
          </cell>
          <cell r="G27" t="str">
            <v>DS</v>
          </cell>
          <cell r="H27">
            <v>2</v>
          </cell>
          <cell r="I27">
            <v>0</v>
          </cell>
          <cell r="J27">
            <v>2</v>
          </cell>
          <cell r="K27">
            <v>0</v>
          </cell>
          <cell r="L27">
            <v>69</v>
          </cell>
          <cell r="M27" t="str">
            <v>E</v>
          </cell>
          <cell r="N27">
            <v>5</v>
          </cell>
        </row>
        <row r="28">
          <cell r="A28">
            <v>2</v>
          </cell>
          <cell r="C28" t="str">
            <v>Ingineria reglării automate - proiect</v>
          </cell>
          <cell r="D28" t="str">
            <v>Control Engineering – project work</v>
          </cell>
          <cell r="E28" t="str">
            <v>AIA421</v>
          </cell>
          <cell r="F28" t="str">
            <v>DO</v>
          </cell>
          <cell r="G28" t="str">
            <v>DD</v>
          </cell>
          <cell r="H28">
            <v>0</v>
          </cell>
          <cell r="I28">
            <v>0</v>
          </cell>
          <cell r="J28">
            <v>0</v>
          </cell>
          <cell r="K28">
            <v>2</v>
          </cell>
          <cell r="L28">
            <v>47</v>
          </cell>
          <cell r="M28" t="str">
            <v>C</v>
          </cell>
          <cell r="N28">
            <v>3</v>
          </cell>
        </row>
        <row r="29">
          <cell r="A29">
            <v>2</v>
          </cell>
          <cell r="C29" t="str">
            <v>Programarea aplicațiilor de timp real - proiect</v>
          </cell>
          <cell r="D29" t="str">
            <v>Real-Time Application Programming – project work</v>
          </cell>
          <cell r="E29" t="str">
            <v>AIA422</v>
          </cell>
          <cell r="F29" t="str">
            <v>DO</v>
          </cell>
          <cell r="G29" t="str">
            <v>DS</v>
          </cell>
          <cell r="H29">
            <v>0</v>
          </cell>
          <cell r="I29">
            <v>0</v>
          </cell>
          <cell r="J29">
            <v>0</v>
          </cell>
          <cell r="K29">
            <v>2</v>
          </cell>
          <cell r="L29">
            <v>47</v>
          </cell>
          <cell r="M29" t="str">
            <v>C</v>
          </cell>
          <cell r="N29">
            <v>3</v>
          </cell>
        </row>
        <row r="30">
          <cell r="A30">
            <v>2</v>
          </cell>
          <cell r="C30" t="str">
            <v>Sisteme bazate pe cunoaștere - proiect</v>
          </cell>
          <cell r="D30" t="str">
            <v>Knowledge Based Systems – project work</v>
          </cell>
          <cell r="E30" t="str">
            <v>AIA423</v>
          </cell>
          <cell r="F30" t="str">
            <v>DO</v>
          </cell>
          <cell r="G30" t="str">
            <v>DS</v>
          </cell>
          <cell r="H30">
            <v>0</v>
          </cell>
          <cell r="I30">
            <v>0</v>
          </cell>
          <cell r="J30">
            <v>0</v>
          </cell>
          <cell r="K30">
            <v>2</v>
          </cell>
          <cell r="L30">
            <v>47</v>
          </cell>
          <cell r="M30" t="str">
            <v>C</v>
          </cell>
          <cell r="N30">
            <v>3</v>
          </cell>
        </row>
        <row r="31">
          <cell r="A31">
            <v>1</v>
          </cell>
          <cell r="C31" t="str">
            <v>Educație antreprenorială - Afaceri digitale I</v>
          </cell>
          <cell r="D31" t="str">
            <v>Antrepreneurship Education - Digital Business I</v>
          </cell>
          <cell r="E31" t="str">
            <v>AIA424</v>
          </cell>
          <cell r="F31" t="str">
            <v>DL</v>
          </cell>
          <cell r="G31" t="str">
            <v>DC</v>
          </cell>
          <cell r="H31">
            <v>1</v>
          </cell>
          <cell r="I31">
            <v>0</v>
          </cell>
          <cell r="J31">
            <v>2</v>
          </cell>
          <cell r="K31">
            <v>0</v>
          </cell>
          <cell r="L31">
            <v>83</v>
          </cell>
          <cell r="M31" t="str">
            <v>C</v>
          </cell>
          <cell r="N31">
            <v>5</v>
          </cell>
        </row>
        <row r="32">
          <cell r="A32">
            <v>2</v>
          </cell>
          <cell r="C32" t="str">
            <v>Educație antreprenorială - Afaceri digitale II</v>
          </cell>
          <cell r="D32" t="str">
            <v>Antrepreneurship Education - Digital Business II</v>
          </cell>
          <cell r="E32" t="str">
            <v>AIA425</v>
          </cell>
          <cell r="F32" t="str">
            <v>DL</v>
          </cell>
          <cell r="G32" t="str">
            <v>DC</v>
          </cell>
          <cell r="H32">
            <v>2</v>
          </cell>
          <cell r="I32">
            <v>0</v>
          </cell>
          <cell r="J32">
            <v>0</v>
          </cell>
          <cell r="K32">
            <v>1</v>
          </cell>
          <cell r="L32">
            <v>33</v>
          </cell>
          <cell r="M32" t="str">
            <v>C</v>
          </cell>
          <cell r="N32">
            <v>3</v>
          </cell>
        </row>
        <row r="35">
          <cell r="C35">
            <v>45915</v>
          </cell>
        </row>
        <row r="36">
          <cell r="C36">
            <v>45918</v>
          </cell>
        </row>
        <row r="37">
          <cell r="C37" t="str">
            <v>Conf.dr.ing. Mihai POSTOLACHE</v>
          </cell>
        </row>
        <row r="38">
          <cell r="C38"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7EB6-1C53-458D-AFF8-36E96605FF20}">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INDEX([1]Date!D8:D32, MATCH(E12,[1]Date!C8:C32,0),0)</f>
        <v>Communications for Control Systems</v>
      </c>
      <c r="F13" s="18"/>
      <c r="G13" s="18"/>
      <c r="H13" s="18"/>
      <c r="I13" s="18"/>
      <c r="J13" s="18"/>
      <c r="K13" s="18"/>
      <c r="L13" s="18"/>
      <c r="M13" s="19"/>
      <c r="N13" s="5"/>
    </row>
    <row r="14" spans="1:14" ht="15.5" x14ac:dyDescent="0.35">
      <c r="A14" s="7" t="s">
        <v>15</v>
      </c>
      <c r="B14" s="8"/>
      <c r="C14" s="8"/>
      <c r="D14" s="10"/>
      <c r="E14" s="21" t="str">
        <f t="array" aca="1" ref="E14" ca="1">INDEX([1]Date!E8:E32, MATCH(E12,[1]Date!C8:C32,0),0)</f>
        <v>AIA405</v>
      </c>
      <c r="F14" s="18"/>
      <c r="G14" s="18"/>
      <c r="H14" s="18"/>
      <c r="I14" s="7" t="s">
        <v>16</v>
      </c>
      <c r="J14" s="8"/>
      <c r="K14" s="8"/>
      <c r="L14" s="10"/>
      <c r="M14" s="22" t="str">
        <f t="array" aca="1" ref="M14" ca="1">INDEX([1]Date!G8:G32, MATCH(E12,[1]Date!C8:C32,0),0)</f>
        <v>DS</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x14ac:dyDescent="0.35">
      <c r="A17" s="13" t="s">
        <v>19</v>
      </c>
      <c r="B17" s="14"/>
      <c r="C17" s="14"/>
      <c r="D17" s="15"/>
      <c r="E17" s="23" t="s">
        <v>18</v>
      </c>
      <c r="F17" s="8"/>
      <c r="G17" s="8"/>
      <c r="H17" s="8"/>
      <c r="I17" s="8"/>
      <c r="J17" s="8"/>
      <c r="K17" s="8"/>
      <c r="L17" s="8"/>
      <c r="M17" s="10"/>
      <c r="N17" s="5"/>
    </row>
    <row r="18" spans="1:14" ht="15.5" x14ac:dyDescent="0.35">
      <c r="A18" s="25"/>
      <c r="B18" s="2"/>
      <c r="C18" s="2"/>
      <c r="D18" s="26"/>
      <c r="E18" s="23" t="s">
        <v>20</v>
      </c>
      <c r="F18" s="8"/>
      <c r="G18" s="8"/>
      <c r="H18" s="8"/>
      <c r="I18" s="8"/>
      <c r="J18" s="8"/>
      <c r="K18" s="8"/>
      <c r="L18" s="8"/>
      <c r="M18" s="10"/>
      <c r="N18" s="5"/>
    </row>
    <row r="19" spans="1:14" ht="15.5" x14ac:dyDescent="0.35">
      <c r="A19" s="25"/>
      <c r="B19" s="2"/>
      <c r="C19" s="2"/>
      <c r="D19" s="26"/>
      <c r="E19" s="23" t="s">
        <v>21</v>
      </c>
      <c r="F19" s="8"/>
      <c r="G19" s="8"/>
      <c r="H19" s="8"/>
      <c r="I19" s="8"/>
      <c r="J19" s="8"/>
      <c r="K19" s="8"/>
      <c r="L19" s="8"/>
      <c r="M19" s="10"/>
      <c r="N19" s="5"/>
    </row>
    <row r="20" spans="1:14" ht="15.5" x14ac:dyDescent="0.35">
      <c r="A20" s="25"/>
      <c r="B20" s="2"/>
      <c r="C20" s="2"/>
      <c r="D20" s="26"/>
      <c r="E20" s="23" t="s">
        <v>22</v>
      </c>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23</v>
      </c>
      <c r="B23" s="10"/>
      <c r="C23" s="27">
        <f>[1]Date!B4</f>
        <v>4</v>
      </c>
      <c r="D23" s="28" t="s">
        <v>24</v>
      </c>
      <c r="E23" s="27">
        <f t="array" aca="1" ref="E23" ca="1">INDEX([1]Date!A8:A32, MATCH(E12,[1]Date!C8:C32,0),0)</f>
        <v>2</v>
      </c>
      <c r="F23" s="29" t="s">
        <v>25</v>
      </c>
      <c r="G23" s="8"/>
      <c r="H23" s="10"/>
      <c r="I23" s="22" t="str">
        <f t="array" aca="1" ref="I23" ca="1">INDEX([1]Date!M8:M32, MATCH(E12,[1]Date!C8:C32,0),0)</f>
        <v>C</v>
      </c>
      <c r="J23" s="29" t="s">
        <v>26</v>
      </c>
      <c r="K23" s="8"/>
      <c r="L23" s="10"/>
      <c r="M23" s="27" t="str">
        <f t="array" aca="1" ref="M23" ca="1">INDEX([1]Date!F8:F32, MATCH(E12,[1]Date!C8:C32,0),0)</f>
        <v>DI</v>
      </c>
      <c r="N23" s="5"/>
    </row>
    <row r="24" spans="1:14" ht="15.5" x14ac:dyDescent="0.35">
      <c r="A24" s="12"/>
      <c r="B24" s="2"/>
      <c r="C24" s="2"/>
      <c r="D24" s="2"/>
      <c r="E24" s="2"/>
      <c r="F24" s="2"/>
      <c r="G24" s="2"/>
      <c r="H24" s="2"/>
      <c r="I24" s="2"/>
      <c r="J24" s="2"/>
      <c r="K24" s="2"/>
      <c r="L24" s="2"/>
      <c r="M24" s="2"/>
      <c r="N24" s="5"/>
    </row>
    <row r="25" spans="1:14" ht="15.5" x14ac:dyDescent="0.35">
      <c r="A25" s="6" t="s">
        <v>27</v>
      </c>
      <c r="B25" s="2"/>
      <c r="C25" s="2"/>
      <c r="D25" s="2"/>
      <c r="E25" s="2"/>
      <c r="F25" s="2"/>
      <c r="G25" s="2"/>
      <c r="H25" s="2"/>
      <c r="I25" s="2"/>
      <c r="J25" s="2"/>
      <c r="K25" s="2"/>
      <c r="L25" s="2"/>
      <c r="M25" s="2"/>
      <c r="N25" s="30"/>
    </row>
    <row r="26" spans="1:14" ht="31" x14ac:dyDescent="0.35">
      <c r="A26" s="7" t="s">
        <v>28</v>
      </c>
      <c r="B26" s="10"/>
      <c r="C26" s="31">
        <f ca="1">SUM(E26+G26+I26+K26)</f>
        <v>5</v>
      </c>
      <c r="D26" s="28" t="s">
        <v>29</v>
      </c>
      <c r="E26" s="27">
        <f t="array" aca="1" ref="E26" ca="1">INDEX([1]Date!H8:H32, MATCH(E12,[1]Date!C8:C32,0),0)</f>
        <v>2</v>
      </c>
      <c r="F26" s="28" t="s">
        <v>30</v>
      </c>
      <c r="G26" s="27">
        <f t="array" aca="1" ref="G26" ca="1">INDEX([1]Date!I8:I32, MATCH(E12,[1]Date!C8:C32,0),0)</f>
        <v>0</v>
      </c>
      <c r="H26" s="28" t="s">
        <v>31</v>
      </c>
      <c r="I26" s="31">
        <f t="array" aca="1" ref="I26" ca="1">INDEX([1]Date!J8:J32, MATCH(E12,[1]Date!C8:C32,0),0)</f>
        <v>2</v>
      </c>
      <c r="J26" s="28" t="s">
        <v>32</v>
      </c>
      <c r="K26" s="27">
        <f t="array" aca="1" ref="K26" ca="1">INDEX([1]Date!K8:K32, MATCH(E12,[1]Date!C8:C32,0),0)</f>
        <v>1</v>
      </c>
      <c r="L26" s="7" t="s">
        <v>33</v>
      </c>
      <c r="M26" s="10"/>
      <c r="N26" s="30"/>
    </row>
    <row r="27" spans="1:14" ht="31" x14ac:dyDescent="0.35">
      <c r="A27" s="7" t="s">
        <v>34</v>
      </c>
      <c r="B27" s="10"/>
      <c r="C27" s="27">
        <f ca="1">C26*14</f>
        <v>70</v>
      </c>
      <c r="D27" s="28" t="s">
        <v>35</v>
      </c>
      <c r="E27" s="27">
        <f ca="1">E26*14</f>
        <v>28</v>
      </c>
      <c r="F27" s="28" t="s">
        <v>36</v>
      </c>
      <c r="G27" s="27">
        <f ca="1">G26*14</f>
        <v>0</v>
      </c>
      <c r="H27" s="28" t="s">
        <v>37</v>
      </c>
      <c r="I27" s="27">
        <f ca="1">I26*14</f>
        <v>28</v>
      </c>
      <c r="J27" s="28" t="s">
        <v>38</v>
      </c>
      <c r="K27" s="27">
        <f ca="1">K26*14</f>
        <v>14</v>
      </c>
      <c r="L27" s="28" t="s">
        <v>39</v>
      </c>
      <c r="M27" s="27">
        <v>0</v>
      </c>
      <c r="N27" s="5"/>
    </row>
    <row r="28" spans="1:14" ht="15.5" x14ac:dyDescent="0.35">
      <c r="A28" s="7" t="s">
        <v>40</v>
      </c>
      <c r="B28" s="8"/>
      <c r="C28" s="8"/>
      <c r="D28" s="8"/>
      <c r="E28" s="8"/>
      <c r="F28" s="8"/>
      <c r="G28" s="8"/>
      <c r="H28" s="8"/>
      <c r="I28" s="8"/>
      <c r="J28" s="8"/>
      <c r="K28" s="8"/>
      <c r="L28" s="10"/>
      <c r="M28" s="27" t="s">
        <v>41</v>
      </c>
      <c r="N28" s="5"/>
    </row>
    <row r="29" spans="1:14" ht="15.5" x14ac:dyDescent="0.35">
      <c r="A29" s="7" t="s">
        <v>42</v>
      </c>
      <c r="B29" s="8"/>
      <c r="C29" s="8"/>
      <c r="D29" s="8"/>
      <c r="E29" s="8"/>
      <c r="F29" s="8"/>
      <c r="G29" s="8"/>
      <c r="H29" s="8"/>
      <c r="I29" s="8"/>
      <c r="J29" s="8"/>
      <c r="K29" s="8"/>
      <c r="L29" s="10"/>
      <c r="M29" s="32">
        <v>20</v>
      </c>
      <c r="N29" s="5"/>
    </row>
    <row r="30" spans="1:14" ht="15.5" x14ac:dyDescent="0.35">
      <c r="A30" s="7" t="s">
        <v>43</v>
      </c>
      <c r="B30" s="8"/>
      <c r="C30" s="8"/>
      <c r="D30" s="8"/>
      <c r="E30" s="8"/>
      <c r="F30" s="8"/>
      <c r="G30" s="8"/>
      <c r="H30" s="8"/>
      <c r="I30" s="8"/>
      <c r="J30" s="8"/>
      <c r="K30" s="8"/>
      <c r="L30" s="10"/>
      <c r="M30" s="32">
        <v>15</v>
      </c>
      <c r="N30" s="5"/>
    </row>
    <row r="31" spans="1:14" ht="15.5" x14ac:dyDescent="0.35">
      <c r="A31" s="7" t="s">
        <v>44</v>
      </c>
      <c r="B31" s="8"/>
      <c r="C31" s="8"/>
      <c r="D31" s="8"/>
      <c r="E31" s="8"/>
      <c r="F31" s="8"/>
      <c r="G31" s="8"/>
      <c r="H31" s="8"/>
      <c r="I31" s="8"/>
      <c r="J31" s="8"/>
      <c r="K31" s="8"/>
      <c r="L31" s="10"/>
      <c r="M31" s="32">
        <v>20</v>
      </c>
      <c r="N31" s="5"/>
    </row>
    <row r="32" spans="1:14" ht="15.5" x14ac:dyDescent="0.35">
      <c r="A32" s="7" t="s">
        <v>45</v>
      </c>
      <c r="B32" s="8"/>
      <c r="C32" s="8"/>
      <c r="D32" s="8"/>
      <c r="E32" s="8"/>
      <c r="F32" s="8"/>
      <c r="G32" s="8"/>
      <c r="H32" s="8"/>
      <c r="I32" s="8"/>
      <c r="J32" s="8"/>
      <c r="K32" s="8"/>
      <c r="L32" s="10"/>
      <c r="M32" s="27">
        <f t="array" aca="1" ref="M32" ca="1">IF(INDEX([1]Date!M8:M32, MATCH(E12,[1]Date!C8:C32,0),0)="E",3,0)</f>
        <v>0</v>
      </c>
      <c r="N32" s="5"/>
    </row>
    <row r="33" spans="1:14" ht="15.5" x14ac:dyDescent="0.35">
      <c r="A33" s="7" t="s">
        <v>46</v>
      </c>
      <c r="B33" s="8"/>
      <c r="C33" s="8"/>
      <c r="D33" s="8"/>
      <c r="E33" s="8"/>
      <c r="F33" s="8"/>
      <c r="G33" s="8"/>
      <c r="H33" s="8"/>
      <c r="I33" s="8"/>
      <c r="J33" s="8"/>
      <c r="K33" s="8"/>
      <c r="L33" s="10"/>
      <c r="M33" s="27">
        <f ca="1">C34-SUM(M29:M31)</f>
        <v>0</v>
      </c>
      <c r="N33" s="5"/>
    </row>
    <row r="34" spans="1:14" ht="15.5" x14ac:dyDescent="0.35">
      <c r="A34" s="7" t="s">
        <v>47</v>
      </c>
      <c r="B34" s="10"/>
      <c r="C34" s="27">
        <f t="array" aca="1" ref="C34" ca="1">INDEX([1]Date!L8:L32, MATCH(E12,[1]Date!C8:C32,0),0)</f>
        <v>55</v>
      </c>
      <c r="D34" s="5"/>
      <c r="E34" s="5"/>
      <c r="F34" s="5"/>
      <c r="G34" s="5"/>
      <c r="H34" s="5"/>
      <c r="I34" s="5"/>
      <c r="J34" s="5"/>
      <c r="K34" s="5"/>
      <c r="L34" s="5"/>
      <c r="M34" s="5"/>
      <c r="N34" s="5"/>
    </row>
    <row r="35" spans="1:14" ht="15.5" x14ac:dyDescent="0.35">
      <c r="A35" s="7" t="s">
        <v>48</v>
      </c>
      <c r="B35" s="10"/>
      <c r="C35" s="27">
        <f ca="1">C27+C34</f>
        <v>125</v>
      </c>
      <c r="D35" s="5"/>
      <c r="E35" s="5"/>
      <c r="F35" s="5"/>
      <c r="G35" s="5"/>
      <c r="H35" s="5"/>
      <c r="I35" s="5"/>
      <c r="J35" s="5"/>
      <c r="K35" s="5"/>
      <c r="L35" s="5"/>
      <c r="M35" s="5"/>
      <c r="N35" s="5"/>
    </row>
    <row r="36" spans="1:14" ht="15.5" x14ac:dyDescent="0.35">
      <c r="A36" s="7" t="s">
        <v>49</v>
      </c>
      <c r="B36" s="10"/>
      <c r="C36" s="27">
        <f t="array" aca="1" ref="C36" ca="1">INDEX([1]Date!N8:N32, MATCH(E12,[1]Date!C8:C32,0),0)</f>
        <v>5</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50</v>
      </c>
      <c r="B38" s="2"/>
      <c r="C38" s="2"/>
      <c r="D38" s="2"/>
      <c r="E38" s="2"/>
      <c r="F38" s="2"/>
      <c r="G38" s="2"/>
      <c r="H38" s="2"/>
      <c r="I38" s="2"/>
      <c r="J38" s="2"/>
      <c r="K38" s="2"/>
      <c r="L38" s="2"/>
      <c r="M38" s="2"/>
      <c r="N38" s="30"/>
    </row>
    <row r="39" spans="1:14" ht="15.5" x14ac:dyDescent="0.35">
      <c r="A39" s="7" t="s">
        <v>51</v>
      </c>
      <c r="B39" s="10"/>
      <c r="C39" s="9" t="s">
        <v>52</v>
      </c>
      <c r="D39" s="8"/>
      <c r="E39" s="8"/>
      <c r="F39" s="8"/>
      <c r="G39" s="8"/>
      <c r="H39" s="8"/>
      <c r="I39" s="8"/>
      <c r="J39" s="8"/>
      <c r="K39" s="8"/>
      <c r="L39" s="8"/>
      <c r="M39" s="10"/>
      <c r="N39" s="30"/>
    </row>
    <row r="40" spans="1:14" ht="15.5" x14ac:dyDescent="0.35">
      <c r="A40" s="7" t="s">
        <v>53</v>
      </c>
      <c r="B40" s="10"/>
      <c r="C40" s="23" t="s">
        <v>54</v>
      </c>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55</v>
      </c>
      <c r="B42" s="2"/>
      <c r="C42" s="2"/>
      <c r="D42" s="2"/>
      <c r="E42" s="2"/>
      <c r="F42" s="2"/>
      <c r="G42" s="2"/>
      <c r="H42" s="2"/>
      <c r="I42" s="2"/>
      <c r="J42" s="2"/>
      <c r="K42" s="2"/>
      <c r="L42" s="2"/>
      <c r="M42" s="2"/>
      <c r="N42" s="30"/>
    </row>
    <row r="43" spans="1:14" ht="15.5" x14ac:dyDescent="0.35">
      <c r="A43" s="7" t="s">
        <v>56</v>
      </c>
      <c r="B43" s="10"/>
      <c r="C43" s="33" t="s">
        <v>57</v>
      </c>
      <c r="D43" s="8"/>
      <c r="E43" s="8"/>
      <c r="F43" s="8"/>
      <c r="G43" s="8"/>
      <c r="H43" s="8"/>
      <c r="I43" s="8"/>
      <c r="J43" s="8"/>
      <c r="K43" s="8"/>
      <c r="L43" s="8"/>
      <c r="M43" s="10"/>
      <c r="N43" s="30"/>
    </row>
    <row r="44" spans="1:14" ht="15.5" x14ac:dyDescent="0.35">
      <c r="A44" s="7" t="s">
        <v>58</v>
      </c>
      <c r="B44" s="10"/>
      <c r="C44" s="23" t="s">
        <v>59</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60</v>
      </c>
      <c r="B46" s="2"/>
      <c r="C46" s="2"/>
      <c r="D46" s="2"/>
      <c r="E46" s="2"/>
      <c r="F46" s="2"/>
      <c r="G46" s="2"/>
      <c r="H46" s="2"/>
      <c r="I46" s="2"/>
      <c r="J46" s="2"/>
      <c r="K46" s="2"/>
      <c r="L46" s="2"/>
      <c r="M46" s="2"/>
      <c r="N46" s="30"/>
    </row>
    <row r="47" spans="1:14" ht="62.25" customHeight="1" x14ac:dyDescent="0.35">
      <c r="A47" s="23" t="s">
        <v>61</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62</v>
      </c>
      <c r="B49" s="2"/>
      <c r="C49" s="2"/>
      <c r="D49" s="2"/>
      <c r="E49" s="2"/>
      <c r="F49" s="2"/>
      <c r="G49" s="2"/>
      <c r="H49" s="2"/>
      <c r="I49" s="2"/>
      <c r="J49" s="2"/>
      <c r="K49" s="2"/>
      <c r="L49" s="2"/>
      <c r="M49" s="2"/>
      <c r="N49" s="30"/>
    </row>
    <row r="50" spans="1:14" ht="15.5" x14ac:dyDescent="0.35">
      <c r="A50" s="34" t="s">
        <v>63</v>
      </c>
      <c r="B50" s="35" t="s">
        <v>64</v>
      </c>
      <c r="C50" s="8"/>
      <c r="D50" s="8"/>
      <c r="E50" s="8"/>
      <c r="F50" s="8"/>
      <c r="G50" s="8"/>
      <c r="H50" s="8"/>
      <c r="I50" s="8"/>
      <c r="J50" s="8"/>
      <c r="K50" s="8"/>
      <c r="L50" s="8"/>
      <c r="M50" s="10"/>
      <c r="N50" s="5"/>
    </row>
    <row r="51" spans="1:14" ht="332.25" customHeight="1" x14ac:dyDescent="0.35">
      <c r="A51" s="36"/>
      <c r="B51" s="37" t="s">
        <v>65</v>
      </c>
      <c r="C51" s="8"/>
      <c r="D51" s="8"/>
      <c r="E51" s="8"/>
      <c r="F51" s="8"/>
      <c r="G51" s="8"/>
      <c r="H51" s="8"/>
      <c r="I51" s="8"/>
      <c r="J51" s="8"/>
      <c r="K51" s="8"/>
      <c r="L51" s="8"/>
      <c r="M51" s="10"/>
      <c r="N51" s="5"/>
    </row>
    <row r="52" spans="1:14" ht="15.5" x14ac:dyDescent="0.35">
      <c r="A52" s="34" t="s">
        <v>66</v>
      </c>
      <c r="B52" s="35" t="s">
        <v>64</v>
      </c>
      <c r="C52" s="8"/>
      <c r="D52" s="8"/>
      <c r="E52" s="8"/>
      <c r="F52" s="8"/>
      <c r="G52" s="8"/>
      <c r="H52" s="8"/>
      <c r="I52" s="8"/>
      <c r="J52" s="8"/>
      <c r="K52" s="8"/>
      <c r="L52" s="8"/>
      <c r="M52" s="10"/>
      <c r="N52" s="5"/>
    </row>
    <row r="53" spans="1:14" ht="15.5" x14ac:dyDescent="0.35">
      <c r="A53" s="36"/>
      <c r="B53" s="37" t="s">
        <v>67</v>
      </c>
      <c r="C53" s="8"/>
      <c r="D53" s="8"/>
      <c r="E53" s="8"/>
      <c r="F53" s="8"/>
      <c r="G53" s="8"/>
      <c r="H53" s="8"/>
      <c r="I53" s="8"/>
      <c r="J53" s="8"/>
      <c r="K53" s="8"/>
      <c r="L53" s="8"/>
      <c r="M53" s="10"/>
      <c r="N53" s="5"/>
    </row>
    <row r="54" spans="1:14" ht="18" customHeight="1" x14ac:dyDescent="0.35">
      <c r="A54" s="34" t="s">
        <v>68</v>
      </c>
      <c r="B54" s="35" t="s">
        <v>64</v>
      </c>
      <c r="C54" s="8"/>
      <c r="D54" s="8"/>
      <c r="E54" s="8"/>
      <c r="F54" s="8"/>
      <c r="G54" s="8"/>
      <c r="H54" s="8"/>
      <c r="I54" s="8"/>
      <c r="J54" s="8"/>
      <c r="K54" s="8"/>
      <c r="L54" s="8"/>
      <c r="M54" s="10"/>
      <c r="N54" s="5"/>
    </row>
    <row r="55" spans="1:14" ht="15.5" x14ac:dyDescent="0.35">
      <c r="A55" s="36"/>
      <c r="B55" s="38" t="s">
        <v>69</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70</v>
      </c>
      <c r="B57" s="2"/>
      <c r="C57" s="2"/>
      <c r="D57" s="2"/>
      <c r="E57" s="2"/>
      <c r="F57" s="2"/>
      <c r="G57" s="2"/>
      <c r="H57" s="2"/>
      <c r="I57" s="2"/>
      <c r="J57" s="2"/>
      <c r="K57" s="2"/>
      <c r="L57" s="2"/>
      <c r="M57" s="2"/>
      <c r="N57" s="30"/>
    </row>
    <row r="58" spans="1:14" ht="53.25" customHeight="1" x14ac:dyDescent="0.35">
      <c r="A58" s="33" t="s">
        <v>71</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72</v>
      </c>
      <c r="B60" s="2"/>
      <c r="C60" s="2"/>
      <c r="D60" s="2"/>
      <c r="E60" s="2"/>
      <c r="F60" s="2"/>
      <c r="G60" s="2"/>
      <c r="H60" s="2"/>
      <c r="I60" s="2"/>
      <c r="J60" s="2"/>
      <c r="K60" s="2"/>
      <c r="L60" s="2"/>
      <c r="M60" s="2"/>
      <c r="N60" s="30"/>
    </row>
    <row r="61" spans="1:14" ht="24.75" customHeight="1" x14ac:dyDescent="0.35">
      <c r="A61" s="39" t="s">
        <v>73</v>
      </c>
      <c r="B61" s="8"/>
      <c r="C61" s="8"/>
      <c r="D61" s="8"/>
      <c r="E61" s="8"/>
      <c r="F61" s="8"/>
      <c r="G61" s="10"/>
      <c r="H61" s="39" t="s">
        <v>74</v>
      </c>
      <c r="I61" s="8"/>
      <c r="J61" s="8"/>
      <c r="K61" s="10"/>
      <c r="L61" s="39" t="s">
        <v>75</v>
      </c>
      <c r="M61" s="10"/>
      <c r="N61" s="30"/>
    </row>
    <row r="62" spans="1:14" ht="15.5" x14ac:dyDescent="0.35">
      <c r="A62" s="40" t="s">
        <v>76</v>
      </c>
      <c r="B62" s="23" t="s">
        <v>77</v>
      </c>
      <c r="C62" s="8"/>
      <c r="D62" s="8"/>
      <c r="E62" s="8"/>
      <c r="F62" s="8"/>
      <c r="G62" s="10"/>
      <c r="H62" s="41" t="s">
        <v>78</v>
      </c>
      <c r="I62" s="14"/>
      <c r="J62" s="14"/>
      <c r="K62" s="15"/>
      <c r="L62" s="42" t="s">
        <v>79</v>
      </c>
      <c r="M62" s="10"/>
      <c r="N62" s="5"/>
    </row>
    <row r="63" spans="1:14" ht="15.5" x14ac:dyDescent="0.35">
      <c r="A63" s="40" t="s">
        <v>80</v>
      </c>
      <c r="B63" s="23" t="s">
        <v>81</v>
      </c>
      <c r="C63" s="8"/>
      <c r="D63" s="8"/>
      <c r="E63" s="8"/>
      <c r="F63" s="8"/>
      <c r="G63" s="10"/>
      <c r="H63" s="25"/>
      <c r="I63" s="2"/>
      <c r="J63" s="2"/>
      <c r="K63" s="26"/>
      <c r="L63" s="42" t="s">
        <v>79</v>
      </c>
      <c r="M63" s="10"/>
      <c r="N63" s="5"/>
    </row>
    <row r="64" spans="1:14" ht="15.5" x14ac:dyDescent="0.35">
      <c r="A64" s="40" t="s">
        <v>82</v>
      </c>
      <c r="B64" s="23" t="s">
        <v>83</v>
      </c>
      <c r="C64" s="8"/>
      <c r="D64" s="8"/>
      <c r="E64" s="8"/>
      <c r="F64" s="8"/>
      <c r="G64" s="10"/>
      <c r="H64" s="25"/>
      <c r="I64" s="2"/>
      <c r="J64" s="2"/>
      <c r="K64" s="26"/>
      <c r="L64" s="42" t="s">
        <v>84</v>
      </c>
      <c r="M64" s="10"/>
      <c r="N64" s="5"/>
    </row>
    <row r="65" spans="1:14" ht="15.5" x14ac:dyDescent="0.35">
      <c r="A65" s="40" t="s">
        <v>85</v>
      </c>
      <c r="B65" s="23" t="s">
        <v>86</v>
      </c>
      <c r="C65" s="8"/>
      <c r="D65" s="8"/>
      <c r="E65" s="8"/>
      <c r="F65" s="8"/>
      <c r="G65" s="10"/>
      <c r="H65" s="25"/>
      <c r="I65" s="2"/>
      <c r="J65" s="2"/>
      <c r="K65" s="26"/>
      <c r="L65" s="42" t="s">
        <v>79</v>
      </c>
      <c r="M65" s="10"/>
      <c r="N65" s="5"/>
    </row>
    <row r="66" spans="1:14" ht="15.5" x14ac:dyDescent="0.35">
      <c r="A66" s="40" t="s">
        <v>87</v>
      </c>
      <c r="B66" s="23" t="s">
        <v>88</v>
      </c>
      <c r="C66" s="8"/>
      <c r="D66" s="8"/>
      <c r="E66" s="8"/>
      <c r="F66" s="8"/>
      <c r="G66" s="10"/>
      <c r="H66" s="25"/>
      <c r="I66" s="2"/>
      <c r="J66" s="2"/>
      <c r="K66" s="26"/>
      <c r="L66" s="42" t="s">
        <v>84</v>
      </c>
      <c r="M66" s="10"/>
      <c r="N66" s="5"/>
    </row>
    <row r="67" spans="1:14" ht="15.5" x14ac:dyDescent="0.35">
      <c r="A67" s="40" t="s">
        <v>89</v>
      </c>
      <c r="B67" s="23" t="s">
        <v>90</v>
      </c>
      <c r="C67" s="8"/>
      <c r="D67" s="8"/>
      <c r="E67" s="8"/>
      <c r="F67" s="8"/>
      <c r="G67" s="10"/>
      <c r="H67" s="25"/>
      <c r="I67" s="2"/>
      <c r="J67" s="2"/>
      <c r="K67" s="26"/>
      <c r="L67" s="42" t="s">
        <v>79</v>
      </c>
      <c r="M67" s="10"/>
      <c r="N67" s="5"/>
    </row>
    <row r="68" spans="1:14" ht="15.5" x14ac:dyDescent="0.35">
      <c r="A68" s="40" t="s">
        <v>91</v>
      </c>
      <c r="B68" s="43" t="s">
        <v>92</v>
      </c>
      <c r="C68" s="8"/>
      <c r="D68" s="8"/>
      <c r="E68" s="8"/>
      <c r="F68" s="8"/>
      <c r="G68" s="10"/>
      <c r="H68" s="25"/>
      <c r="I68" s="2"/>
      <c r="J68" s="2"/>
      <c r="K68" s="26"/>
      <c r="L68" s="42" t="s">
        <v>79</v>
      </c>
      <c r="M68" s="10"/>
      <c r="N68" s="5"/>
    </row>
    <row r="69" spans="1:14" ht="15.5" x14ac:dyDescent="0.35">
      <c r="A69" s="40" t="s">
        <v>93</v>
      </c>
      <c r="B69" s="23" t="s">
        <v>94</v>
      </c>
      <c r="C69" s="8"/>
      <c r="D69" s="8"/>
      <c r="E69" s="8"/>
      <c r="F69" s="8"/>
      <c r="G69" s="10"/>
      <c r="H69" s="25"/>
      <c r="I69" s="2"/>
      <c r="J69" s="2"/>
      <c r="K69" s="26"/>
      <c r="L69" s="42" t="s">
        <v>79</v>
      </c>
      <c r="M69" s="10"/>
      <c r="N69" s="5"/>
    </row>
    <row r="70" spans="1:14" ht="15.5" x14ac:dyDescent="0.35">
      <c r="A70" s="40" t="s">
        <v>95</v>
      </c>
      <c r="B70" s="44" t="s">
        <v>96</v>
      </c>
      <c r="C70" s="8"/>
      <c r="D70" s="8"/>
      <c r="E70" s="8"/>
      <c r="F70" s="8"/>
      <c r="G70" s="10"/>
      <c r="H70" s="25"/>
      <c r="I70" s="2"/>
      <c r="J70" s="2"/>
      <c r="K70" s="26"/>
      <c r="L70" s="42" t="s">
        <v>79</v>
      </c>
      <c r="M70" s="10"/>
      <c r="N70" s="5"/>
    </row>
    <row r="71" spans="1:14" ht="15.5" x14ac:dyDescent="0.35">
      <c r="A71" s="40" t="s">
        <v>97</v>
      </c>
      <c r="B71" s="45" t="s">
        <v>98</v>
      </c>
      <c r="C71" s="8"/>
      <c r="D71" s="8"/>
      <c r="E71" s="8"/>
      <c r="F71" s="8"/>
      <c r="G71" s="10"/>
      <c r="H71" s="25"/>
      <c r="I71" s="2"/>
      <c r="J71" s="2"/>
      <c r="K71" s="26"/>
      <c r="L71" s="42" t="s">
        <v>84</v>
      </c>
      <c r="M71" s="10"/>
      <c r="N71" s="5"/>
    </row>
    <row r="72" spans="1:14" ht="15.5" x14ac:dyDescent="0.35">
      <c r="A72" s="40" t="s">
        <v>99</v>
      </c>
      <c r="B72" s="23" t="s">
        <v>100</v>
      </c>
      <c r="C72" s="8"/>
      <c r="D72" s="8"/>
      <c r="E72" s="8"/>
      <c r="F72" s="8"/>
      <c r="G72" s="10"/>
      <c r="H72" s="25"/>
      <c r="I72" s="2"/>
      <c r="J72" s="2"/>
      <c r="K72" s="26"/>
      <c r="L72" s="42" t="s">
        <v>79</v>
      </c>
      <c r="M72" s="10"/>
      <c r="N72" s="5"/>
    </row>
    <row r="73" spans="1:14" ht="15.5" hidden="1" x14ac:dyDescent="0.35">
      <c r="A73" s="40" t="s">
        <v>101</v>
      </c>
      <c r="B73" s="45"/>
      <c r="C73" s="8"/>
      <c r="D73" s="8"/>
      <c r="E73" s="8"/>
      <c r="F73" s="8"/>
      <c r="G73" s="10"/>
      <c r="H73" s="25"/>
      <c r="I73" s="2"/>
      <c r="J73" s="2"/>
      <c r="K73" s="26"/>
      <c r="L73" s="42"/>
      <c r="M73" s="10"/>
      <c r="N73" s="5"/>
    </row>
    <row r="74" spans="1:14" ht="15.5" hidden="1" x14ac:dyDescent="0.35">
      <c r="A74" s="40" t="s">
        <v>102</v>
      </c>
      <c r="B74" s="23"/>
      <c r="C74" s="8"/>
      <c r="D74" s="8"/>
      <c r="E74" s="8"/>
      <c r="F74" s="8"/>
      <c r="G74" s="10"/>
      <c r="H74" s="25"/>
      <c r="I74" s="2"/>
      <c r="J74" s="2"/>
      <c r="K74" s="26"/>
      <c r="L74" s="42"/>
      <c r="M74" s="10"/>
      <c r="N74" s="5"/>
    </row>
    <row r="75" spans="1:14" ht="15.5" x14ac:dyDescent="0.35">
      <c r="A75" s="40"/>
      <c r="B75" s="46" t="s">
        <v>103</v>
      </c>
      <c r="C75" s="8"/>
      <c r="D75" s="8"/>
      <c r="E75" s="8"/>
      <c r="F75" s="8"/>
      <c r="G75" s="10"/>
      <c r="H75" s="24"/>
      <c r="I75" s="18"/>
      <c r="J75" s="18"/>
      <c r="K75" s="19"/>
      <c r="L75" s="47" t="s">
        <v>104</v>
      </c>
      <c r="M75" s="10"/>
      <c r="N75" s="5"/>
    </row>
    <row r="76" spans="1:14" ht="193.5" customHeight="1" x14ac:dyDescent="0.35">
      <c r="A76" s="38" t="s">
        <v>105</v>
      </c>
      <c r="B76" s="8"/>
      <c r="C76" s="8"/>
      <c r="D76" s="8"/>
      <c r="E76" s="8"/>
      <c r="F76" s="8"/>
      <c r="G76" s="8"/>
      <c r="H76" s="8"/>
      <c r="I76" s="8"/>
      <c r="J76" s="8"/>
      <c r="K76" s="8"/>
      <c r="L76" s="8"/>
      <c r="M76" s="10"/>
      <c r="N76" s="5"/>
    </row>
    <row r="77" spans="1:14" ht="24.75" hidden="1" customHeight="1" x14ac:dyDescent="0.35">
      <c r="A77" s="39" t="s">
        <v>106</v>
      </c>
      <c r="B77" s="8"/>
      <c r="C77" s="8"/>
      <c r="D77" s="8"/>
      <c r="E77" s="8"/>
      <c r="F77" s="8"/>
      <c r="G77" s="10"/>
      <c r="H77" s="39" t="s">
        <v>107</v>
      </c>
      <c r="I77" s="8"/>
      <c r="J77" s="8"/>
      <c r="K77" s="10"/>
      <c r="L77" s="39" t="s">
        <v>75</v>
      </c>
      <c r="M77" s="10"/>
      <c r="N77" s="30"/>
    </row>
    <row r="78" spans="1:14" ht="15.5" hidden="1" x14ac:dyDescent="0.35">
      <c r="A78" s="40" t="s">
        <v>76</v>
      </c>
      <c r="B78" s="23"/>
      <c r="C78" s="8"/>
      <c r="D78" s="8"/>
      <c r="E78" s="8"/>
      <c r="F78" s="8"/>
      <c r="G78" s="10"/>
      <c r="H78" s="41"/>
      <c r="I78" s="14"/>
      <c r="J78" s="14"/>
      <c r="K78" s="15"/>
      <c r="L78" s="23"/>
      <c r="M78" s="10"/>
      <c r="N78" s="5"/>
    </row>
    <row r="79" spans="1:14" ht="15.5" hidden="1" x14ac:dyDescent="0.35">
      <c r="A79" s="40" t="s">
        <v>80</v>
      </c>
      <c r="B79" s="23"/>
      <c r="C79" s="8"/>
      <c r="D79" s="8"/>
      <c r="E79" s="8"/>
      <c r="F79" s="8"/>
      <c r="G79" s="10"/>
      <c r="H79" s="25"/>
      <c r="I79" s="2"/>
      <c r="J79" s="2"/>
      <c r="K79" s="26"/>
      <c r="L79" s="23"/>
      <c r="M79" s="10"/>
      <c r="N79" s="5"/>
    </row>
    <row r="80" spans="1:14" ht="15.5" hidden="1" x14ac:dyDescent="0.35">
      <c r="A80" s="40" t="s">
        <v>82</v>
      </c>
      <c r="B80" s="23"/>
      <c r="C80" s="8"/>
      <c r="D80" s="8"/>
      <c r="E80" s="8"/>
      <c r="F80" s="8"/>
      <c r="G80" s="10"/>
      <c r="H80" s="25"/>
      <c r="I80" s="2"/>
      <c r="J80" s="2"/>
      <c r="K80" s="26"/>
      <c r="L80" s="23"/>
      <c r="M80" s="10"/>
      <c r="N80" s="5"/>
    </row>
    <row r="81" spans="1:14" ht="15.5" hidden="1" x14ac:dyDescent="0.35">
      <c r="A81" s="40" t="s">
        <v>85</v>
      </c>
      <c r="B81" s="23"/>
      <c r="C81" s="8"/>
      <c r="D81" s="8"/>
      <c r="E81" s="8"/>
      <c r="F81" s="8"/>
      <c r="G81" s="10"/>
      <c r="H81" s="25"/>
      <c r="I81" s="2"/>
      <c r="J81" s="2"/>
      <c r="K81" s="26"/>
      <c r="L81" s="23"/>
      <c r="M81" s="10"/>
      <c r="N81" s="5"/>
    </row>
    <row r="82" spans="1:14" ht="15.5" hidden="1" x14ac:dyDescent="0.35">
      <c r="A82" s="40" t="s">
        <v>87</v>
      </c>
      <c r="B82" s="23"/>
      <c r="C82" s="8"/>
      <c r="D82" s="8"/>
      <c r="E82" s="8"/>
      <c r="F82" s="8"/>
      <c r="G82" s="10"/>
      <c r="H82" s="25"/>
      <c r="I82" s="2"/>
      <c r="J82" s="2"/>
      <c r="K82" s="26"/>
      <c r="L82" s="23"/>
      <c r="M82" s="10"/>
      <c r="N82" s="5"/>
    </row>
    <row r="83" spans="1:14" ht="15.5" hidden="1" x14ac:dyDescent="0.35">
      <c r="A83" s="40" t="s">
        <v>89</v>
      </c>
      <c r="B83" s="23"/>
      <c r="C83" s="8"/>
      <c r="D83" s="8"/>
      <c r="E83" s="8"/>
      <c r="F83" s="8"/>
      <c r="G83" s="10"/>
      <c r="H83" s="25"/>
      <c r="I83" s="2"/>
      <c r="J83" s="2"/>
      <c r="K83" s="26"/>
      <c r="L83" s="23"/>
      <c r="M83" s="10"/>
      <c r="N83" s="5"/>
    </row>
    <row r="84" spans="1:14" ht="15.5" hidden="1" x14ac:dyDescent="0.35">
      <c r="A84" s="40" t="s">
        <v>91</v>
      </c>
      <c r="B84" s="23"/>
      <c r="C84" s="8"/>
      <c r="D84" s="8"/>
      <c r="E84" s="8"/>
      <c r="F84" s="8"/>
      <c r="G84" s="10"/>
      <c r="H84" s="25"/>
      <c r="I84" s="2"/>
      <c r="J84" s="2"/>
      <c r="K84" s="26"/>
      <c r="L84" s="23"/>
      <c r="M84" s="10"/>
      <c r="N84" s="5"/>
    </row>
    <row r="85" spans="1:14" ht="15.5" hidden="1" x14ac:dyDescent="0.35">
      <c r="A85" s="40" t="s">
        <v>93</v>
      </c>
      <c r="B85" s="23"/>
      <c r="C85" s="8"/>
      <c r="D85" s="8"/>
      <c r="E85" s="8"/>
      <c r="F85" s="8"/>
      <c r="G85" s="10"/>
      <c r="H85" s="25"/>
      <c r="I85" s="2"/>
      <c r="J85" s="2"/>
      <c r="K85" s="26"/>
      <c r="L85" s="23"/>
      <c r="M85" s="10"/>
      <c r="N85" s="5"/>
    </row>
    <row r="86" spans="1:14" ht="15.5" hidden="1" x14ac:dyDescent="0.35">
      <c r="A86" s="40" t="s">
        <v>95</v>
      </c>
      <c r="B86" s="23"/>
      <c r="C86" s="8"/>
      <c r="D86" s="8"/>
      <c r="E86" s="8"/>
      <c r="F86" s="8"/>
      <c r="G86" s="10"/>
      <c r="H86" s="25"/>
      <c r="I86" s="2"/>
      <c r="J86" s="2"/>
      <c r="K86" s="26"/>
      <c r="L86" s="23"/>
      <c r="M86" s="10"/>
      <c r="N86" s="5"/>
    </row>
    <row r="87" spans="1:14" ht="15.5" hidden="1" x14ac:dyDescent="0.35">
      <c r="A87" s="40" t="s">
        <v>97</v>
      </c>
      <c r="B87" s="23"/>
      <c r="C87" s="8"/>
      <c r="D87" s="8"/>
      <c r="E87" s="8"/>
      <c r="F87" s="8"/>
      <c r="G87" s="10"/>
      <c r="H87" s="25"/>
      <c r="I87" s="2"/>
      <c r="J87" s="2"/>
      <c r="K87" s="26"/>
      <c r="L87" s="23"/>
      <c r="M87" s="10"/>
      <c r="N87" s="5"/>
    </row>
    <row r="88" spans="1:14" ht="15.5" hidden="1" x14ac:dyDescent="0.35">
      <c r="A88" s="40" t="s">
        <v>99</v>
      </c>
      <c r="B88" s="23"/>
      <c r="C88" s="8"/>
      <c r="D88" s="8"/>
      <c r="E88" s="8"/>
      <c r="F88" s="8"/>
      <c r="G88" s="10"/>
      <c r="H88" s="25"/>
      <c r="I88" s="2"/>
      <c r="J88" s="2"/>
      <c r="K88" s="26"/>
      <c r="L88" s="23"/>
      <c r="M88" s="10"/>
      <c r="N88" s="5"/>
    </row>
    <row r="89" spans="1:14" ht="15.5" hidden="1" x14ac:dyDescent="0.35">
      <c r="A89" s="40" t="s">
        <v>101</v>
      </c>
      <c r="B89" s="23"/>
      <c r="C89" s="8"/>
      <c r="D89" s="8"/>
      <c r="E89" s="8"/>
      <c r="F89" s="8"/>
      <c r="G89" s="10"/>
      <c r="H89" s="25"/>
      <c r="I89" s="2"/>
      <c r="J89" s="2"/>
      <c r="K89" s="26"/>
      <c r="L89" s="23"/>
      <c r="M89" s="10"/>
      <c r="N89" s="5"/>
    </row>
    <row r="90" spans="1:14" ht="15.5" hidden="1" x14ac:dyDescent="0.35">
      <c r="A90" s="40" t="s">
        <v>102</v>
      </c>
      <c r="B90" s="23"/>
      <c r="C90" s="8"/>
      <c r="D90" s="8"/>
      <c r="E90" s="8"/>
      <c r="F90" s="8"/>
      <c r="G90" s="10"/>
      <c r="H90" s="25"/>
      <c r="I90" s="2"/>
      <c r="J90" s="2"/>
      <c r="K90" s="26"/>
      <c r="L90" s="23"/>
      <c r="M90" s="10"/>
      <c r="N90" s="5"/>
    </row>
    <row r="91" spans="1:14" ht="15.5" hidden="1" x14ac:dyDescent="0.35">
      <c r="A91" s="40" t="s">
        <v>108</v>
      </c>
      <c r="B91" s="23"/>
      <c r="C91" s="8"/>
      <c r="D91" s="8"/>
      <c r="E91" s="8"/>
      <c r="F91" s="8"/>
      <c r="G91" s="10"/>
      <c r="H91" s="24"/>
      <c r="I91" s="18"/>
      <c r="J91" s="18"/>
      <c r="K91" s="19"/>
      <c r="L91" s="23"/>
      <c r="M91" s="10"/>
      <c r="N91" s="5"/>
    </row>
    <row r="92" spans="1:14" ht="24" customHeight="1" x14ac:dyDescent="0.35">
      <c r="A92" s="39" t="s">
        <v>109</v>
      </c>
      <c r="B92" s="8"/>
      <c r="C92" s="8"/>
      <c r="D92" s="8"/>
      <c r="E92" s="8"/>
      <c r="F92" s="8"/>
      <c r="G92" s="10"/>
      <c r="H92" s="39" t="s">
        <v>107</v>
      </c>
      <c r="I92" s="8"/>
      <c r="J92" s="8"/>
      <c r="K92" s="10"/>
      <c r="L92" s="39" t="s">
        <v>75</v>
      </c>
      <c r="M92" s="10"/>
      <c r="N92" s="30"/>
    </row>
    <row r="93" spans="1:14" ht="15.5" x14ac:dyDescent="0.35">
      <c r="A93" s="40" t="s">
        <v>76</v>
      </c>
      <c r="B93" s="23" t="s">
        <v>110</v>
      </c>
      <c r="C93" s="8"/>
      <c r="D93" s="8"/>
      <c r="E93" s="8"/>
      <c r="F93" s="8"/>
      <c r="G93" s="10"/>
      <c r="H93" s="41" t="s">
        <v>111</v>
      </c>
      <c r="I93" s="14"/>
      <c r="J93" s="14"/>
      <c r="K93" s="15"/>
      <c r="L93" s="42" t="s">
        <v>79</v>
      </c>
      <c r="M93" s="10"/>
      <c r="N93" s="5"/>
    </row>
    <row r="94" spans="1:14" ht="15.5" x14ac:dyDescent="0.35">
      <c r="A94" s="40" t="s">
        <v>80</v>
      </c>
      <c r="B94" s="23" t="s">
        <v>112</v>
      </c>
      <c r="C94" s="8"/>
      <c r="D94" s="8"/>
      <c r="E94" s="8"/>
      <c r="F94" s="8"/>
      <c r="G94" s="10"/>
      <c r="H94" s="25"/>
      <c r="I94" s="2"/>
      <c r="J94" s="2"/>
      <c r="K94" s="26"/>
      <c r="L94" s="42" t="s">
        <v>79</v>
      </c>
      <c r="M94" s="10"/>
      <c r="N94" s="5"/>
    </row>
    <row r="95" spans="1:14" ht="15.5" x14ac:dyDescent="0.35">
      <c r="A95" s="40" t="s">
        <v>82</v>
      </c>
      <c r="B95" s="23" t="s">
        <v>113</v>
      </c>
      <c r="C95" s="8"/>
      <c r="D95" s="8"/>
      <c r="E95" s="8"/>
      <c r="F95" s="8"/>
      <c r="G95" s="10"/>
      <c r="H95" s="25"/>
      <c r="I95" s="2"/>
      <c r="J95" s="2"/>
      <c r="K95" s="26"/>
      <c r="L95" s="42" t="s">
        <v>79</v>
      </c>
      <c r="M95" s="10"/>
      <c r="N95" s="5"/>
    </row>
    <row r="96" spans="1:14" ht="15.5" x14ac:dyDescent="0.35">
      <c r="A96" s="40" t="s">
        <v>85</v>
      </c>
      <c r="B96" s="23" t="s">
        <v>114</v>
      </c>
      <c r="C96" s="8"/>
      <c r="D96" s="8"/>
      <c r="E96" s="8"/>
      <c r="F96" s="8"/>
      <c r="G96" s="10"/>
      <c r="H96" s="25"/>
      <c r="I96" s="2"/>
      <c r="J96" s="2"/>
      <c r="K96" s="26"/>
      <c r="L96" s="42" t="s">
        <v>79</v>
      </c>
      <c r="M96" s="10"/>
      <c r="N96" s="5"/>
    </row>
    <row r="97" spans="1:14" ht="15.5" x14ac:dyDescent="0.35">
      <c r="A97" s="40" t="s">
        <v>87</v>
      </c>
      <c r="B97" s="23" t="s">
        <v>115</v>
      </c>
      <c r="C97" s="8"/>
      <c r="D97" s="8"/>
      <c r="E97" s="8"/>
      <c r="F97" s="8"/>
      <c r="G97" s="10"/>
      <c r="H97" s="25"/>
      <c r="I97" s="2"/>
      <c r="J97" s="2"/>
      <c r="K97" s="26"/>
      <c r="L97" s="42" t="s">
        <v>84</v>
      </c>
      <c r="M97" s="10"/>
      <c r="N97" s="5"/>
    </row>
    <row r="98" spans="1:14" ht="15.5" x14ac:dyDescent="0.35">
      <c r="A98" s="40" t="s">
        <v>89</v>
      </c>
      <c r="B98" s="23" t="s">
        <v>116</v>
      </c>
      <c r="C98" s="8"/>
      <c r="D98" s="8"/>
      <c r="E98" s="8"/>
      <c r="F98" s="8"/>
      <c r="G98" s="10"/>
      <c r="H98" s="25"/>
      <c r="I98" s="2"/>
      <c r="J98" s="2"/>
      <c r="K98" s="26"/>
      <c r="L98" s="42" t="s">
        <v>79</v>
      </c>
      <c r="M98" s="10"/>
      <c r="N98" s="5"/>
    </row>
    <row r="99" spans="1:14" ht="15.5" x14ac:dyDescent="0.35">
      <c r="A99" s="40" t="s">
        <v>91</v>
      </c>
      <c r="B99" s="23" t="s">
        <v>117</v>
      </c>
      <c r="C99" s="8"/>
      <c r="D99" s="8"/>
      <c r="E99" s="8"/>
      <c r="F99" s="8"/>
      <c r="G99" s="10"/>
      <c r="H99" s="25"/>
      <c r="I99" s="2"/>
      <c r="J99" s="2"/>
      <c r="K99" s="26"/>
      <c r="L99" s="42" t="s">
        <v>79</v>
      </c>
      <c r="M99" s="10"/>
      <c r="N99" s="5"/>
    </row>
    <row r="100" spans="1:14" ht="15.5" x14ac:dyDescent="0.35">
      <c r="A100" s="40" t="s">
        <v>93</v>
      </c>
      <c r="B100" s="23" t="s">
        <v>118</v>
      </c>
      <c r="C100" s="8"/>
      <c r="D100" s="8"/>
      <c r="E100" s="8"/>
      <c r="F100" s="8"/>
      <c r="G100" s="10"/>
      <c r="H100" s="25"/>
      <c r="I100" s="2"/>
      <c r="J100" s="2"/>
      <c r="K100" s="26"/>
      <c r="L100" s="42" t="s">
        <v>79</v>
      </c>
      <c r="M100" s="10"/>
      <c r="N100" s="5"/>
    </row>
    <row r="101" spans="1:14" ht="15.5" x14ac:dyDescent="0.35">
      <c r="A101" s="40" t="s">
        <v>95</v>
      </c>
      <c r="B101" s="23" t="s">
        <v>119</v>
      </c>
      <c r="C101" s="8"/>
      <c r="D101" s="8"/>
      <c r="E101" s="8"/>
      <c r="F101" s="8"/>
      <c r="G101" s="10"/>
      <c r="H101" s="25"/>
      <c r="I101" s="2"/>
      <c r="J101" s="2"/>
      <c r="K101" s="26"/>
      <c r="L101" s="42" t="s">
        <v>79</v>
      </c>
      <c r="M101" s="10"/>
      <c r="N101" s="5"/>
    </row>
    <row r="102" spans="1:14" ht="15.5" x14ac:dyDescent="0.35">
      <c r="A102" s="40" t="s">
        <v>97</v>
      </c>
      <c r="B102" s="23" t="s">
        <v>120</v>
      </c>
      <c r="C102" s="8"/>
      <c r="D102" s="8"/>
      <c r="E102" s="8"/>
      <c r="F102" s="8"/>
      <c r="G102" s="10"/>
      <c r="H102" s="25"/>
      <c r="I102" s="2"/>
      <c r="J102" s="2"/>
      <c r="K102" s="26"/>
      <c r="L102" s="42" t="s">
        <v>79</v>
      </c>
      <c r="M102" s="10"/>
      <c r="N102" s="5"/>
    </row>
    <row r="103" spans="1:14" ht="15.5" x14ac:dyDescent="0.35">
      <c r="A103" s="40" t="s">
        <v>99</v>
      </c>
      <c r="B103" s="23" t="s">
        <v>121</v>
      </c>
      <c r="C103" s="8"/>
      <c r="D103" s="8"/>
      <c r="E103" s="8"/>
      <c r="F103" s="8"/>
      <c r="G103" s="10"/>
      <c r="H103" s="25"/>
      <c r="I103" s="2"/>
      <c r="J103" s="2"/>
      <c r="K103" s="26"/>
      <c r="L103" s="42" t="s">
        <v>79</v>
      </c>
      <c r="M103" s="10"/>
      <c r="N103" s="5"/>
    </row>
    <row r="104" spans="1:14" ht="15.5" x14ac:dyDescent="0.35">
      <c r="A104" s="40" t="s">
        <v>101</v>
      </c>
      <c r="B104" s="23" t="s">
        <v>122</v>
      </c>
      <c r="C104" s="8"/>
      <c r="D104" s="8"/>
      <c r="E104" s="8"/>
      <c r="F104" s="8"/>
      <c r="G104" s="10"/>
      <c r="H104" s="25"/>
      <c r="I104" s="2"/>
      <c r="J104" s="2"/>
      <c r="K104" s="26"/>
      <c r="L104" s="42" t="s">
        <v>79</v>
      </c>
      <c r="M104" s="10"/>
      <c r="N104" s="5"/>
    </row>
    <row r="105" spans="1:14" ht="15.5" x14ac:dyDescent="0.35">
      <c r="A105" s="40" t="s">
        <v>102</v>
      </c>
      <c r="B105" s="23" t="s">
        <v>123</v>
      </c>
      <c r="C105" s="8"/>
      <c r="D105" s="8"/>
      <c r="E105" s="8"/>
      <c r="F105" s="8"/>
      <c r="G105" s="10"/>
      <c r="H105" s="25"/>
      <c r="I105" s="2"/>
      <c r="J105" s="2"/>
      <c r="K105" s="26"/>
      <c r="L105" s="42" t="s">
        <v>79</v>
      </c>
      <c r="M105" s="10"/>
      <c r="N105" s="5"/>
    </row>
    <row r="106" spans="1:14" ht="15.5" x14ac:dyDescent="0.35">
      <c r="A106" s="40"/>
      <c r="B106" s="46" t="s">
        <v>124</v>
      </c>
      <c r="C106" s="8"/>
      <c r="D106" s="8"/>
      <c r="E106" s="8"/>
      <c r="F106" s="8"/>
      <c r="G106" s="10"/>
      <c r="H106" s="24"/>
      <c r="I106" s="18"/>
      <c r="J106" s="18"/>
      <c r="K106" s="19"/>
      <c r="L106" s="47" t="s">
        <v>104</v>
      </c>
      <c r="M106" s="10"/>
      <c r="N106" s="5"/>
    </row>
    <row r="107" spans="1:14" ht="24" customHeight="1" x14ac:dyDescent="0.35">
      <c r="A107" s="39" t="s">
        <v>125</v>
      </c>
      <c r="B107" s="8"/>
      <c r="C107" s="8"/>
      <c r="D107" s="8"/>
      <c r="E107" s="8"/>
      <c r="F107" s="8"/>
      <c r="G107" s="10"/>
      <c r="H107" s="39" t="s">
        <v>107</v>
      </c>
      <c r="I107" s="8"/>
      <c r="J107" s="8"/>
      <c r="K107" s="10"/>
      <c r="L107" s="39" t="s">
        <v>75</v>
      </c>
      <c r="M107" s="10"/>
      <c r="N107" s="30"/>
    </row>
    <row r="108" spans="1:14" ht="15.5" x14ac:dyDescent="0.35">
      <c r="A108" s="40" t="s">
        <v>76</v>
      </c>
      <c r="B108" s="23" t="s">
        <v>126</v>
      </c>
      <c r="C108" s="8"/>
      <c r="D108" s="8"/>
      <c r="E108" s="8"/>
      <c r="F108" s="8"/>
      <c r="G108" s="10"/>
      <c r="H108" s="41" t="s">
        <v>127</v>
      </c>
      <c r="I108" s="14"/>
      <c r="J108" s="14"/>
      <c r="K108" s="15"/>
      <c r="L108" s="42" t="s">
        <v>79</v>
      </c>
      <c r="M108" s="10"/>
      <c r="N108" s="5"/>
    </row>
    <row r="109" spans="1:14" ht="15.5" x14ac:dyDescent="0.35">
      <c r="A109" s="40" t="s">
        <v>80</v>
      </c>
      <c r="B109" s="23" t="s">
        <v>128</v>
      </c>
      <c r="C109" s="8"/>
      <c r="D109" s="8"/>
      <c r="E109" s="8"/>
      <c r="F109" s="8"/>
      <c r="G109" s="10"/>
      <c r="H109" s="25"/>
      <c r="I109" s="2"/>
      <c r="J109" s="2"/>
      <c r="K109" s="26"/>
      <c r="L109" s="42" t="s">
        <v>79</v>
      </c>
      <c r="M109" s="10"/>
      <c r="N109" s="5"/>
    </row>
    <row r="110" spans="1:14" ht="15.5" x14ac:dyDescent="0.35">
      <c r="A110" s="40" t="s">
        <v>82</v>
      </c>
      <c r="B110" s="23" t="s">
        <v>129</v>
      </c>
      <c r="C110" s="8"/>
      <c r="D110" s="8"/>
      <c r="E110" s="8"/>
      <c r="F110" s="8"/>
      <c r="G110" s="10"/>
      <c r="H110" s="25"/>
      <c r="I110" s="2"/>
      <c r="J110" s="2"/>
      <c r="K110" s="26"/>
      <c r="L110" s="42" t="s">
        <v>79</v>
      </c>
      <c r="M110" s="10"/>
      <c r="N110" s="5"/>
    </row>
    <row r="111" spans="1:14" ht="15.5" x14ac:dyDescent="0.35">
      <c r="A111" s="40" t="s">
        <v>85</v>
      </c>
      <c r="B111" s="23" t="s">
        <v>130</v>
      </c>
      <c r="C111" s="8"/>
      <c r="D111" s="8"/>
      <c r="E111" s="8"/>
      <c r="F111" s="8"/>
      <c r="G111" s="10"/>
      <c r="H111" s="25"/>
      <c r="I111" s="2"/>
      <c r="J111" s="2"/>
      <c r="K111" s="26"/>
      <c r="L111" s="42" t="s">
        <v>79</v>
      </c>
      <c r="M111" s="10"/>
      <c r="N111" s="5"/>
    </row>
    <row r="112" spans="1:14" ht="15.5" x14ac:dyDescent="0.35">
      <c r="A112" s="40" t="s">
        <v>87</v>
      </c>
      <c r="B112" s="23" t="s">
        <v>131</v>
      </c>
      <c r="C112" s="8"/>
      <c r="D112" s="8"/>
      <c r="E112" s="8"/>
      <c r="F112" s="8"/>
      <c r="G112" s="10"/>
      <c r="H112" s="25"/>
      <c r="I112" s="2"/>
      <c r="J112" s="2"/>
      <c r="K112" s="26"/>
      <c r="L112" s="42" t="s">
        <v>79</v>
      </c>
      <c r="M112" s="10"/>
      <c r="N112" s="5"/>
    </row>
    <row r="113" spans="1:14" ht="15.5" x14ac:dyDescent="0.35">
      <c r="A113" s="40" t="s">
        <v>89</v>
      </c>
      <c r="B113" s="23" t="s">
        <v>132</v>
      </c>
      <c r="C113" s="8"/>
      <c r="D113" s="8"/>
      <c r="E113" s="8"/>
      <c r="F113" s="8"/>
      <c r="G113" s="10"/>
      <c r="H113" s="25"/>
      <c r="I113" s="2"/>
      <c r="J113" s="2"/>
      <c r="K113" s="26"/>
      <c r="L113" s="42" t="s">
        <v>79</v>
      </c>
      <c r="M113" s="10"/>
      <c r="N113" s="5"/>
    </row>
    <row r="114" spans="1:14" ht="15.5" x14ac:dyDescent="0.35">
      <c r="A114" s="40" t="s">
        <v>91</v>
      </c>
      <c r="B114" s="23" t="s">
        <v>133</v>
      </c>
      <c r="C114" s="8"/>
      <c r="D114" s="8"/>
      <c r="E114" s="8"/>
      <c r="F114" s="8"/>
      <c r="G114" s="10"/>
      <c r="H114" s="25"/>
      <c r="I114" s="2"/>
      <c r="J114" s="2"/>
      <c r="K114" s="26"/>
      <c r="L114" s="42" t="s">
        <v>79</v>
      </c>
      <c r="M114" s="10"/>
      <c r="N114" s="5"/>
    </row>
    <row r="115" spans="1:14" ht="15.5" x14ac:dyDescent="0.35">
      <c r="A115" s="40"/>
      <c r="B115" s="46" t="s">
        <v>124</v>
      </c>
      <c r="C115" s="8"/>
      <c r="D115" s="8"/>
      <c r="E115" s="8"/>
      <c r="F115" s="8"/>
      <c r="G115" s="10"/>
      <c r="H115" s="25"/>
      <c r="I115" s="2"/>
      <c r="J115" s="2"/>
      <c r="K115" s="26"/>
      <c r="L115" s="47" t="s">
        <v>134</v>
      </c>
      <c r="M115" s="10"/>
      <c r="N115" s="5"/>
    </row>
    <row r="116" spans="1:14" ht="15.5" hidden="1" x14ac:dyDescent="0.35">
      <c r="A116" s="40" t="s">
        <v>95</v>
      </c>
      <c r="B116" s="23"/>
      <c r="C116" s="8"/>
      <c r="D116" s="8"/>
      <c r="E116" s="8"/>
      <c r="F116" s="8"/>
      <c r="G116" s="10"/>
      <c r="H116" s="25"/>
      <c r="I116" s="2"/>
      <c r="J116" s="2"/>
      <c r="K116" s="26"/>
      <c r="L116" s="23"/>
      <c r="M116" s="10"/>
      <c r="N116" s="5"/>
    </row>
    <row r="117" spans="1:14" ht="15.5" hidden="1" x14ac:dyDescent="0.35">
      <c r="A117" s="40" t="s">
        <v>97</v>
      </c>
      <c r="B117" s="23"/>
      <c r="C117" s="8"/>
      <c r="D117" s="8"/>
      <c r="E117" s="8"/>
      <c r="F117" s="8"/>
      <c r="G117" s="10"/>
      <c r="H117" s="25"/>
      <c r="I117" s="2"/>
      <c r="J117" s="2"/>
      <c r="K117" s="26"/>
      <c r="L117" s="23"/>
      <c r="M117" s="10"/>
      <c r="N117" s="5"/>
    </row>
    <row r="118" spans="1:14" ht="15.5" hidden="1" x14ac:dyDescent="0.35">
      <c r="A118" s="40" t="s">
        <v>99</v>
      </c>
      <c r="B118" s="23"/>
      <c r="C118" s="8"/>
      <c r="D118" s="8"/>
      <c r="E118" s="8"/>
      <c r="F118" s="8"/>
      <c r="G118" s="10"/>
      <c r="H118" s="25"/>
      <c r="I118" s="2"/>
      <c r="J118" s="2"/>
      <c r="K118" s="26"/>
      <c r="L118" s="23"/>
      <c r="M118" s="10"/>
      <c r="N118" s="5"/>
    </row>
    <row r="119" spans="1:14" ht="15.5" hidden="1" x14ac:dyDescent="0.35">
      <c r="A119" s="40" t="s">
        <v>101</v>
      </c>
      <c r="B119" s="23"/>
      <c r="C119" s="8"/>
      <c r="D119" s="8"/>
      <c r="E119" s="8"/>
      <c r="F119" s="8"/>
      <c r="G119" s="10"/>
      <c r="H119" s="25"/>
      <c r="I119" s="2"/>
      <c r="J119" s="2"/>
      <c r="K119" s="26"/>
      <c r="L119" s="23"/>
      <c r="M119" s="10"/>
      <c r="N119" s="5"/>
    </row>
    <row r="120" spans="1:14" ht="15.5" hidden="1" x14ac:dyDescent="0.35">
      <c r="A120" s="40" t="s">
        <v>102</v>
      </c>
      <c r="B120" s="23"/>
      <c r="C120" s="8"/>
      <c r="D120" s="8"/>
      <c r="E120" s="8"/>
      <c r="F120" s="8"/>
      <c r="G120" s="10"/>
      <c r="H120" s="25"/>
      <c r="I120" s="2"/>
      <c r="J120" s="2"/>
      <c r="K120" s="26"/>
      <c r="L120" s="23"/>
      <c r="M120" s="10"/>
      <c r="N120" s="5"/>
    </row>
    <row r="121" spans="1:14" ht="15.5" hidden="1" x14ac:dyDescent="0.35">
      <c r="A121" s="40" t="s">
        <v>108</v>
      </c>
      <c r="B121" s="23"/>
      <c r="C121" s="8"/>
      <c r="D121" s="8"/>
      <c r="E121" s="8"/>
      <c r="F121" s="8"/>
      <c r="G121" s="10"/>
      <c r="H121" s="24"/>
      <c r="I121" s="18"/>
      <c r="J121" s="18"/>
      <c r="K121" s="19"/>
      <c r="L121" s="23"/>
      <c r="M121" s="10"/>
      <c r="N121" s="5"/>
    </row>
    <row r="122" spans="1:14" ht="15.5" x14ac:dyDescent="0.35">
      <c r="A122" s="23" t="s">
        <v>135</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136</v>
      </c>
      <c r="B124" s="2"/>
      <c r="C124" s="2"/>
      <c r="D124" s="2"/>
      <c r="E124" s="2"/>
      <c r="F124" s="2"/>
      <c r="G124" s="2"/>
      <c r="H124" s="2"/>
      <c r="I124" s="2"/>
      <c r="J124" s="2"/>
      <c r="K124" s="2"/>
      <c r="L124" s="2"/>
      <c r="M124" s="2"/>
      <c r="N124" s="30"/>
    </row>
    <row r="125" spans="1:14" ht="46.5" x14ac:dyDescent="0.35">
      <c r="A125" s="48" t="s">
        <v>137</v>
      </c>
      <c r="B125" s="49" t="s">
        <v>138</v>
      </c>
      <c r="C125" s="8"/>
      <c r="D125" s="8"/>
      <c r="E125" s="8"/>
      <c r="F125" s="8"/>
      <c r="G125" s="10"/>
      <c r="H125" s="49" t="s">
        <v>139</v>
      </c>
      <c r="I125" s="8"/>
      <c r="J125" s="8"/>
      <c r="K125" s="10"/>
      <c r="L125" s="50" t="s">
        <v>140</v>
      </c>
      <c r="M125" s="10"/>
      <c r="N125" s="5"/>
    </row>
    <row r="126" spans="1:14" ht="15.5" x14ac:dyDescent="0.35">
      <c r="A126" s="51" t="s">
        <v>141</v>
      </c>
      <c r="B126" s="52" t="s">
        <v>142</v>
      </c>
      <c r="C126" s="14"/>
      <c r="D126" s="14"/>
      <c r="E126" s="14"/>
      <c r="F126" s="14"/>
      <c r="G126" s="15"/>
      <c r="H126" s="53" t="s">
        <v>143</v>
      </c>
      <c r="I126" s="14"/>
      <c r="J126" s="14"/>
      <c r="K126" s="54" t="s">
        <v>144</v>
      </c>
      <c r="L126" s="55">
        <f>1-SUM(L129:M131)</f>
        <v>0.5</v>
      </c>
      <c r="M126" s="15"/>
      <c r="N126" s="5"/>
    </row>
    <row r="127" spans="1:14" ht="25.5" customHeight="1" x14ac:dyDescent="0.35">
      <c r="A127" s="56"/>
      <c r="B127" s="25"/>
      <c r="C127" s="2"/>
      <c r="D127" s="2"/>
      <c r="E127" s="2"/>
      <c r="F127" s="2"/>
      <c r="G127" s="26"/>
      <c r="H127" s="24"/>
      <c r="I127" s="18"/>
      <c r="J127" s="18"/>
      <c r="K127" s="36"/>
      <c r="L127" s="25"/>
      <c r="M127" s="26"/>
      <c r="N127" s="5"/>
    </row>
    <row r="128" spans="1:14" ht="46.5" customHeight="1" x14ac:dyDescent="0.35">
      <c r="A128" s="36"/>
      <c r="B128" s="24"/>
      <c r="C128" s="18"/>
      <c r="D128" s="18"/>
      <c r="E128" s="18"/>
      <c r="F128" s="18"/>
      <c r="G128" s="19"/>
      <c r="H128" s="57" t="s">
        <v>145</v>
      </c>
      <c r="I128" s="8"/>
      <c r="J128" s="8"/>
      <c r="K128" s="40" t="s">
        <v>146</v>
      </c>
      <c r="L128" s="24"/>
      <c r="M128" s="19"/>
      <c r="N128" s="5"/>
    </row>
    <row r="129" spans="1:14" ht="68.25" hidden="1" customHeight="1" x14ac:dyDescent="0.35">
      <c r="A129" s="48" t="s">
        <v>147</v>
      </c>
      <c r="B129" s="57" t="s">
        <v>148</v>
      </c>
      <c r="C129" s="8"/>
      <c r="D129" s="8"/>
      <c r="E129" s="8"/>
      <c r="F129" s="8"/>
      <c r="G129" s="10"/>
      <c r="H129" s="57" t="s">
        <v>149</v>
      </c>
      <c r="I129" s="8"/>
      <c r="J129" s="8"/>
      <c r="K129" s="10"/>
      <c r="L129" s="58"/>
      <c r="M129" s="10"/>
      <c r="N129" s="5"/>
    </row>
    <row r="130" spans="1:14" ht="46.5" x14ac:dyDescent="0.35">
      <c r="A130" s="48" t="s">
        <v>150</v>
      </c>
      <c r="B130" s="57" t="s">
        <v>151</v>
      </c>
      <c r="C130" s="8"/>
      <c r="D130" s="8"/>
      <c r="E130" s="8"/>
      <c r="F130" s="8"/>
      <c r="G130" s="10"/>
      <c r="H130" s="57" t="s">
        <v>152</v>
      </c>
      <c r="I130" s="8"/>
      <c r="J130" s="8"/>
      <c r="K130" s="10"/>
      <c r="L130" s="58">
        <v>0.25</v>
      </c>
      <c r="M130" s="10"/>
      <c r="N130" s="5"/>
    </row>
    <row r="131" spans="1:14" ht="31" x14ac:dyDescent="0.35">
      <c r="A131" s="48" t="s">
        <v>153</v>
      </c>
      <c r="B131" s="57" t="s">
        <v>154</v>
      </c>
      <c r="C131" s="8"/>
      <c r="D131" s="8"/>
      <c r="E131" s="8"/>
      <c r="F131" s="8"/>
      <c r="G131" s="10"/>
      <c r="H131" s="57" t="s">
        <v>155</v>
      </c>
      <c r="I131" s="8"/>
      <c r="J131" s="8"/>
      <c r="K131" s="10"/>
      <c r="L131" s="58">
        <v>0.25</v>
      </c>
      <c r="M131" s="10"/>
      <c r="N131" s="5"/>
    </row>
    <row r="132" spans="1:14" ht="15.5" x14ac:dyDescent="0.35">
      <c r="A132" s="49" t="s">
        <v>156</v>
      </c>
      <c r="B132" s="8"/>
      <c r="C132" s="8"/>
      <c r="D132" s="8"/>
      <c r="E132" s="8"/>
      <c r="F132" s="8"/>
      <c r="G132" s="8"/>
      <c r="H132" s="8"/>
      <c r="I132" s="8"/>
      <c r="J132" s="8"/>
      <c r="K132" s="8"/>
      <c r="L132" s="8"/>
      <c r="M132" s="10"/>
      <c r="N132" s="5"/>
    </row>
    <row r="133" spans="1:14" ht="15.5" x14ac:dyDescent="0.35">
      <c r="A133" s="59" t="s">
        <v>157</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60" t="s">
        <v>158</v>
      </c>
      <c r="B135" s="10"/>
      <c r="C135" s="61">
        <v>45901</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60" t="s">
        <v>159</v>
      </c>
      <c r="B137" s="10"/>
      <c r="C137" s="9" t="str">
        <f>E15</f>
        <v>Conf.dr.ing. Mihai Postolache</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62" t="s">
        <v>160</v>
      </c>
      <c r="B139" s="15"/>
      <c r="C139" s="9" t="str">
        <f t="shared" ref="C139:C141" si="0">E17</f>
        <v>Conf.dr.ing. Mihai Postolache</v>
      </c>
      <c r="D139" s="8"/>
      <c r="E139" s="8"/>
      <c r="F139" s="8"/>
      <c r="G139" s="10"/>
      <c r="H139" s="9" t="str">
        <f t="shared" ref="H139:H141" si="1">E20</f>
        <v>Ing. Alexandru Conțac</v>
      </c>
      <c r="I139" s="8"/>
      <c r="J139" s="8"/>
      <c r="K139" s="8"/>
      <c r="L139" s="8"/>
      <c r="M139" s="10"/>
      <c r="N139" s="5"/>
    </row>
    <row r="140" spans="1:14" ht="32.25" customHeight="1" x14ac:dyDescent="0.35">
      <c r="A140" s="25"/>
      <c r="B140" s="26"/>
      <c r="C140" s="9" t="str">
        <f t="shared" si="0"/>
        <v>Asist.dr.ing. Răzvan Gabriel Lazăr</v>
      </c>
      <c r="D140" s="8"/>
      <c r="E140" s="8"/>
      <c r="F140" s="8"/>
      <c r="G140" s="10"/>
      <c r="H140" s="9">
        <f t="shared" si="1"/>
        <v>0</v>
      </c>
      <c r="I140" s="8"/>
      <c r="J140" s="8"/>
      <c r="K140" s="8"/>
      <c r="L140" s="8"/>
      <c r="M140" s="10"/>
      <c r="N140" s="5"/>
    </row>
    <row r="141" spans="1:14" ht="32.25" customHeight="1" x14ac:dyDescent="0.35">
      <c r="A141" s="24"/>
      <c r="B141" s="19"/>
      <c r="C141" s="9" t="str">
        <f t="shared" si="0"/>
        <v>Ing. Andrei Valeriu Coșa</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60" t="s">
        <v>161</v>
      </c>
      <c r="B143" s="10"/>
      <c r="C143" s="63">
        <f>[1]Date!C35</f>
        <v>45915</v>
      </c>
      <c r="D143" s="10"/>
      <c r="E143" s="60" t="s">
        <v>162</v>
      </c>
      <c r="F143" s="8"/>
      <c r="G143" s="10"/>
      <c r="H143" s="64" t="str">
        <f>[1]Date!C37</f>
        <v>Conf.dr.ing. Mihai POSTOLACHE</v>
      </c>
      <c r="I143" s="8"/>
      <c r="J143" s="8"/>
      <c r="K143" s="8"/>
      <c r="L143" s="8"/>
      <c r="M143" s="10"/>
      <c r="N143" s="5"/>
    </row>
    <row r="144" spans="1:14" ht="21.75" customHeight="1" x14ac:dyDescent="0.35">
      <c r="A144" s="65"/>
      <c r="B144" s="65"/>
      <c r="C144" s="66"/>
      <c r="D144" s="66"/>
      <c r="E144" s="65"/>
      <c r="F144" s="65"/>
      <c r="G144" s="65"/>
      <c r="H144" s="66"/>
      <c r="I144" s="66"/>
      <c r="J144" s="66"/>
      <c r="K144" s="66"/>
      <c r="L144" s="66"/>
      <c r="M144" s="66"/>
      <c r="N144" s="5"/>
    </row>
    <row r="145" spans="1:14" ht="28.5" customHeight="1" x14ac:dyDescent="0.35">
      <c r="A145" s="60" t="s">
        <v>163</v>
      </c>
      <c r="B145" s="10"/>
      <c r="C145" s="63">
        <f>[1]Date!C36</f>
        <v>45918</v>
      </c>
      <c r="D145" s="10"/>
      <c r="E145" s="60" t="s">
        <v>164</v>
      </c>
      <c r="F145" s="8"/>
      <c r="G145" s="10"/>
      <c r="H145" s="64" t="str">
        <f>[1]Date!C38</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7"/>
    <mergeCell ref="K126:K127"/>
    <mergeCell ref="L126:M128"/>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2026-03-01T09:13:52Z</dcterms:created>
  <dcterms:modified xsi:type="dcterms:W3CDTF">2026-03-01T09:14:01Z</dcterms:modified>
</cp:coreProperties>
</file>