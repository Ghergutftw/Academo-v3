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188C16C5-3F7D-4A72-860E-639973B9C174}" xr6:coauthVersionLast="47" xr6:coauthVersionMax="47" xr10:uidLastSave="{00000000-0000-0000-0000-000000000000}"/>
  <bookViews>
    <workbookView xWindow="-110" yWindow="-110" windowWidth="25820" windowHeight="15500" xr2:uid="{60180D15-9A25-4B3E-BC22-745326D6787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E26" i="1" l="1" a="1"/>
  <c r="E26" i="1" s="1"/>
  <c r="I23" i="1" a="1"/>
  <c r="I23" i="1" s="1"/>
  <c r="E13" i="1" a="1"/>
  <c r="E13" i="1" s="1"/>
  <c r="C34" i="1" a="1"/>
  <c r="C34" i="1" s="1"/>
  <c r="M33" i="1" s="1"/>
  <c r="E23" i="1" a="1"/>
  <c r="E23" i="1" s="1"/>
  <c r="I26" i="1" a="1"/>
  <c r="I26" i="1" s="1"/>
  <c r="I27" i="1" s="1"/>
  <c r="C36" i="1" a="1"/>
  <c r="C36" i="1" s="1"/>
  <c r="M23" i="1" a="1"/>
  <c r="M23" i="1" s="1"/>
  <c r="K26" i="1" a="1"/>
  <c r="K26" i="1" s="1"/>
  <c r="K27" i="1" s="1"/>
  <c r="G26" i="1" a="1"/>
  <c r="G26" i="1" s="1"/>
  <c r="G27" i="1" s="1"/>
  <c r="M32" i="1" a="1"/>
  <c r="M32" i="1" s="1"/>
  <c r="M14" i="1" a="1"/>
  <c r="M14" i="1" s="1"/>
  <c r="E14" i="1" a="1"/>
  <c r="E14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A1255953-CE67-4FE0-92FC-1D33776A06A1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<sst xmlns="http://schemas.openxmlformats.org/spreadsheetml/2006/main" count="188" uniqueCount="153">
  <si>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</si>
  <si>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</si>
  <si>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</si>
  <si>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</si>
  <si>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</si>
  <si>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</si>
  <si>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</si>
  <si>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</si>
  <si>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</si>
  <si>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</si>
  <si>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</si>
  <si>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</si>
  <si>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</si>
  <si>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Etică și integritate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</si>
  <si>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</si>
  <si>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</si>
  <si>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</si>
  <si>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</si>
  <si>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conf. dr. ing. Anca MAXIM</t>
  </si>
  <si>
    <t>2.3 Titularul / titularii activităţilor de aplicaţii (S, L, P, Pr)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</si>
  <si>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</si>
  <si>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</si>
  <si>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</si>
  <si>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</si>
  <si>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</si>
  <si>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</si>
  <si>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</si>
  <si>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</si>
  <si>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</si>
  <si>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</si>
  <si>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</si>
  <si>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</si>
  <si>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</si>
  <si>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</si>
  <si>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</si>
  <si>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</si>
  <si>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</si>
  <si>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</si>
  <si>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</si>
  <si>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</si>
  <si>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</si>
  <si>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</si>
  <si>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</si>
  <si>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</si>
  <si>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</si>
  <si>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</si>
  <si>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</si>
  <si>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</si>
  <si>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</si>
  <si>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</si>
  <si>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</si>
  <si>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</si>
  <si>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</si>
  <si>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Cursul se desfășoară într-o sală echipată cu videoproiector</t>
  </si>
  <si>
    <t>5.2 de desfăşurare a seminarului / laboratorului / proiectului</t>
  </si>
  <si>
    <t>Seminarul se desfășoară într-o sală echipată cu  videoproiector</t>
  </si>
  <si>
    <t>6. Obiectivul general al disciplinei</t>
  </si>
  <si>
    <t>Însușirea de către studenți într-un mod adecvat a conceptelor și normelor specifice eticii și integrității organizaționale pentru aplicarea lor în cadrul unei cariere profesionale caracterizată de competență și corectitudine.</t>
  </si>
  <si>
    <t>7. Rezultatele învățării</t>
  </si>
  <si>
    <t>Cunoștințe</t>
  </si>
  <si>
    <t>Studentul / Absolventul:</t>
  </si>
  <si>
    <t xml:space="preserve">- diferențiază conceptele de etică, morală și integritate.
- identifică elemente ale legislației în domeniul eticii și integrității profesionale și academice. 
</t>
  </si>
  <si>
    <t>Aptitudini</t>
  </si>
  <si>
    <t>- utilizează conceptele specifice redactării unei lucrări științifice respectând principiile etice si de integritate academică.
- selectează modul de citare a surselor bibliografice.
- structurează drepturile de proprietate intelectuală acordate fiecărei caregorii de creație a minții.</t>
  </si>
  <si>
    <t>Responsabilitate și autonomie</t>
  </si>
  <si>
    <t>- demonstrează suficiente cunoștinte pentru elaborarea unui cod etic.
- studiază principiile eticii profesionale pentru redactarea unui cod etic.</t>
  </si>
  <si>
    <t xml:space="preserve">8. Metode de predare </t>
  </si>
  <si>
    <t>Expunere interactivă, studii de caz, discuții.</t>
  </si>
  <si>
    <t>9. Conţinuturi</t>
  </si>
  <si>
    <t>9.1. Curs</t>
  </si>
  <si>
    <t>Metode de predare</t>
  </si>
  <si>
    <t>Timp alocat</t>
  </si>
  <si>
    <t>C1 - C3</t>
  </si>
  <si>
    <t>Semnificaţia conceptelor de etică, morală, moralitate, integritate, deontologie, valori și principii, drepturi și responsabilități.</t>
  </si>
  <si>
    <t>Expunere interactivă, studii de caz, discuții</t>
  </si>
  <si>
    <t>6 ore</t>
  </si>
  <si>
    <t>C4 - C6</t>
  </si>
  <si>
    <t>Identificarea și cunoașterea legislației în domeniul eticii și integrității profesionale/academice.</t>
  </si>
  <si>
    <t>C7</t>
  </si>
  <si>
    <t>Redactarea și diseminarea rezultatelor unei lucrări științifice în conformitate cu principiile de etică și integritate academică.</t>
  </si>
  <si>
    <t>2 ore</t>
  </si>
  <si>
    <t>C8</t>
  </si>
  <si>
    <t>Moduri de citare a surselor bibliografice. Stilul Harvard și stilul Vancouver.</t>
  </si>
  <si>
    <t>C9</t>
  </si>
  <si>
    <t>Diferențe de abordare între lucrarea de licență/disertație/doctorat.</t>
  </si>
  <si>
    <t>C10 - C11</t>
  </si>
  <si>
    <t xml:space="preserve">Creația și proprietatea intelectuală. </t>
  </si>
  <si>
    <t>4 ore</t>
  </si>
  <si>
    <t>C12</t>
  </si>
  <si>
    <t>Problematica drepturilor de autor.</t>
  </si>
  <si>
    <t>C13 - C14</t>
  </si>
  <si>
    <t>Standarde și practici etice în domeniul ingineriei IT.</t>
  </si>
  <si>
    <t xml:space="preserve">Bibliografie curs:
1. Carmen Cozma - Etica, filozofie și știință a morale, note de curs, Universitatea Alexandru Ioan Cuza Iași 2018
2. COMEST - Report of COMEST on robotic ethics, Paris, 2017
3. Codul general de etică în cercetarea științifică. 2007. București.
4. Legea 206/2004 (modificată și completată) privind buna conduită în cercetarea științifică, dezvoltarea tehnologică și inovare. 
6. Neculai Seghedin – Proprietatea intelectuală și etica cercetării științifice, Editura Performantica 2018 
7. Spyros G Tzafestas - Ethics in robotics and automation: a general view, Int Rob Auto J. 2018:4(3):229‒234. 
</t>
  </si>
  <si>
    <t>9.2a Seminar</t>
  </si>
  <si>
    <t>Metode de lucru</t>
  </si>
  <si>
    <t>S1</t>
  </si>
  <si>
    <t>Etica și integritatea academică. Dileme etice.</t>
  </si>
  <si>
    <t>S2</t>
  </si>
  <si>
    <t>Valori personale si profesionale. Rezolvare chestionar.</t>
  </si>
  <si>
    <t>S3</t>
  </si>
  <si>
    <t>Redactarea unei lucrări științifice – modelul AIMRaD.</t>
  </si>
  <si>
    <t>S4</t>
  </si>
  <si>
    <t>Plagiatul și sistemele informatice de probare a plagiatului. Studii de caz.</t>
  </si>
  <si>
    <t>S5</t>
  </si>
  <si>
    <t>Proprietatea intelectuală. Studii de caz.</t>
  </si>
  <si>
    <t>S6</t>
  </si>
  <si>
    <t>Coduri de conduită și legislație în cercetarea academică.</t>
  </si>
  <si>
    <t>S7</t>
  </si>
  <si>
    <t xml:space="preserve">Elaborarea unui cod de conduită etic. </t>
  </si>
  <si>
    <t>9.2b Laborator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</si>
  <si>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</si>
  <si>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</si>
  <si>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</si>
  <si>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</si>
  <si>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</si>
  <si>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</si>
  <si>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</si>
  <si>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</si>
  <si>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</si>
  <si>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</si>
  <si>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</si>
  <si>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</si>
  <si>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</si>
  <si>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</si>
  <si>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9.2c Proiect</t>
  </si>
  <si>
    <t xml:space="preserve">Bibliografie aplicaţii (seminar / laborator / proiect):
1. Maria Gavrilescu - Elaborarea, evaluarea și prezentarea materialelor științifice, note de curs 2018
2. Codul de etică a Universității Tehnice “Gheorghe Asachi” din Iași
3. Neculai Seghedin – Proprietatea intelectuală și etica cercetării științifice, Editura Performantica 2018
4. Tănase Sârbu -  Etică: valori şi virtuţi morale, Editura Societăţii Academice „Matei Teiu Botez“, Iaşi, 2005.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</si>
  <si>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</si>
  <si>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</si>
  <si>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</si>
  <si>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</si>
  <si>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</si>
  <si>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</si>
  <si>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 xml:space="preserve">Completitudinea şi corectitudinea cunoştinţelor privind conceptele specifice eticii și integrității academice. 
Gradul de asimilare a limbajului de specialitate şi capacitatea de comunicare a cunoștințelor dobândite.
</t>
  </si>
  <si>
    <t>- test de evaluare sumativ, test grilă (verificare finală).</t>
  </si>
  <si>
    <t>100%</t>
  </si>
  <si>
    <t>10.5a Seminar</t>
  </si>
  <si>
    <t>Activitatea de seminar - Capacitatea de aplicare în practică a cunoştinţelor învăţate. Capacitatea de analiză și de interpretare personală a conceptelor de etică și integritate profesională.</t>
  </si>
  <si>
    <t>- participare activă la activități;
- teme de casa (min. 5 teme).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</si>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</sst>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9" fontId="2" fillId="3" borderId="12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2.xlsx" TargetMode="External"/><Relationship Id="rId1" Type="http://schemas.openxmlformats.org/officeDocument/2006/relationships/externalLinkPath" Target="/Users/Madalin/Downloads/FD%20AIA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MN"/>
      <sheetName val="ASDN"/>
      <sheetName val="MS"/>
      <sheetName val="ED"/>
      <sheetName val="SDA"/>
      <sheetName val="MSF"/>
      <sheetName val="IA"/>
      <sheetName val="BD"/>
      <sheetName val="AM"/>
      <sheetName val="TO"/>
      <sheetName val="SPD"/>
      <sheetName val="MT"/>
      <sheetName val="LE I"/>
      <sheetName val="LE II"/>
      <sheetName val="SP III"/>
      <sheetName val="CI"/>
      <sheetName val="E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2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Metode numerice</v>
          </cell>
          <cell r="D8" t="str">
            <v>Numerical Methods</v>
          </cell>
          <cell r="E8" t="str">
            <v>AIA201</v>
          </cell>
          <cell r="F8" t="str">
            <v>DI</v>
          </cell>
          <cell r="G8" t="str">
            <v>DF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69</v>
          </cell>
          <cell r="M8" t="str">
            <v>E</v>
          </cell>
          <cell r="N8">
            <v>5</v>
          </cell>
        </row>
        <row r="9">
          <cell r="A9">
            <v>1</v>
          </cell>
          <cell r="C9" t="str">
            <v>Analiza și sinteza dispozitivelor numerice</v>
          </cell>
          <cell r="D9" t="str">
            <v>Analysis and Synthesis of Digital Devices</v>
          </cell>
          <cell r="E9" t="str">
            <v>AIA202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E</v>
          </cell>
          <cell r="N9">
            <v>5</v>
          </cell>
        </row>
        <row r="10">
          <cell r="A10">
            <v>1</v>
          </cell>
          <cell r="C10" t="str">
            <v>Matematici speciale</v>
          </cell>
          <cell r="D10" t="str">
            <v>Advanced Mathematics</v>
          </cell>
          <cell r="E10" t="str">
            <v>AIA203</v>
          </cell>
          <cell r="F10" t="str">
            <v>DI</v>
          </cell>
          <cell r="G10" t="str">
            <v>DF</v>
          </cell>
          <cell r="H10">
            <v>2</v>
          </cell>
          <cell r="I10">
            <v>2</v>
          </cell>
          <cell r="J10">
            <v>0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Electronică digitală</v>
          </cell>
          <cell r="D11" t="str">
            <v>Digital Electronics</v>
          </cell>
          <cell r="E11" t="str">
            <v>AIA204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44</v>
          </cell>
          <cell r="M11" t="str">
            <v>C</v>
          </cell>
          <cell r="N11">
            <v>4</v>
          </cell>
        </row>
        <row r="12">
          <cell r="A12">
            <v>1</v>
          </cell>
          <cell r="C12" t="str">
            <v>Structuri de date și algoritmi</v>
          </cell>
          <cell r="D12" t="str">
            <v>Data Structures and Algorithms</v>
          </cell>
          <cell r="E12" t="str">
            <v>AIA205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69</v>
          </cell>
          <cell r="M12" t="str">
            <v>E</v>
          </cell>
          <cell r="N12">
            <v>5</v>
          </cell>
        </row>
        <row r="13">
          <cell r="A13">
            <v>1</v>
          </cell>
          <cell r="C13" t="str">
            <v>Modelarea sistemelor fizice</v>
          </cell>
          <cell r="D13" t="str">
            <v>Modelling of Physical Systems</v>
          </cell>
          <cell r="E13" t="str">
            <v>AIA206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69</v>
          </cell>
          <cell r="M13" t="str">
            <v>E</v>
          </cell>
          <cell r="N13">
            <v>5</v>
          </cell>
        </row>
        <row r="14">
          <cell r="A14">
            <v>2</v>
          </cell>
          <cell r="C14" t="str">
            <v>Introducere în automatică</v>
          </cell>
          <cell r="D14" t="str">
            <v>Fundamentals of Feedback Control</v>
          </cell>
          <cell r="E14" t="str">
            <v>AIA207</v>
          </cell>
          <cell r="F14" t="str">
            <v>DI</v>
          </cell>
          <cell r="G14" t="str">
            <v>DD</v>
          </cell>
          <cell r="H14">
            <v>3</v>
          </cell>
          <cell r="I14">
            <v>0</v>
          </cell>
          <cell r="J14">
            <v>2</v>
          </cell>
          <cell r="K14">
            <v>0</v>
          </cell>
          <cell r="L14">
            <v>55</v>
          </cell>
          <cell r="M14" t="str">
            <v>E</v>
          </cell>
          <cell r="N14">
            <v>5</v>
          </cell>
        </row>
        <row r="15">
          <cell r="A15">
            <v>2</v>
          </cell>
          <cell r="C15" t="str">
            <v>Baze de date</v>
          </cell>
          <cell r="D15" t="str">
            <v>Database Systems</v>
          </cell>
          <cell r="E15" t="str">
            <v>AIA208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44</v>
          </cell>
          <cell r="M15" t="str">
            <v>C</v>
          </cell>
          <cell r="N15">
            <v>4</v>
          </cell>
        </row>
        <row r="16">
          <cell r="A16">
            <v>2</v>
          </cell>
          <cell r="C16" t="str">
            <v>Automate și microprogramare</v>
          </cell>
          <cell r="D16" t="str">
            <v>Automata and Microprogramming</v>
          </cell>
          <cell r="E16" t="str">
            <v>AIA209</v>
          </cell>
          <cell r="F16" t="str">
            <v>DI</v>
          </cell>
          <cell r="G16" t="str">
            <v>DD</v>
          </cell>
          <cell r="H16">
            <v>2</v>
          </cell>
          <cell r="I16">
            <v>0</v>
          </cell>
          <cell r="J16">
            <v>1</v>
          </cell>
          <cell r="K16">
            <v>1</v>
          </cell>
          <cell r="L16">
            <v>69</v>
          </cell>
          <cell r="M16" t="str">
            <v>E</v>
          </cell>
          <cell r="N16">
            <v>5</v>
          </cell>
        </row>
        <row r="17">
          <cell r="A17">
            <v>2</v>
          </cell>
          <cell r="C17" t="str">
            <v>Tehnici de optimizare</v>
          </cell>
          <cell r="D17" t="str">
            <v>Optimization Techniques</v>
          </cell>
          <cell r="E17" t="str">
            <v>AIA210</v>
          </cell>
          <cell r="F17" t="str">
            <v>DI</v>
          </cell>
          <cell r="G17" t="str">
            <v>DD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69</v>
          </cell>
          <cell r="M17" t="str">
            <v>E</v>
          </cell>
          <cell r="N17">
            <v>5</v>
          </cell>
        </row>
        <row r="18">
          <cell r="A18">
            <v>2</v>
          </cell>
          <cell r="C18" t="str">
            <v>Statistică și prelucrarea datelor</v>
          </cell>
          <cell r="D18" t="str">
            <v>Statistics and Data Processing</v>
          </cell>
          <cell r="E18" t="str">
            <v>AIA211</v>
          </cell>
          <cell r="F18" t="str">
            <v>DI</v>
          </cell>
          <cell r="G18" t="str">
            <v>DF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69</v>
          </cell>
          <cell r="M18" t="str">
            <v>E</v>
          </cell>
          <cell r="N18">
            <v>5</v>
          </cell>
        </row>
        <row r="19">
          <cell r="A19">
            <v>2</v>
          </cell>
          <cell r="C19" t="str">
            <v>Măsurări și traductoare</v>
          </cell>
          <cell r="D19" t="str">
            <v>Measurements and Transducers</v>
          </cell>
          <cell r="E19" t="str">
            <v>AIA212</v>
          </cell>
          <cell r="F19" t="str">
            <v>DI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Limba engleză I</v>
          </cell>
          <cell r="D20" t="str">
            <v>The English Language I</v>
          </cell>
          <cell r="E20" t="str">
            <v>AIA213</v>
          </cell>
          <cell r="F20" t="str">
            <v>DI</v>
          </cell>
          <cell r="G20" t="str">
            <v>DC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11</v>
          </cell>
          <cell r="M20" t="str">
            <v>VP</v>
          </cell>
          <cell r="N20">
            <v>1</v>
          </cell>
        </row>
        <row r="21">
          <cell r="A21">
            <v>2</v>
          </cell>
          <cell r="C21" t="str">
            <v>Limba engleză II</v>
          </cell>
          <cell r="D21" t="str">
            <v>The English Language II</v>
          </cell>
          <cell r="E21" t="str">
            <v>AIA214</v>
          </cell>
          <cell r="F21" t="str">
            <v>DI</v>
          </cell>
          <cell r="G21" t="str">
            <v>DC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11</v>
          </cell>
          <cell r="M21" t="str">
            <v>VP</v>
          </cell>
          <cell r="N21">
            <v>1</v>
          </cell>
        </row>
        <row r="22">
          <cell r="A22">
            <v>1</v>
          </cell>
          <cell r="C22" t="str">
            <v>Sport III</v>
          </cell>
          <cell r="D22" t="str">
            <v>Physical Training III</v>
          </cell>
          <cell r="E22" t="str">
            <v>AIA215</v>
          </cell>
          <cell r="F22" t="str">
            <v>DI</v>
          </cell>
          <cell r="G22" t="str">
            <v>DC</v>
          </cell>
          <cell r="H22">
            <v>0</v>
          </cell>
          <cell r="I22">
            <v>1</v>
          </cell>
          <cell r="J22">
            <v>0</v>
          </cell>
          <cell r="K22">
            <v>0</v>
          </cell>
          <cell r="L22">
            <v>11</v>
          </cell>
          <cell r="M22" t="str">
            <v>VP (A/R)</v>
          </cell>
          <cell r="N22">
            <v>1</v>
          </cell>
        </row>
        <row r="23">
          <cell r="A23">
            <v>2</v>
          </cell>
          <cell r="C23" t="str">
            <v>Comunicare interculturală</v>
          </cell>
          <cell r="D23" t="str">
            <v>Intercultural communication</v>
          </cell>
          <cell r="E23" t="str">
            <v>AIA216</v>
          </cell>
          <cell r="F23" t="str">
            <v>DL</v>
          </cell>
          <cell r="G23" t="str">
            <v>DC</v>
          </cell>
          <cell r="H23">
            <v>1</v>
          </cell>
          <cell r="I23">
            <v>2</v>
          </cell>
          <cell r="J23">
            <v>0</v>
          </cell>
          <cell r="K23">
            <v>0</v>
          </cell>
          <cell r="L23">
            <v>33</v>
          </cell>
          <cell r="M23" t="str">
            <v>C</v>
          </cell>
          <cell r="N23">
            <v>3</v>
          </cell>
        </row>
        <row r="24">
          <cell r="A24">
            <v>2</v>
          </cell>
          <cell r="C24" t="str">
            <v>Etică și integritate</v>
          </cell>
          <cell r="D24" t="str">
            <v>Ethics and Integrity</v>
          </cell>
          <cell r="E24" t="str">
            <v>AIA217</v>
          </cell>
          <cell r="F24" t="str">
            <v>DL</v>
          </cell>
          <cell r="G24" t="str">
            <v>DC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33</v>
          </cell>
          <cell r="M24" t="str">
            <v>C</v>
          </cell>
          <cell r="N24">
            <v>3</v>
          </cell>
        </row>
        <row r="29">
          <cell r="C29">
            <v>45915</v>
          </cell>
        </row>
        <row r="30">
          <cell r="C30">
            <v>45918</v>
          </cell>
        </row>
        <row r="31">
          <cell r="C31" t="str">
            <v>Conf.dr.ing. Mihai POSTOLACHE</v>
          </cell>
        </row>
        <row r="32">
          <cell r="C32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C7E1-CAA7-4778-8553-13BD45F58D97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INDEX([1]Date!D8:D24, MATCH(E12,[1]Date!C8:C24,0),0)</f>
        <v>Ethics and Integrity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INDEX([1]Date!E8:E24, MATCH(E12,[1]Date!C8:C24,0),0)</f>
        <v>AIA217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INDEX([1]Date!G8:G24, MATCH(E12,[1]Date!C8:C24,0),0)</f>
        <v>DC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/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20</v>
      </c>
      <c r="B23" s="10"/>
      <c r="C23" s="27">
        <f>[1]Date!B4</f>
        <v>2</v>
      </c>
      <c r="D23" s="28" t="s">
        <v>21</v>
      </c>
      <c r="E23" s="27">
        <f t="array" aca="1" ref="E23" ca="1">INDEX([1]Date!A8:A24, MATCH(E12,[1]Date!C8:C24,0),0)</f>
        <v>2</v>
      </c>
      <c r="F23" s="29" t="s">
        <v>22</v>
      </c>
      <c r="G23" s="8"/>
      <c r="H23" s="10"/>
      <c r="I23" s="22" t="str">
        <f t="array" aca="1" ref="I23" ca="1">INDEX([1]Date!M8:M24, MATCH(E12,[1]Date!C8:C24,0),0)</f>
        <v>C</v>
      </c>
      <c r="J23" s="29" t="s">
        <v>23</v>
      </c>
      <c r="K23" s="8"/>
      <c r="L23" s="10"/>
      <c r="M23" s="27" t="str">
        <f t="array" aca="1" ref="M23" ca="1">INDEX([1]Date!F8:F24, MATCH(E12,[1]Date!C8:C24,0),0)</f>
        <v>DL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25</v>
      </c>
      <c r="B26" s="10"/>
      <c r="C26" s="31">
        <f ca="1">SUM(E26+G26+I26+K26)</f>
        <v>3</v>
      </c>
      <c r="D26" s="28" t="s">
        <v>26</v>
      </c>
      <c r="E26" s="27">
        <f t="array" aca="1" ref="E26" ca="1">INDEX([1]Date!H8:H24, MATCH(E12,[1]Date!C8:C24,0),0)</f>
        <v>2</v>
      </c>
      <c r="F26" s="28" t="s">
        <v>27</v>
      </c>
      <c r="G26" s="31">
        <f t="array" aca="1" ref="G26" ca="1">INDEX([1]Date!I8:I24, MATCH(E12,[1]Date!C8:C24,0),0)</f>
        <v>1</v>
      </c>
      <c r="H26" s="28" t="s">
        <v>28</v>
      </c>
      <c r="I26" s="31">
        <f t="array" aca="1" ref="I26" ca="1">INDEX([1]Date!J8:J24, MATCH(E12,[1]Date!C8:C24,0),0)</f>
        <v>0</v>
      </c>
      <c r="J26" s="28" t="s">
        <v>29</v>
      </c>
      <c r="K26" s="27">
        <f t="array" aca="1" ref="K26" ca="1">INDEX([1]Date!K8:K24, MATCH(E12,[1]Date!C8:C24,0),0)</f>
        <v>0</v>
      </c>
      <c r="L26" s="7" t="s">
        <v>30</v>
      </c>
      <c r="M26" s="10"/>
      <c r="N26" s="30"/>
    </row>
    <row r="27" spans="1:14" ht="31" x14ac:dyDescent="0.35">
      <c r="A27" s="7" t="s">
        <v>31</v>
      </c>
      <c r="B27" s="10"/>
      <c r="C27" s="27">
        <f ca="1">C26*14</f>
        <v>42</v>
      </c>
      <c r="D27" s="28" t="s">
        <v>32</v>
      </c>
      <c r="E27" s="27">
        <f ca="1">E26*14</f>
        <v>28</v>
      </c>
      <c r="F27" s="28" t="s">
        <v>33</v>
      </c>
      <c r="G27" s="27">
        <f ca="1">G26*14</f>
        <v>14</v>
      </c>
      <c r="H27" s="28" t="s">
        <v>34</v>
      </c>
      <c r="I27" s="27">
        <f ca="1">I26*14</f>
        <v>0</v>
      </c>
      <c r="J27" s="28" t="s">
        <v>35</v>
      </c>
      <c r="K27" s="27">
        <f ca="1">K26*14</f>
        <v>0</v>
      </c>
      <c r="L27" s="28" t="s">
        <v>36</v>
      </c>
      <c r="M27" s="27">
        <v>0</v>
      </c>
      <c r="N27" s="5"/>
    </row>
    <row r="28" spans="1:14" ht="15.5" x14ac:dyDescent="0.35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38</v>
      </c>
      <c r="N28" s="5"/>
    </row>
    <row r="29" spans="1:14" ht="15.5" x14ac:dyDescent="0.35">
      <c r="A29" s="7" t="s">
        <v>39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13</v>
      </c>
      <c r="N29" s="5"/>
    </row>
    <row r="30" spans="1:14" ht="15.5" x14ac:dyDescent="0.35">
      <c r="A30" s="7" t="s">
        <v>40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10</v>
      </c>
      <c r="N30" s="5"/>
    </row>
    <row r="31" spans="1:14" ht="15.5" x14ac:dyDescent="0.35">
      <c r="A31" s="7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10</v>
      </c>
      <c r="N31" s="5"/>
    </row>
    <row r="32" spans="1:14" ht="15.5" x14ac:dyDescent="0.35">
      <c r="A32" s="7" t="s">
        <v>42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IF(INDEX([1]Date!M8:M24, MATCH(E12,[1]Date!C8:C24,0),0)="E",3,0)</f>
        <v>0</v>
      </c>
      <c r="N32" s="5"/>
    </row>
    <row r="33" spans="1:14" ht="15.5" x14ac:dyDescent="0.35">
      <c r="A33" s="7" t="s">
        <v>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44</v>
      </c>
      <c r="B34" s="10"/>
      <c r="C34" s="27">
        <f t="array" aca="1" ref="C34" ca="1">INDEX([1]Date!L8:L24, MATCH(E12,[1]Date!C8:C24,0),0)</f>
        <v>33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45</v>
      </c>
      <c r="B35" s="10"/>
      <c r="C35" s="27">
        <f ca="1">C27+M32+C34</f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46</v>
      </c>
      <c r="B36" s="10"/>
      <c r="C36" s="27">
        <f t="array" aca="1" ref="C36" ca="1">INDEX([1]Date!N8:N24, MATCH(E12,[1]Date!C8:C24,0),0)</f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48</v>
      </c>
      <c r="B39" s="10"/>
      <c r="C39" s="9" t="s">
        <v>49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50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52</v>
      </c>
      <c r="B43" s="10"/>
      <c r="C43" s="23" t="s">
        <v>53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54</v>
      </c>
      <c r="B44" s="10"/>
      <c r="C44" s="23" t="s">
        <v>55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57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59</v>
      </c>
      <c r="B50" s="34" t="s">
        <v>60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62.25" customHeight="1" x14ac:dyDescent="0.35">
      <c r="A51" s="35"/>
      <c r="B51" s="36" t="s">
        <v>61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62</v>
      </c>
      <c r="B52" s="34" t="s">
        <v>60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63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64</v>
      </c>
      <c r="B54" s="34" t="s">
        <v>60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15.5" x14ac:dyDescent="0.35">
      <c r="A58" s="23" t="s">
        <v>67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69</v>
      </c>
      <c r="B61" s="8"/>
      <c r="C61" s="8"/>
      <c r="D61" s="8"/>
      <c r="E61" s="8"/>
      <c r="F61" s="8"/>
      <c r="G61" s="10"/>
      <c r="H61" s="38" t="s">
        <v>70</v>
      </c>
      <c r="I61" s="8"/>
      <c r="J61" s="8"/>
      <c r="K61" s="10"/>
      <c r="L61" s="38" t="s">
        <v>71</v>
      </c>
      <c r="M61" s="10"/>
      <c r="N61" s="30"/>
    </row>
    <row r="62" spans="1:14" ht="15.5" x14ac:dyDescent="0.35">
      <c r="A62" s="39" t="s">
        <v>72</v>
      </c>
      <c r="B62" s="40" t="s">
        <v>73</v>
      </c>
      <c r="C62" s="8"/>
      <c r="D62" s="8"/>
      <c r="E62" s="8"/>
      <c r="F62" s="8"/>
      <c r="G62" s="10"/>
      <c r="H62" s="41" t="s">
        <v>74</v>
      </c>
      <c r="I62" s="14"/>
      <c r="J62" s="14"/>
      <c r="K62" s="15"/>
      <c r="L62" s="42" t="s">
        <v>75</v>
      </c>
      <c r="M62" s="10"/>
      <c r="N62" s="5"/>
    </row>
    <row r="63" spans="1:14" ht="15.5" x14ac:dyDescent="0.35">
      <c r="A63" s="39" t="s">
        <v>76</v>
      </c>
      <c r="B63" s="43" t="s">
        <v>77</v>
      </c>
      <c r="C63" s="8"/>
      <c r="D63" s="8"/>
      <c r="E63" s="8"/>
      <c r="F63" s="8"/>
      <c r="G63" s="10"/>
      <c r="H63" s="25"/>
      <c r="I63" s="2"/>
      <c r="J63" s="2"/>
      <c r="K63" s="26"/>
      <c r="L63" s="42" t="s">
        <v>75</v>
      </c>
      <c r="M63" s="10"/>
      <c r="N63" s="5"/>
    </row>
    <row r="64" spans="1:14" ht="15.5" x14ac:dyDescent="0.35">
      <c r="A64" s="39" t="s">
        <v>78</v>
      </c>
      <c r="B64" s="40" t="s">
        <v>79</v>
      </c>
      <c r="C64" s="8"/>
      <c r="D64" s="8"/>
      <c r="E64" s="8"/>
      <c r="F64" s="8"/>
      <c r="G64" s="10"/>
      <c r="H64" s="25"/>
      <c r="I64" s="2"/>
      <c r="J64" s="2"/>
      <c r="K64" s="26"/>
      <c r="L64" s="42" t="s">
        <v>80</v>
      </c>
      <c r="M64" s="10"/>
      <c r="N64" s="5"/>
    </row>
    <row r="65" spans="1:14" ht="15.5" x14ac:dyDescent="0.35">
      <c r="A65" s="39" t="s">
        <v>81</v>
      </c>
      <c r="B65" s="43" t="s">
        <v>82</v>
      </c>
      <c r="C65" s="8"/>
      <c r="D65" s="8"/>
      <c r="E65" s="8"/>
      <c r="F65" s="8"/>
      <c r="G65" s="10"/>
      <c r="H65" s="25"/>
      <c r="I65" s="2"/>
      <c r="J65" s="2"/>
      <c r="K65" s="26"/>
      <c r="L65" s="42" t="s">
        <v>80</v>
      </c>
      <c r="M65" s="10"/>
      <c r="N65" s="5"/>
    </row>
    <row r="66" spans="1:14" ht="15.5" x14ac:dyDescent="0.35">
      <c r="A66" s="39" t="s">
        <v>83</v>
      </c>
      <c r="B66" s="43" t="s">
        <v>84</v>
      </c>
      <c r="C66" s="8"/>
      <c r="D66" s="8"/>
      <c r="E66" s="8"/>
      <c r="F66" s="8"/>
      <c r="G66" s="10"/>
      <c r="H66" s="25"/>
      <c r="I66" s="2"/>
      <c r="J66" s="2"/>
      <c r="K66" s="26"/>
      <c r="L66" s="42" t="s">
        <v>80</v>
      </c>
      <c r="M66" s="10"/>
      <c r="N66" s="5"/>
    </row>
    <row r="67" spans="1:14" ht="31" x14ac:dyDescent="0.35">
      <c r="A67" s="39" t="s">
        <v>85</v>
      </c>
      <c r="B67" s="43" t="s">
        <v>86</v>
      </c>
      <c r="C67" s="8"/>
      <c r="D67" s="8"/>
      <c r="E67" s="8"/>
      <c r="F67" s="8"/>
      <c r="G67" s="10"/>
      <c r="H67" s="25"/>
      <c r="I67" s="2"/>
      <c r="J67" s="2"/>
      <c r="K67" s="26"/>
      <c r="L67" s="42" t="s">
        <v>87</v>
      </c>
      <c r="M67" s="10"/>
      <c r="N67" s="5"/>
    </row>
    <row r="68" spans="1:14" ht="15.5" x14ac:dyDescent="0.35">
      <c r="A68" s="39" t="s">
        <v>88</v>
      </c>
      <c r="B68" s="43" t="s">
        <v>89</v>
      </c>
      <c r="C68" s="8"/>
      <c r="D68" s="8"/>
      <c r="E68" s="8"/>
      <c r="F68" s="8"/>
      <c r="G68" s="10"/>
      <c r="H68" s="25"/>
      <c r="I68" s="2"/>
      <c r="J68" s="2"/>
      <c r="K68" s="26"/>
      <c r="L68" s="42" t="s">
        <v>80</v>
      </c>
      <c r="M68" s="10"/>
      <c r="N68" s="5"/>
    </row>
    <row r="69" spans="1:14" ht="31" x14ac:dyDescent="0.35">
      <c r="A69" s="39" t="s">
        <v>90</v>
      </c>
      <c r="B69" s="43" t="s">
        <v>91</v>
      </c>
      <c r="C69" s="8"/>
      <c r="D69" s="8"/>
      <c r="E69" s="8"/>
      <c r="F69" s="8"/>
      <c r="G69" s="10"/>
      <c r="H69" s="25"/>
      <c r="I69" s="2"/>
      <c r="J69" s="2"/>
      <c r="K69" s="26"/>
      <c r="L69" s="42" t="s">
        <v>87</v>
      </c>
      <c r="M69" s="10"/>
      <c r="N69" s="5"/>
    </row>
    <row r="70" spans="1:14" ht="15.5" hidden="1" x14ac:dyDescent="0.35">
      <c r="A70" s="44"/>
      <c r="B70" s="23"/>
      <c r="C70" s="8"/>
      <c r="D70" s="8"/>
      <c r="E70" s="8"/>
      <c r="F70" s="8"/>
      <c r="G70" s="10"/>
      <c r="H70" s="25"/>
      <c r="I70" s="2"/>
      <c r="J70" s="2"/>
      <c r="K70" s="26"/>
      <c r="L70" s="23"/>
      <c r="M70" s="10"/>
      <c r="N70" s="5"/>
    </row>
    <row r="71" spans="1:14" ht="15.5" hidden="1" x14ac:dyDescent="0.35">
      <c r="A71" s="44"/>
      <c r="B71" s="23"/>
      <c r="C71" s="8"/>
      <c r="D71" s="8"/>
      <c r="E71" s="8"/>
      <c r="F71" s="8"/>
      <c r="G71" s="10"/>
      <c r="H71" s="25"/>
      <c r="I71" s="2"/>
      <c r="J71" s="2"/>
      <c r="K71" s="26"/>
      <c r="L71" s="23"/>
      <c r="M71" s="10"/>
      <c r="N71" s="5"/>
    </row>
    <row r="72" spans="1:14" ht="15.5" hidden="1" x14ac:dyDescent="0.35">
      <c r="A72" s="44"/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44"/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44"/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44"/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15.5" x14ac:dyDescent="0.35">
      <c r="A76" s="37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customHeight="1" x14ac:dyDescent="0.35">
      <c r="A77" s="38" t="s">
        <v>93</v>
      </c>
      <c r="B77" s="8"/>
      <c r="C77" s="8"/>
      <c r="D77" s="8"/>
      <c r="E77" s="8"/>
      <c r="F77" s="8"/>
      <c r="G77" s="10"/>
      <c r="H77" s="38" t="s">
        <v>94</v>
      </c>
      <c r="I77" s="8"/>
      <c r="J77" s="8"/>
      <c r="K77" s="10"/>
      <c r="L77" s="38" t="s">
        <v>71</v>
      </c>
      <c r="M77" s="10"/>
      <c r="N77" s="30"/>
    </row>
    <row r="78" spans="1:14" ht="15.5" x14ac:dyDescent="0.35">
      <c r="A78" s="44" t="s">
        <v>95</v>
      </c>
      <c r="B78" s="43" t="s">
        <v>96</v>
      </c>
      <c r="C78" s="8"/>
      <c r="D78" s="8"/>
      <c r="E78" s="8"/>
      <c r="F78" s="8"/>
      <c r="G78" s="10"/>
      <c r="H78" s="41" t="s">
        <v>74</v>
      </c>
      <c r="I78" s="14"/>
      <c r="J78" s="14"/>
      <c r="K78" s="15"/>
      <c r="L78" s="42" t="s">
        <v>80</v>
      </c>
      <c r="M78" s="10"/>
      <c r="N78" s="5"/>
    </row>
    <row r="79" spans="1:14" ht="15.5" x14ac:dyDescent="0.35">
      <c r="A79" s="44" t="s">
        <v>97</v>
      </c>
      <c r="B79" s="43" t="s">
        <v>98</v>
      </c>
      <c r="C79" s="8"/>
      <c r="D79" s="8"/>
      <c r="E79" s="8"/>
      <c r="F79" s="8"/>
      <c r="G79" s="10"/>
      <c r="H79" s="25"/>
      <c r="I79" s="2"/>
      <c r="J79" s="2"/>
      <c r="K79" s="26"/>
      <c r="L79" s="42" t="s">
        <v>80</v>
      </c>
      <c r="M79" s="10"/>
      <c r="N79" s="5"/>
    </row>
    <row r="80" spans="1:14" ht="15.5" x14ac:dyDescent="0.35">
      <c r="A80" s="44" t="s">
        <v>99</v>
      </c>
      <c r="B80" s="43" t="s">
        <v>100</v>
      </c>
      <c r="C80" s="8"/>
      <c r="D80" s="8"/>
      <c r="E80" s="8"/>
      <c r="F80" s="8"/>
      <c r="G80" s="10"/>
      <c r="H80" s="25"/>
      <c r="I80" s="2"/>
      <c r="J80" s="2"/>
      <c r="K80" s="26"/>
      <c r="L80" s="42" t="s">
        <v>80</v>
      </c>
      <c r="M80" s="10"/>
      <c r="N80" s="5"/>
    </row>
    <row r="81" spans="1:14" ht="15.5" x14ac:dyDescent="0.35">
      <c r="A81" s="44" t="s">
        <v>101</v>
      </c>
      <c r="B81" s="43" t="s">
        <v>102</v>
      </c>
      <c r="C81" s="8"/>
      <c r="D81" s="8"/>
      <c r="E81" s="8"/>
      <c r="F81" s="8"/>
      <c r="G81" s="10"/>
      <c r="H81" s="25"/>
      <c r="I81" s="2"/>
      <c r="J81" s="2"/>
      <c r="K81" s="26"/>
      <c r="L81" s="42" t="s">
        <v>80</v>
      </c>
      <c r="M81" s="10"/>
      <c r="N81" s="5"/>
    </row>
    <row r="82" spans="1:14" ht="15.5" x14ac:dyDescent="0.35">
      <c r="A82" s="44" t="s">
        <v>103</v>
      </c>
      <c r="B82" s="43" t="s">
        <v>104</v>
      </c>
      <c r="C82" s="8"/>
      <c r="D82" s="8"/>
      <c r="E82" s="8"/>
      <c r="F82" s="8"/>
      <c r="G82" s="10"/>
      <c r="H82" s="25"/>
      <c r="I82" s="2"/>
      <c r="J82" s="2"/>
      <c r="K82" s="26"/>
      <c r="L82" s="42" t="s">
        <v>80</v>
      </c>
      <c r="M82" s="10"/>
      <c r="N82" s="5"/>
    </row>
    <row r="83" spans="1:14" ht="15.5" x14ac:dyDescent="0.35">
      <c r="A83" s="44" t="s">
        <v>105</v>
      </c>
      <c r="B83" s="43" t="s">
        <v>106</v>
      </c>
      <c r="C83" s="8"/>
      <c r="D83" s="8"/>
      <c r="E83" s="8"/>
      <c r="F83" s="8"/>
      <c r="G83" s="10"/>
      <c r="H83" s="25"/>
      <c r="I83" s="2"/>
      <c r="J83" s="2"/>
      <c r="K83" s="26"/>
      <c r="L83" s="42" t="s">
        <v>80</v>
      </c>
      <c r="M83" s="10"/>
      <c r="N83" s="5"/>
    </row>
    <row r="84" spans="1:14" ht="15.5" x14ac:dyDescent="0.35">
      <c r="A84" s="44" t="s">
        <v>107</v>
      </c>
      <c r="B84" s="43" t="s">
        <v>108</v>
      </c>
      <c r="C84" s="8"/>
      <c r="D84" s="8"/>
      <c r="E84" s="8"/>
      <c r="F84" s="8"/>
      <c r="G84" s="10"/>
      <c r="H84" s="25"/>
      <c r="I84" s="2"/>
      <c r="J84" s="2"/>
      <c r="K84" s="26"/>
      <c r="L84" s="42" t="s">
        <v>80</v>
      </c>
      <c r="M84" s="10"/>
      <c r="N84" s="5"/>
    </row>
    <row r="85" spans="1:14" ht="15.5" hidden="1" x14ac:dyDescent="0.35">
      <c r="A85" s="44"/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44"/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44"/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44"/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44"/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44"/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44"/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hidden="1" customHeight="1" x14ac:dyDescent="0.35">
      <c r="A92" s="38" t="s">
        <v>109</v>
      </c>
      <c r="B92" s="8"/>
      <c r="C92" s="8"/>
      <c r="D92" s="8"/>
      <c r="E92" s="8"/>
      <c r="F92" s="8"/>
      <c r="G92" s="10"/>
      <c r="H92" s="38" t="s">
        <v>94</v>
      </c>
      <c r="I92" s="8"/>
      <c r="J92" s="8"/>
      <c r="K92" s="10"/>
      <c r="L92" s="38" t="s">
        <v>71</v>
      </c>
      <c r="M92" s="10"/>
      <c r="N92" s="30"/>
    </row>
    <row r="93" spans="1:14" ht="15.5" hidden="1" x14ac:dyDescent="0.35">
      <c r="A93" s="44" t="s">
        <v>110</v>
      </c>
      <c r="B93" s="23"/>
      <c r="C93" s="8"/>
      <c r="D93" s="8"/>
      <c r="E93" s="8"/>
      <c r="F93" s="8"/>
      <c r="G93" s="10"/>
      <c r="H93" s="41"/>
      <c r="I93" s="14"/>
      <c r="J93" s="14"/>
      <c r="K93" s="15"/>
      <c r="L93" s="23"/>
      <c r="M93" s="10"/>
      <c r="N93" s="5"/>
    </row>
    <row r="94" spans="1:14" ht="15.5" hidden="1" x14ac:dyDescent="0.35">
      <c r="A94" s="44" t="s">
        <v>111</v>
      </c>
      <c r="B94" s="23"/>
      <c r="C94" s="8"/>
      <c r="D94" s="8"/>
      <c r="E94" s="8"/>
      <c r="F94" s="8"/>
      <c r="G94" s="10"/>
      <c r="H94" s="25"/>
      <c r="I94" s="2"/>
      <c r="J94" s="2"/>
      <c r="K94" s="26"/>
      <c r="L94" s="23"/>
      <c r="M94" s="10"/>
      <c r="N94" s="5"/>
    </row>
    <row r="95" spans="1:14" ht="15.5" hidden="1" x14ac:dyDescent="0.35">
      <c r="A95" s="44" t="s">
        <v>112</v>
      </c>
      <c r="B95" s="23"/>
      <c r="C95" s="8"/>
      <c r="D95" s="8"/>
      <c r="E95" s="8"/>
      <c r="F95" s="8"/>
      <c r="G95" s="10"/>
      <c r="H95" s="25"/>
      <c r="I95" s="2"/>
      <c r="J95" s="2"/>
      <c r="K95" s="26"/>
      <c r="L95" s="23"/>
      <c r="M95" s="10"/>
      <c r="N95" s="5"/>
    </row>
    <row r="96" spans="1:14" ht="15.5" hidden="1" x14ac:dyDescent="0.35">
      <c r="A96" s="44" t="s">
        <v>113</v>
      </c>
      <c r="B96" s="23"/>
      <c r="C96" s="8"/>
      <c r="D96" s="8"/>
      <c r="E96" s="8"/>
      <c r="F96" s="8"/>
      <c r="G96" s="10"/>
      <c r="H96" s="25"/>
      <c r="I96" s="2"/>
      <c r="J96" s="2"/>
      <c r="K96" s="26"/>
      <c r="L96" s="23"/>
      <c r="M96" s="10"/>
      <c r="N96" s="5"/>
    </row>
    <row r="97" spans="1:14" ht="15.5" hidden="1" x14ac:dyDescent="0.35">
      <c r="A97" s="44" t="s">
        <v>114</v>
      </c>
      <c r="B97" s="23"/>
      <c r="C97" s="8"/>
      <c r="D97" s="8"/>
      <c r="E97" s="8"/>
      <c r="F97" s="8"/>
      <c r="G97" s="10"/>
      <c r="H97" s="25"/>
      <c r="I97" s="2"/>
      <c r="J97" s="2"/>
      <c r="K97" s="26"/>
      <c r="L97" s="23"/>
      <c r="M97" s="10"/>
      <c r="N97" s="5"/>
    </row>
    <row r="98" spans="1:14" ht="15.5" hidden="1" x14ac:dyDescent="0.35">
      <c r="A98" s="44" t="s">
        <v>115</v>
      </c>
      <c r="B98" s="23"/>
      <c r="C98" s="8"/>
      <c r="D98" s="8"/>
      <c r="E98" s="8"/>
      <c r="F98" s="8"/>
      <c r="G98" s="10"/>
      <c r="H98" s="25"/>
      <c r="I98" s="2"/>
      <c r="J98" s="2"/>
      <c r="K98" s="26"/>
      <c r="L98" s="23"/>
      <c r="M98" s="10"/>
      <c r="N98" s="5"/>
    </row>
    <row r="99" spans="1:14" ht="15.5" hidden="1" x14ac:dyDescent="0.35">
      <c r="A99" s="44" t="s">
        <v>116</v>
      </c>
      <c r="B99" s="23"/>
      <c r="C99" s="8"/>
      <c r="D99" s="8"/>
      <c r="E99" s="8"/>
      <c r="F99" s="8"/>
      <c r="G99" s="10"/>
      <c r="H99" s="25"/>
      <c r="I99" s="2"/>
      <c r="J99" s="2"/>
      <c r="K99" s="26"/>
      <c r="L99" s="23"/>
      <c r="M99" s="10"/>
      <c r="N99" s="5"/>
    </row>
    <row r="100" spans="1:14" ht="15.5" hidden="1" x14ac:dyDescent="0.35">
      <c r="A100" s="44" t="s">
        <v>117</v>
      </c>
      <c r="B100" s="23"/>
      <c r="C100" s="8"/>
      <c r="D100" s="8"/>
      <c r="E100" s="8"/>
      <c r="F100" s="8"/>
      <c r="G100" s="10"/>
      <c r="H100" s="25"/>
      <c r="I100" s="2"/>
      <c r="J100" s="2"/>
      <c r="K100" s="26"/>
      <c r="L100" s="23"/>
      <c r="M100" s="10"/>
      <c r="N100" s="5"/>
    </row>
    <row r="101" spans="1:14" ht="15.5" hidden="1" x14ac:dyDescent="0.35">
      <c r="A101" s="44" t="s">
        <v>118</v>
      </c>
      <c r="B101" s="23"/>
      <c r="C101" s="8"/>
      <c r="D101" s="8"/>
      <c r="E101" s="8"/>
      <c r="F101" s="8"/>
      <c r="G101" s="10"/>
      <c r="H101" s="25"/>
      <c r="I101" s="2"/>
      <c r="J101" s="2"/>
      <c r="K101" s="26"/>
      <c r="L101" s="23"/>
      <c r="M101" s="10"/>
      <c r="N101" s="5"/>
    </row>
    <row r="102" spans="1:14" ht="15.5" hidden="1" x14ac:dyDescent="0.35">
      <c r="A102" s="44" t="s">
        <v>119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44" t="s">
        <v>120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44" t="s">
        <v>121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44" t="s">
        <v>122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44" t="s">
        <v>123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hidden="1" customHeight="1" x14ac:dyDescent="0.35">
      <c r="A107" s="38" t="s">
        <v>124</v>
      </c>
      <c r="B107" s="8"/>
      <c r="C107" s="8"/>
      <c r="D107" s="8"/>
      <c r="E107" s="8"/>
      <c r="F107" s="8"/>
      <c r="G107" s="10"/>
      <c r="H107" s="38" t="s">
        <v>94</v>
      </c>
      <c r="I107" s="8"/>
      <c r="J107" s="8"/>
      <c r="K107" s="10"/>
      <c r="L107" s="38" t="s">
        <v>71</v>
      </c>
      <c r="M107" s="10"/>
      <c r="N107" s="30"/>
    </row>
    <row r="108" spans="1:14" ht="15.5" hidden="1" x14ac:dyDescent="0.35">
      <c r="A108" s="44" t="s">
        <v>110</v>
      </c>
      <c r="B108" s="23"/>
      <c r="C108" s="8"/>
      <c r="D108" s="8"/>
      <c r="E108" s="8"/>
      <c r="F108" s="8"/>
      <c r="G108" s="10"/>
      <c r="H108" s="41"/>
      <c r="I108" s="14"/>
      <c r="J108" s="14"/>
      <c r="K108" s="15"/>
      <c r="L108" s="23"/>
      <c r="M108" s="10"/>
      <c r="N108" s="5"/>
    </row>
    <row r="109" spans="1:14" ht="15.5" hidden="1" x14ac:dyDescent="0.35">
      <c r="A109" s="44" t="s">
        <v>111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44" t="s">
        <v>112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44" t="s">
        <v>113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44" t="s">
        <v>114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44" t="s">
        <v>115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44" t="s">
        <v>116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44" t="s">
        <v>117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44" t="s">
        <v>118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44" t="s">
        <v>119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44" t="s">
        <v>120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44" t="s">
        <v>121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44" t="s">
        <v>122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44" t="s">
        <v>123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125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5" t="s">
        <v>127</v>
      </c>
      <c r="B125" s="46" t="s">
        <v>128</v>
      </c>
      <c r="C125" s="8"/>
      <c r="D125" s="8"/>
      <c r="E125" s="8"/>
      <c r="F125" s="8"/>
      <c r="G125" s="10"/>
      <c r="H125" s="46" t="s">
        <v>129</v>
      </c>
      <c r="I125" s="8"/>
      <c r="J125" s="8"/>
      <c r="K125" s="10"/>
      <c r="L125" s="47" t="s">
        <v>130</v>
      </c>
      <c r="M125" s="10"/>
      <c r="N125" s="5"/>
    </row>
    <row r="126" spans="1:14" ht="43.5" customHeight="1" x14ac:dyDescent="0.35">
      <c r="A126" s="48" t="s">
        <v>131</v>
      </c>
      <c r="B126" s="49" t="s">
        <v>132</v>
      </c>
      <c r="C126" s="14"/>
      <c r="D126" s="14"/>
      <c r="E126" s="14"/>
      <c r="F126" s="14"/>
      <c r="G126" s="15"/>
      <c r="H126" s="50" t="s">
        <v>133</v>
      </c>
      <c r="I126" s="14"/>
      <c r="J126" s="14"/>
      <c r="K126" s="51" t="s">
        <v>134</v>
      </c>
      <c r="L126" s="52">
        <f>1-SUM(L129:M131)</f>
        <v>0.5</v>
      </c>
      <c r="M126" s="15"/>
      <c r="N126" s="5"/>
    </row>
    <row r="127" spans="1:14" ht="15.5" x14ac:dyDescent="0.35">
      <c r="A127" s="53"/>
      <c r="B127" s="25"/>
      <c r="C127" s="2"/>
      <c r="D127" s="2"/>
      <c r="E127" s="2"/>
      <c r="F127" s="2"/>
      <c r="G127" s="26"/>
      <c r="H127" s="25"/>
      <c r="I127" s="2"/>
      <c r="J127" s="2"/>
      <c r="K127" s="53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8"/>
      <c r="K128" s="35"/>
      <c r="L128" s="24"/>
      <c r="M128" s="19"/>
      <c r="N128" s="5"/>
    </row>
    <row r="129" spans="1:14" ht="68.25" customHeight="1" x14ac:dyDescent="0.35">
      <c r="A129" s="45" t="s">
        <v>135</v>
      </c>
      <c r="B129" s="54" t="s">
        <v>136</v>
      </c>
      <c r="C129" s="8"/>
      <c r="D129" s="8"/>
      <c r="E129" s="8"/>
      <c r="F129" s="8"/>
      <c r="G129" s="10"/>
      <c r="H129" s="54" t="s">
        <v>137</v>
      </c>
      <c r="I129" s="8"/>
      <c r="J129" s="8"/>
      <c r="K129" s="10"/>
      <c r="L129" s="55">
        <v>0.5</v>
      </c>
      <c r="M129" s="10"/>
      <c r="N129" s="5"/>
    </row>
    <row r="130" spans="1:14" ht="46.5" hidden="1" x14ac:dyDescent="0.35">
      <c r="A130" s="45" t="s">
        <v>138</v>
      </c>
      <c r="B130" s="56" t="s">
        <v>139</v>
      </c>
      <c r="C130" s="8"/>
      <c r="D130" s="8"/>
      <c r="E130" s="8"/>
      <c r="F130" s="8"/>
      <c r="G130" s="10"/>
      <c r="H130" s="54" t="s">
        <v>140</v>
      </c>
      <c r="I130" s="8"/>
      <c r="J130" s="8"/>
      <c r="K130" s="10"/>
      <c r="L130" s="55"/>
      <c r="M130" s="10"/>
      <c r="N130" s="5"/>
    </row>
    <row r="131" spans="1:14" ht="31" hidden="1" x14ac:dyDescent="0.35">
      <c r="A131" s="45" t="s">
        <v>141</v>
      </c>
      <c r="B131" s="56" t="s">
        <v>142</v>
      </c>
      <c r="C131" s="8"/>
      <c r="D131" s="8"/>
      <c r="E131" s="8"/>
      <c r="F131" s="8"/>
      <c r="G131" s="10"/>
      <c r="H131" s="54" t="s">
        <v>143</v>
      </c>
      <c r="I131" s="8"/>
      <c r="J131" s="8"/>
      <c r="K131" s="10"/>
      <c r="L131" s="55"/>
      <c r="M131" s="10"/>
      <c r="N131" s="5"/>
    </row>
    <row r="132" spans="1:14" ht="15.5" x14ac:dyDescent="0.35">
      <c r="A132" s="46" t="s">
        <v>144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7" t="s">
        <v>145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8" t="s">
        <v>146</v>
      </c>
      <c r="B135" s="10"/>
      <c r="C135" s="59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8" t="s">
        <v>147</v>
      </c>
      <c r="B137" s="10"/>
      <c r="C137" s="9" t="str">
        <f>E15</f>
        <v>conf. dr. ing. Anca MAXIM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60" t="s">
        <v>148</v>
      </c>
      <c r="B139" s="15"/>
      <c r="C139" s="9" t="str">
        <f t="shared" ref="C139:C141" si="0">E17</f>
        <v>conf. dr. ing. Anca MAXIM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5"/>
      <c r="B140" s="26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8" t="s">
        <v>149</v>
      </c>
      <c r="B143" s="10"/>
      <c r="C143" s="61">
        <f>[1]Date!C29</f>
        <v>45915</v>
      </c>
      <c r="D143" s="10"/>
      <c r="E143" s="58" t="s">
        <v>150</v>
      </c>
      <c r="F143" s="8"/>
      <c r="G143" s="10"/>
      <c r="H143" s="62" t="str">
        <f>[1]Date!C31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3"/>
      <c r="B144" s="63"/>
      <c r="C144" s="64"/>
      <c r="D144" s="64"/>
      <c r="E144" s="63"/>
      <c r="F144" s="63"/>
      <c r="G144" s="63"/>
      <c r="H144" s="64"/>
      <c r="I144" s="64"/>
      <c r="J144" s="64"/>
      <c r="K144" s="64"/>
      <c r="L144" s="64"/>
      <c r="M144" s="64"/>
      <c r="N144" s="5"/>
    </row>
    <row r="145" spans="1:14" ht="28.5" customHeight="1" x14ac:dyDescent="0.35">
      <c r="A145" s="58" t="s">
        <v>151</v>
      </c>
      <c r="B145" s="10"/>
      <c r="C145" s="61">
        <f>[1]Date!C30</f>
        <v>45918</v>
      </c>
      <c r="D145" s="10"/>
      <c r="E145" s="58" t="s">
        <v>152</v>
      </c>
      <c r="F145" s="8"/>
      <c r="G145" s="10"/>
      <c r="H145" s="62" t="str">
        <f>[1]Date!C32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2026-03-01T09:11:26Z</dcterms:created>
  <dcterms:modified xsi:type="dcterms:W3CDTF">2026-03-01T09:11:30Z</dcterms:modified>
</cp:coreProperties>
</file>