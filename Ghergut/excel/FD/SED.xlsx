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68A740F7-3DF2-435D-A84F-51A301B8FB17}" xr6:coauthVersionLast="47" xr6:coauthVersionMax="47" xr10:uidLastSave="{00000000-0000-0000-0000-000000000000}"/>
  <bookViews>
    <workbookView xWindow="-110" yWindow="-110" windowWidth="25820" windowHeight="15500" xr2:uid="{CDE75FA7-6846-4C00-A128-874E90B63D8A}"/>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C34" i="1" a="1"/>
  <c r="C34" i="1" s="1"/>
  <c r="M33" i="1" s="1"/>
  <c r="C36" i="1" l="1" a="1"/>
  <c r="C36"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30CE7EDE-286D-4FEC-9F06-875AD53EE3F8}">
      <text>
        <r>
          <rPr>
            <sz val="10"/>
            <color rgb="FF000000"/>
            <rFont val="Aptos Narrow"/>
            <scheme val="minor"/>
          </rPr>
          <t>Pondere din nota de la E / V</t>
        </r>
      </text>
    </comment>
    <comment ref="K127" authorId="0" shapeId="0" xr:uid="{384D104F-C19C-4860-BD93-55CBB65A949B}">
      <text>
        <r>
          <rPr>
            <sz val="10"/>
            <color rgb="FF000000"/>
            <rFont val="Aptos Narrow"/>
            <scheme val="minor"/>
          </rPr>
          <t>Pondere din nota de la E / V</t>
        </r>
      </text>
    </comment>
    <comment ref="K128" authorId="0" shapeId="0" xr:uid="{3C2B6CAD-E1BE-4531-AF5D-84665FA8EB98}">
      <text>
        <r>
          <rPr>
            <sz val="10"/>
            <color rgb="FF000000"/>
            <rFont val="Aptos Narrow"/>
            <scheme val="minor"/>
          </rPr>
          <t>Pondere din nota de la E / V</t>
        </r>
      </text>
    </comment>
  </commentList>
</comments>
</file>

<file path=xl/sharedStrings.xml><?xml version="1.0" encoding="utf-8"?>
<sst xmlns="http://schemas.openxmlformats.org/spreadsheetml/2006/main" count="187" uniqueCount="137">
  <si>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</si>
  <si>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</si>
  <si>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</si>
  <si>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</si>
  <si>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</si>
  <si>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</si>
  <si>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</si>
  <si>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</si>
  <si>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</si>
  <si>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</si>
  <si>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</si>
  <si>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</si>
  <si>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</si>
  <si>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cu evenimente discrete</t>
  </si>
  <si>
    <t>(în limba engleză, conform Suplimentului la diplomă)</t>
  </si>
  <si>
    <t>2.1.2. Codul disciplinei</t>
  </si>
  <si>
    <t xml:space="preserve">2.1.3. Categoria formativă </t>
  </si>
  <si>
    <t>2.2 Titularul / titularii activităţilor de curs</t>
  </si>
  <si>
    <t>Prof.dr.ing. Mihaela-Hanako MATCOVSCHI</t>
  </si>
  <si>
    <t>2.3 Titularul / titularii activităţilor de aplicaţii (S, L, P, Pr)</t>
  </si>
  <si>
    <t>Asist.ing.drd. Ioana HUSTIU</t>
  </si>
  <si>
    <t>Asist.ing.dr. Sofia HUSTIU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</si>
  <si>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</si>
  <si>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</si>
  <si>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</si>
  <si>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</si>
  <si>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</si>
  <si>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</si>
  <si>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</si>
  <si>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</si>
  <si>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</si>
  <si>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</si>
  <si>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</si>
  <si>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</si>
  <si>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</si>
  <si>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</si>
  <si>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</si>
  <si>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</si>
  <si>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</si>
  <si>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</si>
  <si>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</si>
  <si>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</si>
  <si>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</si>
  <si>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</si>
  <si>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</si>
  <si>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</si>
  <si>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</si>
  <si>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</si>
  <si>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</si>
  <si>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</si>
  <si>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</si>
  <si>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</si>
  <si>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</si>
  <si>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AIA.ALGA.101, AIA.206 (MSF), AIA.207 (IA), AIA.SPD.108</t>
  </si>
  <si>
    <t>5. Condiţii</t>
  </si>
  <si>
    <t>5.1 de desfăşurare a cursului</t>
  </si>
  <si>
    <t>videoproiector, tablă</t>
  </si>
  <si>
    <t>5.2 de desfăşurare a seminarului / laboratorului / proiectului</t>
  </si>
  <si>
    <t>calculatoare cu MATLAB și Petri Net Toolbox, videoproiector, tablă</t>
  </si>
  <si>
    <t>6. Obiectivul general al disciplinei</t>
  </si>
  <si>
    <t>Dezvoltarea abilităților de modelare și analiză a sistemelor cu evenimente discrete</t>
  </si>
  <si>
    <t>7. Rezultatele învățării</t>
  </si>
  <si>
    <t>Cunoștințe</t>
  </si>
  <si>
    <t>Studentul / Absolventul:</t>
  </si>
  <si>
    <t xml:space="preserve">- identifică stările discrete ale unui sistem simplu
- identifică evenimentele care determină tranzițiile de stare: condițiile în care un eveniment poate apărea și efectul pe care îl are apariția evenimentului asupra stării sistemului 
- cunoaște principiul de funcționare a rețelelor Petri netemporizate 
- definește conceptele fundamentale din teoria rețelelor Petri: topologia rețelei, marcajul, regula de validare și executare a unei tranziții
- identifica structurile tipice intalnite in modelarea cu retele Petri a sistemelor cu evenimente discrete
- cunoaște definițiile proprietăților comportamentale ale rețelelor Petri netemporizate
- cunoaște definițiile proprietăților structurale ale rețelelor Petri netemporizate
- cunoaște criteriile de caracterizare a proprietăților structurale ale rețelelor Petri netemporizate
- cunoaște principiul de funcționare a rețelelor Petri cu temporizare deterministă
- asociază durate de timp pozițiilor / tranzițiilor dintr-o rețea Petri </t>
  </si>
  <si>
    <t>Aptitudini</t>
  </si>
  <si>
    <t>- construiește modele de tip rețea Petri netemporizată pentru sisteme simple
- extinde modelele simple pentru a deduce modelele unor sisteme complexe
- aplica algoritmul de constructie a arborelui / grafului de accesibilitate
- analizează proprietățile comportamentale ale unor rețele date
- ilustreaza evolutia marcajului unei retele Petri prin ecuatia de stare corespunzatoare
- proiecteaza controlere pentru procese cu evenimente discrete utilizând formalismul reţelelor Petri netemporizate
- aplica algoritmul de sinteza hibrida a retelei Petri pentru conducerea unui sistem fizic
- rafineaza modelele construite
- recunoaste structurile de conducere
- analizează proprietățile structurale ale unor rețele date
- determina invariantii P si T ai retelelor Petri
- interpreteaza proprietățile comportamentale și structurale ale unui model din punctul de vedere al sistemului fizic modelat
- interpreteaza rezultatele obtinute pe baza simulării
- experimenteaza simulări cu diverși parametri 
- extinde modelele netemporizate pentru a include duratele operațiilor care se desfășoară în sistemul fizic 
- evalueaza performantele sistemului modelat</t>
  </si>
  <si>
    <t>Responsabilitate și autonomie</t>
  </si>
  <si>
    <t xml:space="preserve">- acceptă și răspunde la sarcinile primite la laborator
- ascultă cu respect, este atent la informații noi
- studiază materiale suplimentare indicate
- rezolvă problemele primite ca temă de casă singur sau în echipă 
- participă la discuțiile din cadrul cursurilor sau al ședințelor de laborator 
</t>
  </si>
  <si>
    <t xml:space="preserve">8. Metode de predare </t>
  </si>
  <si>
    <t>Prezentarea cu videoproiectorul a materialelor de curs în format Power Point
Stimularea unui dialog permanent cu studenţii, ca mecanism de fixare a informaţiilor transmise în cadrul prelegerii
Realizarea de legături cu alte discipline de la ciclul de licență</t>
  </si>
  <si>
    <t>9. Conţinuturi</t>
  </si>
  <si>
    <t>9.1. Curs</t>
  </si>
  <si>
    <t>Metode de predare</t>
  </si>
  <si>
    <t>Timp alocat</t>
  </si>
  <si>
    <t>1</t>
  </si>
  <si>
    <t xml:space="preserve">Cap. 1. Specificul comportării sistemelor cu evenimente discrete
1.1. Sisteme dinamice cu stări discrete, pilotate de evenimente
1.2. Modele şi tehnici utilizate în studierea sistemelor cu evenimente discrete
1.3. Proprietăţi calitative puse în evidenţă de comportarea unor sisteme tipice pilotate de evenimente discrete 
</t>
  </si>
  <si>
    <t xml:space="preserve">Prezentarea cunoştinţelor aferente cursului – slide-uri prezentate cu videoproiectorul, rezolvări ale unor probleme la tablă, discuții cu studenții
Realizarea de conexiuni cu cunoştinţele prezentate la discipline înrudite de la ciclul de licenţă şi verificarea modului în care noile elemente introduse au fost receptate.  
Cunoştinţele teoretice sunt ilustrate prin numeroase exemple de modelare, analiză şi sinteză, cu referiri concrete la procese din realitatea fizico-tehnică, apelând la comparaţii între dinamica pilotată de timp şi, respectiv, de evenimente.
</t>
  </si>
  <si>
    <t>2</t>
  </si>
  <si>
    <t>Cap. 2 Principiile generale ale modelării cu reţele Petri  
2.1. Terminologie şi concepte fundamentale în formalismul reţelelor Petri netemporizate
2.2. Structuri tipice utilizate în modelarea cu reţele Petri a sistemelor cu evenimente discrete
2.3. Studiu comparativ privind utilizarea modelelor tip automat şi tip reţea Petri</t>
  </si>
  <si>
    <t>3</t>
  </si>
  <si>
    <t>Cap. 3. Tehnici de analiză a proprietăţilor comportamentale   
3.1. Definirea proprietăţilor comportamentale fundamentale (accesibilitate, mărginire, viabilitate, reversibilitate)
3.2. Tehnici generale de analiză a proprietăţilor comportamentale
     - arbore şi graf de acoperire
     - reguli de transformare
     - ecuaţie de stare
3.3. Subclase de reţele Petri ordinare şi capacitatea lor de modelare
3.4. Tehnici dedicate analizei viabilităţii şi siguranţei</t>
  </si>
  <si>
    <t>4</t>
  </si>
  <si>
    <t>Cap.4. Proiectarea structurilor de conducere pentru sisteme cu evenimente discrete                                        
4.1. Specificaţii de proiectare pentru structurile de conducere
4.2. Proprietăţi caracteristice ale structurilor de conducere rezultate din sinteză
4.3. Controlerul secvenţial
4.4. Tehnici de sinteză hibridă (rafinarea operaţiilor prin sinteză descendentă, ataşarea resurselor prin sinteză ascendentă)</t>
  </si>
  <si>
    <t>5</t>
  </si>
  <si>
    <t>Cap. 5. Proprietăţi structurale şi invarianţi în reţele Petri  
5.1. Definirea proprietăţilor structurale (viabilitate structurală, controlabilitate, mărginire structurală, conservativitate, repetitivitate, consistenţă) şi criterii de caracterizare
5.2. Relaţii între proprietăţile structurale
5.3. Invarianţi P și T</t>
  </si>
  <si>
    <t>6</t>
  </si>
  <si>
    <t>Cap. 6. Reţele Petri cu temporizare deterministă                       
6.1. Temporizarea deterministă T și P. Transformări echivalente
6.2. Regimul permanent al reţelelor temporizate T
6.3. Regimul permanent al reţelelor temporizate P</t>
  </si>
  <si>
    <t>7</t>
  </si>
  <si>
    <t>8</t>
  </si>
  <si>
    <t>9</t>
  </si>
  <si>
    <t>10</t>
  </si>
  <si>
    <t>11</t>
  </si>
  <si>
    <t>12</t>
  </si>
  <si>
    <t>13</t>
  </si>
  <si>
    <t>14</t>
  </si>
  <si>
    <t xml:space="preserve">Bibliografie curs:
1. O. Păstrăvanu, Sisteme cu evenimente discrete – Tehnici calitative bazate pe formalismul reţelelor Petri, Ed. Matrix-Rom, Bucureşti, 1997.
2. O. Păstrăvanu, M.H. Matcovschi, C. Mahulea, Aplicaţii ale reţelelor Petri în studierea sistemelor cu evenimente discrete, Ed. Gh. Asachi, Iaşi, 2002.
3. C.G. Cassandras, S. Lafortune, Introduction to Discrete Event Systems, Second Edition, Springer, New York, 2008.
4. R. David and H. Alla, Discrete, Continuous, and Hybrid Petri Nets, Second Edition, Springer-Verlag Berlin Heidelberg, 2010.
5. T. Murata, Petri nets: properties, analysis and applications, Proc. of the IEEE, vol. 77, pp. 541-580, 1989.3. 
</t>
  </si>
  <si>
    <t>9.2a Seminar</t>
  </si>
  <si>
    <t>Metode de lucru</t>
  </si>
  <si>
    <t>9.2b Laborator</t>
  </si>
  <si>
    <t xml:space="preserve"> Modelarea unor sisteme fizico-tehnice a căror dinamică este pilotată de evenimente</t>
  </si>
  <si>
    <t xml:space="preserve">Lucrările de laborator sunt în concordanţă tematică şi temporală cu cursurile predate. 
Metoda de studiu utilizată este bazată pe simulare în medii software dedicate.
Pentru fiecare şedinţă de laborator sunt furnizate studenţilor atât textele în format electronic ale lucrărilor cât şi programe demonstrative, disponibile pe Moodle. 
Se pune un accent deosebit pe înţelegerea intuitivă a fenomenelor şi pe interpretarea fizică a rezultatelor obținute prin simulare.
</t>
  </si>
  <si>
    <t xml:space="preserve">Utilizarea mediului Petri Net Toolbox în cazul modelelor de tip reţea Petri netemporizată </t>
  </si>
  <si>
    <t>Studierea producerii fenomenului de deadlock în sistemele cu resurse partajate</t>
  </si>
  <si>
    <t>Proiectarea controlerelor pentru procese cu evenimente discrete utilizând formalismul reţelelor Petri netemporizate</t>
  </si>
  <si>
    <t>Analiza proprietăţilor structurale ale reţelelor Petri netemporizate</t>
  </si>
  <si>
    <t>Studierea modelelor de tip reţea Petri temporizată deterministă</t>
  </si>
  <si>
    <t>9.2c Proiect</t>
  </si>
  <si>
    <r>
      <rPr>
        <sz val="12"/>
        <rFont val="Arial"/>
      </rPr>
      <t xml:space="preserve">Bibliografie aplicaţii (seminar / laborator / proiect):
1. M.H. Matcovschi, O. Păstrăvanu, </t>
    </r>
    <r>
      <rPr>
        <i/>
        <sz val="12"/>
        <rFont val="Arial"/>
      </rPr>
      <t>Teme de analiză şi sinteză a sistemelor cu evenimente discrete şi hibride</t>
    </r>
    <r>
      <rPr>
        <sz val="12"/>
        <rFont val="Arial"/>
      </rPr>
      <t xml:space="preserve">, Ed. Politehnium, Iaşi, 2008.
2. M.H. Matcovschi, O. Păstrăvanu, </t>
    </r>
    <r>
      <rPr>
        <i/>
        <sz val="12"/>
        <rFont val="Arial"/>
      </rPr>
      <t>Petri Net Toolbox for MATLAB – Petri-net-based approaches to discrete event and hybrid systems in MATLAB-Simulink</t>
    </r>
    <r>
      <rPr>
        <sz val="12"/>
        <rFont val="Arial"/>
      </rPr>
      <t xml:space="preserve">, Ed. Politehnium, Iaşi, 2008.
3. C. Mahulea, M.H. Matcovschi, O. Păstrăvanu, </t>
    </r>
    <r>
      <rPr>
        <i/>
        <sz val="12"/>
        <rFont val="Arial"/>
      </rPr>
      <t>Home page of the Petri Net Toolbox for MATLAB</t>
    </r>
    <r>
      <rPr>
        <sz val="12"/>
        <rFont val="Arial"/>
      </rPr>
      <t xml:space="preserve">, </t>
    </r>
    <r>
      <rPr>
        <u/>
        <sz val="12"/>
        <color rgb="FF1155CC"/>
        <rFont val="Arial"/>
      </rPr>
      <t>https://www.pntool.ac.tuiasi.ro/</t>
    </r>
    <r>
      <rPr>
        <sz val="12"/>
        <rFont val="Arial"/>
      </rPr>
      <t xml:space="preserve">  
</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</si>
  <si>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</si>
  <si>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</si>
  <si>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</si>
  <si>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</si>
  <si>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</si>
  <si>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</si>
  <si>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</si>
  <si>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</si>
  <si>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</si>
  <si>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</si>
  <si>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</si>
  <si>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</si>
  <si>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</si>
  <si>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</si>
  <si>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</si>
  <si>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</si>
  <si>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teme individuale ce trebuie predate pe parcursul semestrului.</t>
  </si>
  <si>
    <t>10.5c Proiect</t>
  </si>
  <si>
    <t>Participarea la activitatea de proicetare, capacitatea de documentare, aplicarea cunoștințelor în activitatea de proiectare.</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</si>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</sst>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i/>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4">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horizontal="center" vertical="top"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www.pntool.ac.tuiasi.r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7833-55AF-49F1-ADBE-120E33368C6C}">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Discrete Event Systems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AIA306</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t="s">
        <v>21</v>
      </c>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3</v>
      </c>
      <c r="D23" s="28" t="s">
        <v>23</v>
      </c>
      <c r="E23" s="27">
        <f t="array" aca="1" ref="E23" ca="1">INDEX([1]Date!A8:A21, MATCH(E12,[1]Date!C8:C21,0),0)</f>
        <v>2</v>
      </c>
      <c r="F23" s="29" t="s">
        <v>24</v>
      </c>
      <c r="G23" s="8"/>
      <c r="H23" s="10"/>
      <c r="I23" s="22" t="str">
        <f t="array" aca="1" ref="I23" ca="1">INDEX([1]Date!M8:M21, MATCH(E12,[1]Date!C8:C21,0),0)</f>
        <v>C</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INDEX([1]Date!H8:H21, MATCH(E12,[1]Date!C8:C21,0),0)</f>
        <v>2</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7</v>
      </c>
      <c r="N29" s="5"/>
    </row>
    <row r="30" spans="1:14" ht="15.5" x14ac:dyDescent="0.35">
      <c r="A30" s="7" t="s">
        <v>42</v>
      </c>
      <c r="B30" s="8"/>
      <c r="C30" s="8"/>
      <c r="D30" s="8"/>
      <c r="E30" s="8"/>
      <c r="F30" s="8"/>
      <c r="G30" s="8"/>
      <c r="H30" s="8"/>
      <c r="I30" s="8"/>
      <c r="J30" s="8"/>
      <c r="K30" s="8"/>
      <c r="L30" s="10"/>
      <c r="M30" s="32">
        <v>5</v>
      </c>
      <c r="N30" s="5"/>
    </row>
    <row r="31" spans="1:14" ht="15.5" x14ac:dyDescent="0.35">
      <c r="A31" s="7" t="s">
        <v>43</v>
      </c>
      <c r="B31" s="8"/>
      <c r="C31" s="8"/>
      <c r="D31" s="8"/>
      <c r="E31" s="8"/>
      <c r="F31" s="8"/>
      <c r="G31" s="8"/>
      <c r="H31" s="8"/>
      <c r="I31" s="8"/>
      <c r="J31" s="8"/>
      <c r="K31" s="8"/>
      <c r="L31" s="10"/>
      <c r="M31" s="32">
        <v>7</v>
      </c>
      <c r="N31" s="5"/>
    </row>
    <row r="32" spans="1:14" ht="15.5" x14ac:dyDescent="0.35">
      <c r="A32" s="7" t="s">
        <v>44</v>
      </c>
      <c r="B32" s="8"/>
      <c r="C32" s="8"/>
      <c r="D32" s="8"/>
      <c r="E32" s="8"/>
      <c r="F32" s="8"/>
      <c r="G32" s="8"/>
      <c r="H32" s="8"/>
      <c r="I32" s="8"/>
      <c r="J32" s="8"/>
      <c r="K32" s="8"/>
      <c r="L32" s="10"/>
      <c r="M32" s="27">
        <f t="array" aca="1" ref="M32" ca="1">IF(INDEX([1]Date!M8:M21, MATCH(E12,[1]Date!C8:C21,0),0)="E",3,0)</f>
        <v>0</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19</v>
      </c>
      <c r="D34" s="5"/>
      <c r="E34" s="5"/>
      <c r="F34" s="5"/>
      <c r="G34" s="5"/>
      <c r="H34" s="5"/>
      <c r="I34" s="5"/>
      <c r="J34" s="5"/>
      <c r="K34" s="5"/>
      <c r="L34" s="5"/>
      <c r="M34" s="5"/>
      <c r="N34" s="5"/>
    </row>
    <row r="35" spans="1:14" ht="15.5" x14ac:dyDescent="0.35">
      <c r="A35" s="7" t="s">
        <v>47</v>
      </c>
      <c r="B35" s="10"/>
      <c r="C35" s="27">
        <f ca="1">C27+C34</f>
        <v>75</v>
      </c>
      <c r="D35" s="5"/>
      <c r="E35" s="5"/>
      <c r="F35" s="5"/>
      <c r="G35" s="5"/>
      <c r="H35" s="5"/>
      <c r="I35" s="5"/>
      <c r="J35" s="5"/>
      <c r="K35" s="5"/>
      <c r="L35" s="5"/>
      <c r="M35" s="5"/>
      <c r="N35" s="5"/>
    </row>
    <row r="36" spans="1:14" ht="15.5" x14ac:dyDescent="0.35">
      <c r="A36" s="7" t="s">
        <v>48</v>
      </c>
      <c r="B36" s="10"/>
      <c r="C36" s="27">
        <f t="array" aca="1" ref="C36" ca="1">INDEX([1]Date!N8:N21, MATCH(E12,[1]Date!C8:C21,0),0)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15.5"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82.25" customHeight="1"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t="s">
        <v>77</v>
      </c>
      <c r="I62" s="14"/>
      <c r="J62" s="14"/>
      <c r="K62" s="15"/>
      <c r="L62" s="41">
        <v>2</v>
      </c>
      <c r="M62" s="10"/>
      <c r="N62" s="5"/>
    </row>
    <row r="63" spans="1:14" ht="15.5" x14ac:dyDescent="0.35">
      <c r="A63" s="39" t="s">
        <v>78</v>
      </c>
      <c r="B63" s="23" t="s">
        <v>79</v>
      </c>
      <c r="C63" s="8"/>
      <c r="D63" s="8"/>
      <c r="E63" s="8"/>
      <c r="F63" s="8"/>
      <c r="G63" s="10"/>
      <c r="H63" s="25"/>
      <c r="I63" s="2"/>
      <c r="J63" s="2"/>
      <c r="K63" s="26"/>
      <c r="L63" s="41">
        <v>4</v>
      </c>
      <c r="M63" s="10"/>
      <c r="N63" s="5"/>
    </row>
    <row r="64" spans="1:14" ht="15.5" x14ac:dyDescent="0.35">
      <c r="A64" s="39" t="s">
        <v>80</v>
      </c>
      <c r="B64" s="23" t="s">
        <v>81</v>
      </c>
      <c r="C64" s="8"/>
      <c r="D64" s="8"/>
      <c r="E64" s="8"/>
      <c r="F64" s="8"/>
      <c r="G64" s="10"/>
      <c r="H64" s="25"/>
      <c r="I64" s="2"/>
      <c r="J64" s="2"/>
      <c r="K64" s="26"/>
      <c r="L64" s="41">
        <v>6</v>
      </c>
      <c r="M64" s="10"/>
      <c r="N64" s="5"/>
    </row>
    <row r="65" spans="1:14" ht="15.5" x14ac:dyDescent="0.35">
      <c r="A65" s="39" t="s">
        <v>82</v>
      </c>
      <c r="B65" s="23" t="s">
        <v>83</v>
      </c>
      <c r="C65" s="8"/>
      <c r="D65" s="8"/>
      <c r="E65" s="8"/>
      <c r="F65" s="8"/>
      <c r="G65" s="10"/>
      <c r="H65" s="25"/>
      <c r="I65" s="2"/>
      <c r="J65" s="2"/>
      <c r="K65" s="26"/>
      <c r="L65" s="41">
        <v>4</v>
      </c>
      <c r="M65" s="10"/>
      <c r="N65" s="5"/>
    </row>
    <row r="66" spans="1:14" ht="15.5" x14ac:dyDescent="0.35">
      <c r="A66" s="39" t="s">
        <v>84</v>
      </c>
      <c r="B66" s="23" t="s">
        <v>85</v>
      </c>
      <c r="C66" s="8"/>
      <c r="D66" s="8"/>
      <c r="E66" s="8"/>
      <c r="F66" s="8"/>
      <c r="G66" s="10"/>
      <c r="H66" s="25"/>
      <c r="I66" s="2"/>
      <c r="J66" s="2"/>
      <c r="K66" s="26"/>
      <c r="L66" s="41">
        <v>6</v>
      </c>
      <c r="M66" s="10"/>
      <c r="N66" s="5"/>
    </row>
    <row r="67" spans="1:14" ht="15.5" x14ac:dyDescent="0.35">
      <c r="A67" s="39" t="s">
        <v>86</v>
      </c>
      <c r="B67" s="23" t="s">
        <v>87</v>
      </c>
      <c r="C67" s="8"/>
      <c r="D67" s="8"/>
      <c r="E67" s="8"/>
      <c r="F67" s="8"/>
      <c r="G67" s="10"/>
      <c r="H67" s="25"/>
      <c r="I67" s="2"/>
      <c r="J67" s="2"/>
      <c r="K67" s="26"/>
      <c r="L67" s="41">
        <v>6</v>
      </c>
      <c r="M67" s="10"/>
      <c r="N67" s="5"/>
    </row>
    <row r="68" spans="1:14" ht="15.5" x14ac:dyDescent="0.35">
      <c r="A68" s="39" t="s">
        <v>88</v>
      </c>
      <c r="B68" s="23"/>
      <c r="C68" s="8"/>
      <c r="D68" s="8"/>
      <c r="E68" s="8"/>
      <c r="F68" s="8"/>
      <c r="G68" s="10"/>
      <c r="H68" s="25"/>
      <c r="I68" s="2"/>
      <c r="J68" s="2"/>
      <c r="K68" s="26"/>
      <c r="L68" s="41"/>
      <c r="M68" s="10"/>
      <c r="N68" s="5"/>
    </row>
    <row r="69" spans="1:14" ht="15.5" hidden="1" x14ac:dyDescent="0.35">
      <c r="A69" s="39" t="s">
        <v>89</v>
      </c>
      <c r="B69" s="23"/>
      <c r="C69" s="8"/>
      <c r="D69" s="8"/>
      <c r="E69" s="8"/>
      <c r="F69" s="8"/>
      <c r="G69" s="10"/>
      <c r="H69" s="25"/>
      <c r="I69" s="2"/>
      <c r="J69" s="2"/>
      <c r="K69" s="26"/>
      <c r="L69" s="41"/>
      <c r="M69" s="10"/>
      <c r="N69" s="5"/>
    </row>
    <row r="70" spans="1:14" ht="15.5" hidden="1" x14ac:dyDescent="0.35">
      <c r="A70" s="39" t="s">
        <v>90</v>
      </c>
      <c r="B70" s="23"/>
      <c r="C70" s="8"/>
      <c r="D70" s="8"/>
      <c r="E70" s="8"/>
      <c r="F70" s="8"/>
      <c r="G70" s="10"/>
      <c r="H70" s="25"/>
      <c r="I70" s="2"/>
      <c r="J70" s="2"/>
      <c r="K70" s="26"/>
      <c r="L70" s="41"/>
      <c r="M70" s="10"/>
      <c r="N70" s="5"/>
    </row>
    <row r="71" spans="1:14" ht="15.5" hidden="1" x14ac:dyDescent="0.35">
      <c r="A71" s="39" t="s">
        <v>91</v>
      </c>
      <c r="B71" s="23"/>
      <c r="C71" s="8"/>
      <c r="D71" s="8"/>
      <c r="E71" s="8"/>
      <c r="F71" s="8"/>
      <c r="G71" s="10"/>
      <c r="H71" s="25"/>
      <c r="I71" s="2"/>
      <c r="J71" s="2"/>
      <c r="K71" s="26"/>
      <c r="L71" s="41"/>
      <c r="M71" s="10"/>
      <c r="N71" s="5"/>
    </row>
    <row r="72" spans="1:14" ht="15.5" hidden="1" x14ac:dyDescent="0.35">
      <c r="A72" s="39" t="s">
        <v>92</v>
      </c>
      <c r="B72" s="23"/>
      <c r="C72" s="8"/>
      <c r="D72" s="8"/>
      <c r="E72" s="8"/>
      <c r="F72" s="8"/>
      <c r="G72" s="10"/>
      <c r="H72" s="25"/>
      <c r="I72" s="2"/>
      <c r="J72" s="2"/>
      <c r="K72" s="26"/>
      <c r="L72" s="41"/>
      <c r="M72" s="10"/>
      <c r="N72" s="5"/>
    </row>
    <row r="73" spans="1:14" ht="15.5" hidden="1" x14ac:dyDescent="0.35">
      <c r="A73" s="39" t="s">
        <v>93</v>
      </c>
      <c r="B73" s="23"/>
      <c r="C73" s="8"/>
      <c r="D73" s="8"/>
      <c r="E73" s="8"/>
      <c r="F73" s="8"/>
      <c r="G73" s="10"/>
      <c r="H73" s="25"/>
      <c r="I73" s="2"/>
      <c r="J73" s="2"/>
      <c r="K73" s="26"/>
      <c r="L73" s="41"/>
      <c r="M73" s="10"/>
      <c r="N73" s="5"/>
    </row>
    <row r="74" spans="1:14" ht="15.5" hidden="1" x14ac:dyDescent="0.35">
      <c r="A74" s="39" t="s">
        <v>94</v>
      </c>
      <c r="B74" s="23"/>
      <c r="C74" s="8"/>
      <c r="D74" s="8"/>
      <c r="E74" s="8"/>
      <c r="F74" s="8"/>
      <c r="G74" s="10"/>
      <c r="H74" s="25"/>
      <c r="I74" s="2"/>
      <c r="J74" s="2"/>
      <c r="K74" s="26"/>
      <c r="L74" s="41"/>
      <c r="M74" s="10"/>
      <c r="N74" s="5"/>
    </row>
    <row r="75" spans="1:14" ht="15.5" hidden="1" x14ac:dyDescent="0.35">
      <c r="A75" s="39" t="s">
        <v>95</v>
      </c>
      <c r="B75" s="23"/>
      <c r="C75" s="8"/>
      <c r="D75" s="8"/>
      <c r="E75" s="8"/>
      <c r="F75" s="8"/>
      <c r="G75" s="10"/>
      <c r="H75" s="24"/>
      <c r="I75" s="18"/>
      <c r="J75" s="18"/>
      <c r="K75" s="19"/>
      <c r="L75" s="41"/>
      <c r="M75" s="10"/>
      <c r="N75" s="5"/>
    </row>
    <row r="76" spans="1:14" ht="15.5" x14ac:dyDescent="0.35">
      <c r="A76" s="37" t="s">
        <v>96</v>
      </c>
      <c r="B76" s="8"/>
      <c r="C76" s="8"/>
      <c r="D76" s="8"/>
      <c r="E76" s="8"/>
      <c r="F76" s="8"/>
      <c r="G76" s="8"/>
      <c r="H76" s="8"/>
      <c r="I76" s="8"/>
      <c r="J76" s="8"/>
      <c r="K76" s="8"/>
      <c r="L76" s="8"/>
      <c r="M76" s="10"/>
      <c r="N76" s="5"/>
    </row>
    <row r="77" spans="1:14" ht="24.75" hidden="1" customHeight="1" x14ac:dyDescent="0.35">
      <c r="A77" s="38" t="s">
        <v>97</v>
      </c>
      <c r="B77" s="8"/>
      <c r="C77" s="8"/>
      <c r="D77" s="8"/>
      <c r="E77" s="8"/>
      <c r="F77" s="8"/>
      <c r="G77" s="10"/>
      <c r="H77" s="38" t="s">
        <v>98</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78</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86</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89</v>
      </c>
      <c r="B85" s="23"/>
      <c r="C85" s="8"/>
      <c r="D85" s="8"/>
      <c r="E85" s="8"/>
      <c r="F85" s="8"/>
      <c r="G85" s="10"/>
      <c r="H85" s="25"/>
      <c r="I85" s="2"/>
      <c r="J85" s="2"/>
      <c r="K85" s="26"/>
      <c r="L85" s="23"/>
      <c r="M85" s="10"/>
      <c r="N85" s="5"/>
    </row>
    <row r="86" spans="1:14" ht="15.5" hidden="1" x14ac:dyDescent="0.35">
      <c r="A86" s="39" t="s">
        <v>90</v>
      </c>
      <c r="B86" s="23"/>
      <c r="C86" s="8"/>
      <c r="D86" s="8"/>
      <c r="E86" s="8"/>
      <c r="F86" s="8"/>
      <c r="G86" s="10"/>
      <c r="H86" s="25"/>
      <c r="I86" s="2"/>
      <c r="J86" s="2"/>
      <c r="K86" s="26"/>
      <c r="L86" s="23"/>
      <c r="M86" s="10"/>
      <c r="N86" s="5"/>
    </row>
    <row r="87" spans="1:14" ht="15.5" hidden="1" x14ac:dyDescent="0.35">
      <c r="A87" s="39" t="s">
        <v>91</v>
      </c>
      <c r="B87" s="23"/>
      <c r="C87" s="8"/>
      <c r="D87" s="8"/>
      <c r="E87" s="8"/>
      <c r="F87" s="8"/>
      <c r="G87" s="10"/>
      <c r="H87" s="25"/>
      <c r="I87" s="2"/>
      <c r="J87" s="2"/>
      <c r="K87" s="26"/>
      <c r="L87" s="23"/>
      <c r="M87" s="10"/>
      <c r="N87" s="5"/>
    </row>
    <row r="88" spans="1:14" ht="15.5" hidden="1" x14ac:dyDescent="0.35">
      <c r="A88" s="39" t="s">
        <v>92</v>
      </c>
      <c r="B88" s="23"/>
      <c r="C88" s="8"/>
      <c r="D88" s="8"/>
      <c r="E88" s="8"/>
      <c r="F88" s="8"/>
      <c r="G88" s="10"/>
      <c r="H88" s="25"/>
      <c r="I88" s="2"/>
      <c r="J88" s="2"/>
      <c r="K88" s="26"/>
      <c r="L88" s="23"/>
      <c r="M88" s="10"/>
      <c r="N88" s="5"/>
    </row>
    <row r="89" spans="1:14" ht="15.5" hidden="1" x14ac:dyDescent="0.35">
      <c r="A89" s="39" t="s">
        <v>93</v>
      </c>
      <c r="B89" s="23"/>
      <c r="C89" s="8"/>
      <c r="D89" s="8"/>
      <c r="E89" s="8"/>
      <c r="F89" s="8"/>
      <c r="G89" s="10"/>
      <c r="H89" s="25"/>
      <c r="I89" s="2"/>
      <c r="J89" s="2"/>
      <c r="K89" s="26"/>
      <c r="L89" s="23"/>
      <c r="M89" s="10"/>
      <c r="N89" s="5"/>
    </row>
    <row r="90" spans="1:14" ht="15.5" hidden="1" x14ac:dyDescent="0.35">
      <c r="A90" s="39" t="s">
        <v>94</v>
      </c>
      <c r="B90" s="23"/>
      <c r="C90" s="8"/>
      <c r="D90" s="8"/>
      <c r="E90" s="8"/>
      <c r="F90" s="8"/>
      <c r="G90" s="10"/>
      <c r="H90" s="25"/>
      <c r="I90" s="2"/>
      <c r="J90" s="2"/>
      <c r="K90" s="26"/>
      <c r="L90" s="23"/>
      <c r="M90" s="10"/>
      <c r="N90" s="5"/>
    </row>
    <row r="91" spans="1:14" ht="15.5" hidden="1" x14ac:dyDescent="0.35">
      <c r="A91" s="39" t="s">
        <v>95</v>
      </c>
      <c r="B91" s="23"/>
      <c r="C91" s="8"/>
      <c r="D91" s="8"/>
      <c r="E91" s="8"/>
      <c r="F91" s="8"/>
      <c r="G91" s="10"/>
      <c r="H91" s="24"/>
      <c r="I91" s="18"/>
      <c r="J91" s="18"/>
      <c r="K91" s="19"/>
      <c r="L91" s="23"/>
      <c r="M91" s="10"/>
      <c r="N91" s="5"/>
    </row>
    <row r="92" spans="1:14" ht="24" customHeight="1" x14ac:dyDescent="0.35">
      <c r="A92" s="38" t="s">
        <v>99</v>
      </c>
      <c r="B92" s="8"/>
      <c r="C92" s="8"/>
      <c r="D92" s="8"/>
      <c r="E92" s="8"/>
      <c r="F92" s="8"/>
      <c r="G92" s="10"/>
      <c r="H92" s="38" t="s">
        <v>98</v>
      </c>
      <c r="I92" s="8"/>
      <c r="J92" s="8"/>
      <c r="K92" s="10"/>
      <c r="L92" s="38" t="s">
        <v>74</v>
      </c>
      <c r="M92" s="10"/>
      <c r="N92" s="30"/>
    </row>
    <row r="93" spans="1:14" ht="15.5" x14ac:dyDescent="0.35">
      <c r="A93" s="39" t="s">
        <v>75</v>
      </c>
      <c r="B93" s="23" t="s">
        <v>100</v>
      </c>
      <c r="C93" s="8"/>
      <c r="D93" s="8"/>
      <c r="E93" s="8"/>
      <c r="F93" s="8"/>
      <c r="G93" s="10"/>
      <c r="H93" s="42" t="s">
        <v>101</v>
      </c>
      <c r="I93" s="14"/>
      <c r="J93" s="14"/>
      <c r="K93" s="15"/>
      <c r="L93" s="41">
        <v>2</v>
      </c>
      <c r="M93" s="10"/>
      <c r="N93" s="5"/>
    </row>
    <row r="94" spans="1:14" ht="15.5" x14ac:dyDescent="0.35">
      <c r="A94" s="39" t="s">
        <v>78</v>
      </c>
      <c r="B94" s="23" t="s">
        <v>102</v>
      </c>
      <c r="C94" s="8"/>
      <c r="D94" s="8"/>
      <c r="E94" s="8"/>
      <c r="F94" s="8"/>
      <c r="G94" s="10"/>
      <c r="H94" s="25"/>
      <c r="I94" s="2"/>
      <c r="J94" s="2"/>
      <c r="K94" s="26"/>
      <c r="L94" s="41">
        <v>6</v>
      </c>
      <c r="M94" s="10"/>
      <c r="N94" s="5"/>
    </row>
    <row r="95" spans="1:14" ht="15.5" x14ac:dyDescent="0.35">
      <c r="A95" s="39" t="s">
        <v>80</v>
      </c>
      <c r="B95" s="23" t="s">
        <v>103</v>
      </c>
      <c r="C95" s="8"/>
      <c r="D95" s="8"/>
      <c r="E95" s="8"/>
      <c r="F95" s="8"/>
      <c r="G95" s="10"/>
      <c r="H95" s="25"/>
      <c r="I95" s="2"/>
      <c r="J95" s="2"/>
      <c r="K95" s="26"/>
      <c r="L95" s="41">
        <v>4</v>
      </c>
      <c r="M95" s="10"/>
      <c r="N95" s="5"/>
    </row>
    <row r="96" spans="1:14" ht="15.5" x14ac:dyDescent="0.35">
      <c r="A96" s="39" t="s">
        <v>82</v>
      </c>
      <c r="B96" s="23" t="s">
        <v>104</v>
      </c>
      <c r="C96" s="8"/>
      <c r="D96" s="8"/>
      <c r="E96" s="8"/>
      <c r="F96" s="8"/>
      <c r="G96" s="10"/>
      <c r="H96" s="25"/>
      <c r="I96" s="2"/>
      <c r="J96" s="2"/>
      <c r="K96" s="26"/>
      <c r="L96" s="41">
        <v>6</v>
      </c>
      <c r="M96" s="10"/>
      <c r="N96" s="5"/>
    </row>
    <row r="97" spans="1:14" ht="15.5" x14ac:dyDescent="0.35">
      <c r="A97" s="39" t="s">
        <v>84</v>
      </c>
      <c r="B97" s="23" t="s">
        <v>105</v>
      </c>
      <c r="C97" s="8"/>
      <c r="D97" s="8"/>
      <c r="E97" s="8"/>
      <c r="F97" s="8"/>
      <c r="G97" s="10"/>
      <c r="H97" s="25"/>
      <c r="I97" s="2"/>
      <c r="J97" s="2"/>
      <c r="K97" s="26"/>
      <c r="L97" s="41">
        <v>6</v>
      </c>
      <c r="M97" s="10"/>
      <c r="N97" s="5"/>
    </row>
    <row r="98" spans="1:14" ht="15.5" x14ac:dyDescent="0.35">
      <c r="A98" s="39" t="s">
        <v>86</v>
      </c>
      <c r="B98" s="23" t="s">
        <v>106</v>
      </c>
      <c r="C98" s="8"/>
      <c r="D98" s="8"/>
      <c r="E98" s="8"/>
      <c r="F98" s="8"/>
      <c r="G98" s="10"/>
      <c r="H98" s="25"/>
      <c r="I98" s="2"/>
      <c r="J98" s="2"/>
      <c r="K98" s="26"/>
      <c r="L98" s="41">
        <v>4</v>
      </c>
      <c r="M98" s="10"/>
      <c r="N98" s="5"/>
    </row>
    <row r="99" spans="1:14" ht="15.5" x14ac:dyDescent="0.35">
      <c r="A99" s="39" t="s">
        <v>88</v>
      </c>
      <c r="B99" s="23"/>
      <c r="C99" s="8"/>
      <c r="D99" s="8"/>
      <c r="E99" s="8"/>
      <c r="F99" s="8"/>
      <c r="G99" s="10"/>
      <c r="H99" s="25"/>
      <c r="I99" s="2"/>
      <c r="J99" s="2"/>
      <c r="K99" s="26"/>
      <c r="L99" s="23"/>
      <c r="M99" s="10"/>
      <c r="N99" s="5"/>
    </row>
    <row r="100" spans="1:14" ht="15.5" hidden="1" x14ac:dyDescent="0.35">
      <c r="A100" s="39" t="s">
        <v>89</v>
      </c>
      <c r="B100" s="23"/>
      <c r="C100" s="8"/>
      <c r="D100" s="8"/>
      <c r="E100" s="8"/>
      <c r="F100" s="8"/>
      <c r="G100" s="10"/>
      <c r="H100" s="25"/>
      <c r="I100" s="2"/>
      <c r="J100" s="2"/>
      <c r="K100" s="26"/>
      <c r="L100" s="23"/>
      <c r="M100" s="10"/>
      <c r="N100" s="5"/>
    </row>
    <row r="101" spans="1:14" ht="15.5" hidden="1" x14ac:dyDescent="0.35">
      <c r="A101" s="39" t="s">
        <v>90</v>
      </c>
      <c r="B101" s="23"/>
      <c r="C101" s="8"/>
      <c r="D101" s="8"/>
      <c r="E101" s="8"/>
      <c r="F101" s="8"/>
      <c r="G101" s="10"/>
      <c r="H101" s="25"/>
      <c r="I101" s="2"/>
      <c r="J101" s="2"/>
      <c r="K101" s="26"/>
      <c r="L101" s="23"/>
      <c r="M101" s="10"/>
      <c r="N101" s="5"/>
    </row>
    <row r="102" spans="1:14" ht="15.5" hidden="1" x14ac:dyDescent="0.35">
      <c r="A102" s="39" t="s">
        <v>91</v>
      </c>
      <c r="B102" s="23"/>
      <c r="C102" s="8"/>
      <c r="D102" s="8"/>
      <c r="E102" s="8"/>
      <c r="F102" s="8"/>
      <c r="G102" s="10"/>
      <c r="H102" s="25"/>
      <c r="I102" s="2"/>
      <c r="J102" s="2"/>
      <c r="K102" s="26"/>
      <c r="L102" s="23"/>
      <c r="M102" s="10"/>
      <c r="N102" s="5"/>
    </row>
    <row r="103" spans="1:14" ht="15.5" hidden="1" x14ac:dyDescent="0.35">
      <c r="A103" s="39" t="s">
        <v>92</v>
      </c>
      <c r="B103" s="23"/>
      <c r="C103" s="8"/>
      <c r="D103" s="8"/>
      <c r="E103" s="8"/>
      <c r="F103" s="8"/>
      <c r="G103" s="10"/>
      <c r="H103" s="25"/>
      <c r="I103" s="2"/>
      <c r="J103" s="2"/>
      <c r="K103" s="26"/>
      <c r="L103" s="23"/>
      <c r="M103" s="10"/>
      <c r="N103" s="5"/>
    </row>
    <row r="104" spans="1:14" ht="15.5" hidden="1" x14ac:dyDescent="0.35">
      <c r="A104" s="39" t="s">
        <v>93</v>
      </c>
      <c r="B104" s="23"/>
      <c r="C104" s="8"/>
      <c r="D104" s="8"/>
      <c r="E104" s="8"/>
      <c r="F104" s="8"/>
      <c r="G104" s="10"/>
      <c r="H104" s="25"/>
      <c r="I104" s="2"/>
      <c r="J104" s="2"/>
      <c r="K104" s="26"/>
      <c r="L104" s="23"/>
      <c r="M104" s="10"/>
      <c r="N104" s="5"/>
    </row>
    <row r="105" spans="1:14" ht="15.5" hidden="1" x14ac:dyDescent="0.35">
      <c r="A105" s="39" t="s">
        <v>94</v>
      </c>
      <c r="B105" s="23"/>
      <c r="C105" s="8"/>
      <c r="D105" s="8"/>
      <c r="E105" s="8"/>
      <c r="F105" s="8"/>
      <c r="G105" s="10"/>
      <c r="H105" s="25"/>
      <c r="I105" s="2"/>
      <c r="J105" s="2"/>
      <c r="K105" s="26"/>
      <c r="L105" s="23"/>
      <c r="M105" s="10"/>
      <c r="N105" s="5"/>
    </row>
    <row r="106" spans="1:14" ht="15.5" hidden="1" x14ac:dyDescent="0.35">
      <c r="A106" s="39" t="s">
        <v>95</v>
      </c>
      <c r="B106" s="23"/>
      <c r="C106" s="8"/>
      <c r="D106" s="8"/>
      <c r="E106" s="8"/>
      <c r="F106" s="8"/>
      <c r="G106" s="10"/>
      <c r="H106" s="24"/>
      <c r="I106" s="18"/>
      <c r="J106" s="18"/>
      <c r="K106" s="19"/>
      <c r="L106" s="23"/>
      <c r="M106" s="10"/>
      <c r="N106" s="5"/>
    </row>
    <row r="107" spans="1:14" ht="24" hidden="1" customHeight="1" x14ac:dyDescent="0.35">
      <c r="A107" s="38" t="s">
        <v>107</v>
      </c>
      <c r="B107" s="8"/>
      <c r="C107" s="8"/>
      <c r="D107" s="8"/>
      <c r="E107" s="8"/>
      <c r="F107" s="8"/>
      <c r="G107" s="10"/>
      <c r="H107" s="38" t="s">
        <v>98</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78</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89</v>
      </c>
      <c r="B115" s="23"/>
      <c r="C115" s="8"/>
      <c r="D115" s="8"/>
      <c r="E115" s="8"/>
      <c r="F115" s="8"/>
      <c r="G115" s="10"/>
      <c r="H115" s="25"/>
      <c r="I115" s="2"/>
      <c r="J115" s="2"/>
      <c r="K115" s="26"/>
      <c r="L115" s="23"/>
      <c r="M115" s="10"/>
      <c r="N115" s="5"/>
    </row>
    <row r="116" spans="1:14" ht="15.5" hidden="1" x14ac:dyDescent="0.35">
      <c r="A116" s="39" t="s">
        <v>90</v>
      </c>
      <c r="B116" s="23"/>
      <c r="C116" s="8"/>
      <c r="D116" s="8"/>
      <c r="E116" s="8"/>
      <c r="F116" s="8"/>
      <c r="G116" s="10"/>
      <c r="H116" s="25"/>
      <c r="I116" s="2"/>
      <c r="J116" s="2"/>
      <c r="K116" s="26"/>
      <c r="L116" s="23"/>
      <c r="M116" s="10"/>
      <c r="N116" s="5"/>
    </row>
    <row r="117" spans="1:14" ht="15.5" hidden="1" x14ac:dyDescent="0.35">
      <c r="A117" s="39" t="s">
        <v>91</v>
      </c>
      <c r="B117" s="23"/>
      <c r="C117" s="8"/>
      <c r="D117" s="8"/>
      <c r="E117" s="8"/>
      <c r="F117" s="8"/>
      <c r="G117" s="10"/>
      <c r="H117" s="25"/>
      <c r="I117" s="2"/>
      <c r="J117" s="2"/>
      <c r="K117" s="26"/>
      <c r="L117" s="23"/>
      <c r="M117" s="10"/>
      <c r="N117" s="5"/>
    </row>
    <row r="118" spans="1:14" ht="15.5" hidden="1" x14ac:dyDescent="0.35">
      <c r="A118" s="39" t="s">
        <v>92</v>
      </c>
      <c r="B118" s="23"/>
      <c r="C118" s="8"/>
      <c r="D118" s="8"/>
      <c r="E118" s="8"/>
      <c r="F118" s="8"/>
      <c r="G118" s="10"/>
      <c r="H118" s="25"/>
      <c r="I118" s="2"/>
      <c r="J118" s="2"/>
      <c r="K118" s="26"/>
      <c r="L118" s="23"/>
      <c r="M118" s="10"/>
      <c r="N118" s="5"/>
    </row>
    <row r="119" spans="1:14" ht="15.5" hidden="1" x14ac:dyDescent="0.35">
      <c r="A119" s="39" t="s">
        <v>93</v>
      </c>
      <c r="B119" s="23"/>
      <c r="C119" s="8"/>
      <c r="D119" s="8"/>
      <c r="E119" s="8"/>
      <c r="F119" s="8"/>
      <c r="G119" s="10"/>
      <c r="H119" s="25"/>
      <c r="I119" s="2"/>
      <c r="J119" s="2"/>
      <c r="K119" s="26"/>
      <c r="L119" s="23"/>
      <c r="M119" s="10"/>
      <c r="N119" s="5"/>
    </row>
    <row r="120" spans="1:14" ht="15.5" hidden="1" x14ac:dyDescent="0.35">
      <c r="A120" s="39" t="s">
        <v>94</v>
      </c>
      <c r="B120" s="23"/>
      <c r="C120" s="8"/>
      <c r="D120" s="8"/>
      <c r="E120" s="8"/>
      <c r="F120" s="8"/>
      <c r="G120" s="10"/>
      <c r="H120" s="25"/>
      <c r="I120" s="2"/>
      <c r="J120" s="2"/>
      <c r="K120" s="26"/>
      <c r="L120" s="23"/>
      <c r="M120" s="10"/>
      <c r="N120" s="5"/>
    </row>
    <row r="121" spans="1:14" ht="15.5" hidden="1" x14ac:dyDescent="0.35">
      <c r="A121" s="39" t="s">
        <v>95</v>
      </c>
      <c r="B121" s="23"/>
      <c r="C121" s="8"/>
      <c r="D121" s="8"/>
      <c r="E121" s="8"/>
      <c r="F121" s="8"/>
      <c r="G121" s="10"/>
      <c r="H121" s="24"/>
      <c r="I121" s="18"/>
      <c r="J121" s="18"/>
      <c r="K121" s="19"/>
      <c r="L121" s="23"/>
      <c r="M121" s="10"/>
      <c r="N121" s="5"/>
    </row>
    <row r="122" spans="1:14" ht="15.5" x14ac:dyDescent="0.35">
      <c r="A122" s="43" t="s">
        <v>108</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109</v>
      </c>
      <c r="B124" s="2"/>
      <c r="C124" s="2"/>
      <c r="D124" s="2"/>
      <c r="E124" s="2"/>
      <c r="F124" s="2"/>
      <c r="G124" s="2"/>
      <c r="H124" s="2"/>
      <c r="I124" s="2"/>
      <c r="J124" s="2"/>
      <c r="K124" s="2"/>
      <c r="L124" s="2"/>
      <c r="M124" s="2"/>
      <c r="N124" s="30"/>
    </row>
    <row r="125" spans="1:14" ht="46.5" x14ac:dyDescent="0.35">
      <c r="A125" s="44" t="s">
        <v>110</v>
      </c>
      <c r="B125" s="45" t="s">
        <v>111</v>
      </c>
      <c r="C125" s="8"/>
      <c r="D125" s="8"/>
      <c r="E125" s="8"/>
      <c r="F125" s="8"/>
      <c r="G125" s="10"/>
      <c r="H125" s="45" t="s">
        <v>112</v>
      </c>
      <c r="I125" s="8"/>
      <c r="J125" s="8"/>
      <c r="K125" s="10"/>
      <c r="L125" s="46" t="s">
        <v>113</v>
      </c>
      <c r="M125" s="10"/>
      <c r="N125" s="5"/>
    </row>
    <row r="126" spans="1:14" ht="15.5" x14ac:dyDescent="0.35">
      <c r="A126" s="47" t="s">
        <v>114</v>
      </c>
      <c r="B126" s="48" t="s">
        <v>115</v>
      </c>
      <c r="C126" s="14"/>
      <c r="D126" s="14"/>
      <c r="E126" s="14"/>
      <c r="F126" s="14"/>
      <c r="G126" s="15"/>
      <c r="H126" s="49" t="s">
        <v>116</v>
      </c>
      <c r="I126" s="8"/>
      <c r="J126" s="8"/>
      <c r="K126" s="50"/>
      <c r="L126" s="51">
        <f>1-SUM(L129:M131)</f>
        <v>0.7</v>
      </c>
      <c r="M126" s="15"/>
      <c r="N126" s="5"/>
    </row>
    <row r="127" spans="1:14" ht="15.5" x14ac:dyDescent="0.35">
      <c r="A127" s="52"/>
      <c r="B127" s="25"/>
      <c r="C127" s="2"/>
      <c r="D127" s="2"/>
      <c r="E127" s="2"/>
      <c r="F127" s="2"/>
      <c r="G127" s="26"/>
      <c r="H127" s="53" t="s">
        <v>117</v>
      </c>
      <c r="I127" s="8"/>
      <c r="J127" s="8"/>
      <c r="K127" s="54" t="s">
        <v>118</v>
      </c>
      <c r="L127" s="25"/>
      <c r="M127" s="26"/>
      <c r="N127" s="5"/>
    </row>
    <row r="128" spans="1:14" ht="15.5" x14ac:dyDescent="0.35">
      <c r="A128" s="35"/>
      <c r="B128" s="24"/>
      <c r="C128" s="18"/>
      <c r="D128" s="18"/>
      <c r="E128" s="18"/>
      <c r="F128" s="18"/>
      <c r="G128" s="19"/>
      <c r="H128" s="53" t="s">
        <v>119</v>
      </c>
      <c r="I128" s="8"/>
      <c r="J128" s="8"/>
      <c r="K128" s="54" t="s">
        <v>120</v>
      </c>
      <c r="L128" s="24"/>
      <c r="M128" s="19"/>
      <c r="N128" s="5"/>
    </row>
    <row r="129" spans="1:14" ht="68.25" hidden="1" customHeight="1" x14ac:dyDescent="0.35">
      <c r="A129" s="44" t="s">
        <v>121</v>
      </c>
      <c r="B129" s="55" t="s">
        <v>122</v>
      </c>
      <c r="C129" s="8"/>
      <c r="D129" s="8"/>
      <c r="E129" s="8"/>
      <c r="F129" s="8"/>
      <c r="G129" s="10"/>
      <c r="H129" s="53"/>
      <c r="I129" s="8"/>
      <c r="J129" s="8"/>
      <c r="K129" s="10"/>
      <c r="L129" s="56"/>
      <c r="M129" s="10"/>
      <c r="N129" s="5"/>
    </row>
    <row r="130" spans="1:14" ht="46.5" x14ac:dyDescent="0.35">
      <c r="A130" s="44" t="s">
        <v>123</v>
      </c>
      <c r="B130" s="55" t="s">
        <v>124</v>
      </c>
      <c r="C130" s="8"/>
      <c r="D130" s="8"/>
      <c r="E130" s="8"/>
      <c r="F130" s="8"/>
      <c r="G130" s="10"/>
      <c r="H130" s="53" t="s">
        <v>125</v>
      </c>
      <c r="I130" s="8"/>
      <c r="J130" s="8"/>
      <c r="K130" s="10"/>
      <c r="L130" s="56">
        <v>0.3</v>
      </c>
      <c r="M130" s="10"/>
      <c r="N130" s="5"/>
    </row>
    <row r="131" spans="1:14" ht="31" x14ac:dyDescent="0.35">
      <c r="A131" s="44" t="s">
        <v>126</v>
      </c>
      <c r="B131" s="55" t="s">
        <v>127</v>
      </c>
      <c r="C131" s="8"/>
      <c r="D131" s="8"/>
      <c r="E131" s="8"/>
      <c r="F131" s="8"/>
      <c r="G131" s="10"/>
      <c r="H131" s="53"/>
      <c r="I131" s="8"/>
      <c r="J131" s="8"/>
      <c r="K131" s="10"/>
      <c r="L131" s="56"/>
      <c r="M131" s="10"/>
      <c r="N131" s="5"/>
    </row>
    <row r="132" spans="1:14" ht="15.5" x14ac:dyDescent="0.35">
      <c r="A132" s="45" t="s">
        <v>128</v>
      </c>
      <c r="B132" s="8"/>
      <c r="C132" s="8"/>
      <c r="D132" s="8"/>
      <c r="E132" s="8"/>
      <c r="F132" s="8"/>
      <c r="G132" s="8"/>
      <c r="H132" s="8"/>
      <c r="I132" s="8"/>
      <c r="J132" s="8"/>
      <c r="K132" s="8"/>
      <c r="L132" s="8"/>
      <c r="M132" s="10"/>
      <c r="N132" s="5"/>
    </row>
    <row r="133" spans="1:14" ht="15.5" x14ac:dyDescent="0.35">
      <c r="A133" s="55" t="s">
        <v>129</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7" t="s">
        <v>130</v>
      </c>
      <c r="B135" s="10"/>
      <c r="C135" s="58">
        <v>45910</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7" t="s">
        <v>131</v>
      </c>
      <c r="B137" s="10"/>
      <c r="C137" s="9" t="str">
        <f>E15</f>
        <v>Prof.dr.ing. Mihaela-Hanako MATCOVSCHI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9" t="s">
        <v>132</v>
      </c>
      <c r="B139" s="15"/>
      <c r="C139" s="9" t="str">
        <f t="shared" ref="C139:C141" si="0">E17</f>
        <v>Prof.dr.ing. Mihaela-Hanako MATCOVSCHI</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Asist.ing.drd. Ioana HUSTIU</v>
      </c>
      <c r="D140" s="8"/>
      <c r="E140" s="8"/>
      <c r="F140" s="8"/>
      <c r="G140" s="10"/>
      <c r="H140" s="9">
        <f t="shared" si="1"/>
        <v>0</v>
      </c>
      <c r="I140" s="8"/>
      <c r="J140" s="8"/>
      <c r="K140" s="8"/>
      <c r="L140" s="8"/>
      <c r="M140" s="10"/>
      <c r="N140" s="5"/>
    </row>
    <row r="141" spans="1:14" ht="32.25" customHeight="1" x14ac:dyDescent="0.35">
      <c r="A141" s="24"/>
      <c r="B141" s="19"/>
      <c r="C141" s="9" t="str">
        <f t="shared" si="0"/>
        <v>Asist.ing.dr. Sofia HUSTIU</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7" t="s">
        <v>133</v>
      </c>
      <c r="B143" s="10"/>
      <c r="C143" s="60">
        <f>[1]Date!C33</f>
        <v>45915</v>
      </c>
      <c r="D143" s="10"/>
      <c r="E143" s="57" t="s">
        <v>134</v>
      </c>
      <c r="F143" s="8"/>
      <c r="G143" s="10"/>
      <c r="H143" s="61" t="str">
        <f>[1]Date!C35</f>
        <v>Conf.dr.ing. Mihai POSTOLACHE</v>
      </c>
      <c r="I143" s="8"/>
      <c r="J143" s="8"/>
      <c r="K143" s="8"/>
      <c r="L143" s="8"/>
      <c r="M143" s="10"/>
      <c r="N143" s="5"/>
    </row>
    <row r="144" spans="1:14" ht="21.75" customHeight="1" x14ac:dyDescent="0.35">
      <c r="A144" s="62"/>
      <c r="B144" s="62"/>
      <c r="C144" s="63"/>
      <c r="D144" s="63"/>
      <c r="E144" s="62"/>
      <c r="F144" s="62"/>
      <c r="G144" s="62"/>
      <c r="H144" s="63"/>
      <c r="I144" s="63"/>
      <c r="J144" s="63"/>
      <c r="K144" s="63"/>
      <c r="L144" s="63"/>
      <c r="M144" s="63"/>
      <c r="N144" s="5"/>
    </row>
    <row r="145" spans="1:14" ht="28.5" customHeight="1" x14ac:dyDescent="0.35">
      <c r="A145" s="57" t="s">
        <v>135</v>
      </c>
      <c r="B145" s="10"/>
      <c r="C145" s="60">
        <f>[1]Date!C34</f>
        <v>45918</v>
      </c>
      <c r="D145" s="10"/>
      <c r="E145" s="57" t="s">
        <v>136</v>
      </c>
      <c r="F145" s="8"/>
      <c r="G145" s="10"/>
      <c r="H145" s="61"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4BB594D3-5BC9-4FED-8986-74000D37937F}"/>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2026-03-01T08:53:53Z</dcterms:created>
  <dcterms:modified xsi:type="dcterms:W3CDTF">2026-03-01T08:54:03Z</dcterms:modified>
</cp:coreProperties>
</file>