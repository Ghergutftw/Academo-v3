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7C1F3EC1-70CD-4C08-982D-8FFAF5488151}" xr6:coauthVersionLast="47" xr6:coauthVersionMax="47" xr10:uidLastSave="{00000000-0000-0000-0000-000000000000}"/>
  <bookViews>
    <workbookView xWindow="-110" yWindow="-110" windowWidth="25820" windowHeight="15500" xr2:uid="{8921D2C1-3542-437F-BAF4-CEE2699030A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C36" i="1" l="1" a="1"/>
  <c r="C36" i="1" s="1"/>
  <c r="E14" i="1" a="1"/>
  <c r="E14" i="1" s="1"/>
  <c r="I26" i="1" a="1"/>
  <c r="I26" i="1" s="1"/>
  <c r="I27" i="1" s="1"/>
  <c r="M14" i="1" a="1"/>
  <c r="M14" i="1" s="1"/>
  <c r="K26" i="1" a="1"/>
  <c r="K26" i="1" s="1"/>
  <c r="K27"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488731F4-94CF-4BD9-B1F1-CAEC7A945511}">
      <text>
        <r>
          <rPr>
            <sz val="10"/>
            <color rgb="FF000000"/>
            <rFont val="Aptos Narrow"/>
            <scheme val="minor"/>
          </rPr>
          <t>Pondere din nota de la E / V</t>
        </r>
      </text>
    </comment>
  </commentList>
</comments>
</file>

<file path=xl/sharedStrings.xml><?xml version="1.0" encoding="utf-8"?>
<sst xmlns="http://schemas.openxmlformats.org/spreadsheetml/2006/main" count="227" uniqueCount="151">
  <si>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</si>
  <si>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</si>
  <si>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</si>
  <si>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</si>
  <si>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</si>
  <si>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</si>
  <si>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</si>
  <si>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</si>
  <si>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</si>
  <si>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</si>
  <si>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</si>
  <si>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</si>
  <si>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</si>
  <si>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Analiza și sinteza dispozitivelor numerice</t>
  </si>
  <si>
    <t>(în limba engleză, conform Suplimentului la diplomă)</t>
  </si>
  <si>
    <t>2.1.2. Codul disciplinei</t>
  </si>
  <si>
    <t xml:space="preserve">2.1.3. Categoria formativă </t>
  </si>
  <si>
    <t>2.2 Titularul / titularii activităţilor de curs</t>
  </si>
  <si>
    <t>Conf. dr. ing. Andrei Stan</t>
  </si>
  <si>
    <t>2.3 Titularul / titularii activităţilor de aplicaţii (S, L, P, Pr)</t>
  </si>
  <si>
    <t xml:space="preserve">Asist. drd. ing. Radu-Laurențiu Roșca                                                                </t>
  </si>
  <si>
    <t>Asist. drd. ing. Daniel Slătineanu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</si>
  <si>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</si>
  <si>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</si>
  <si>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</si>
  <si>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</si>
  <si>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</si>
  <si>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</si>
  <si>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</si>
  <si>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</si>
  <si>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</si>
  <si>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</si>
  <si>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</si>
  <si>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</si>
  <si>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</si>
  <si>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</si>
  <si>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</si>
  <si>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</si>
  <si>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</si>
  <si>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</si>
  <si>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</si>
  <si>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</si>
  <si>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</si>
  <si>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</si>
  <si>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</si>
  <si>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</si>
  <si>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</si>
  <si>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</si>
  <si>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</si>
  <si>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</si>
  <si>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</si>
  <si>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</si>
  <si>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</si>
  <si>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</si>
  <si>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</si>
  <si>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Amfiteatru echipat cu calculator, videoproiector și tablă de scris</t>
  </si>
  <si>
    <t>5.2 de desfăşurare a seminarului / laboratorului / proiectului</t>
  </si>
  <si>
    <t>Sală dedicată lucrărilor practice echipată cu tablă de scris, calculatoare</t>
  </si>
  <si>
    <t>6. Obiectivul general al disciplinei</t>
  </si>
  <si>
    <t>Obiectivul general al disciplinei este de a oferi studenților cunoștințele fundamentale și competențele practice necesare pentru înțelegerea, analiza și proiectarea circuitelor digitale combinaționale și secvențiale. Cursul urmărește dezvoltarea unei gândiri sistematice în utilizarea algebrei booleene și a metodelor de sinteză pentru realizarea circuitelor logice, aprofundarea blocurilor funcționale de bază (multiplexoare, decodoare, numărătoare, registre, memorii) și aplicarea lor în construcția sistemelor numerice. În final, disciplina pregătește studenții să modeleze și să implementeze mașini cu număr finit de stări și să integreze blocuri digitale în arhitecturi mai complexe, constituind o bază esențială pentru discipline ulterioare precum arhitectura calculatoarelor, sisteme embedded și proiectarea VLSI.</t>
  </si>
  <si>
    <t>7. Rezultatele învățării</t>
  </si>
  <si>
    <t>Cunoștințe</t>
  </si>
  <si>
    <t>Studentul / Absolventul:</t>
  </si>
  <si>
    <t xml:space="preserve">- explică principiile fundamentale ale sistemelor de numerație și a metodelor de codificare a datelor
- descrie conceptele de algebră booleană și modul lor de aplicare în analiza și sinteza circuitelor logice
- identifică și caracterizează blocurile (digitale) de bază: porți logice, multiplexoare, decodoare, numărătoare, registre, memorii
- cunoaște metodele de proiectare a circuitelor combinaționale și secvențiale, inclusiv a automatelor cu număr finit de stări
</t>
  </si>
  <si>
    <t>Aptitudini</t>
  </si>
  <si>
    <t>- aplică principiile algebrei booleene în analiza și sinteza circuitelor logice
- analizează și simplifică funcții logice utilizând metode grafice și algoritmice
- proiectează și implementează circuite combinționale și secvențiale pentru rezolvarea unor probleme practice
- integrează blocurile logice fundamentale în sisteme numerice complexe</t>
  </si>
  <si>
    <t>Responsabilitate și autonomie</t>
  </si>
  <si>
    <t>- asumă responsabilitatea pentru dezvoltarea și testarea unor circuite digitale conforme cu specificațiile
- organizează și gestionează etapele unui proiect de sinteză digitală, respectând termenele și standardele tehnice
- colaborează eficient în echipă și lucrează individual pentru rezolvarea sarcinilor de laborator și/sau proiect
- demonstrează autonomie în procesul de învățare și se adaptează la tehnologii și instrumente de proiectare emergente</t>
  </si>
  <si>
    <t xml:space="preserve">8. Metode de predare </t>
  </si>
  <si>
    <t>Prelegerea explicativă
Expunerea cu suport multimedia
Prezentarea la tablă
Dialogul interactiv cu studenții
Rezolvarea de probleme și studii de caz</t>
  </si>
  <si>
    <t>9. Conţinuturi</t>
  </si>
  <si>
    <t>9.1. Curs</t>
  </si>
  <si>
    <t>Metode de predare</t>
  </si>
  <si>
    <t>Timp alocat</t>
  </si>
  <si>
    <t>1</t>
  </si>
  <si>
    <r>
      <rPr>
        <sz val="12"/>
        <color theme="1"/>
        <rFont val="Arial"/>
      </rPr>
      <t xml:space="preserve">Sisteme de numerație și codificare a datelor
</t>
    </r>
    <r>
      <rPr>
        <i/>
        <sz val="12"/>
        <color theme="1"/>
        <rFont val="Arial"/>
      </rPr>
      <t>Sistem binar și alte baze numerice, Conversii între baze, reprezentarea numerelor întregi, coduri ponderate și neponderate (BCD, Gray, ASCII, Unicode)</t>
    </r>
  </si>
  <si>
    <t>2 ore</t>
  </si>
  <si>
    <t>2</t>
  </si>
  <si>
    <r>
      <rPr>
        <sz val="12"/>
        <color theme="1"/>
        <rFont val="Arial"/>
      </rPr>
      <t xml:space="preserve">Algebra booleană și aplicații I
</t>
    </r>
    <r>
      <rPr>
        <i/>
        <sz val="12"/>
        <color theme="1"/>
        <rFont val="Arial"/>
      </rPr>
      <t>Legile fundamentale, teoreme, forme canonice</t>
    </r>
  </si>
  <si>
    <t>3</t>
  </si>
  <si>
    <r>
      <rPr>
        <sz val="12"/>
        <color theme="1"/>
        <rFont val="Arial"/>
      </rPr>
      <t xml:space="preserve">Algebra booleană și aplicații II
</t>
    </r>
    <r>
      <rPr>
        <i/>
        <sz val="12"/>
        <color theme="1"/>
        <rFont val="Arial"/>
      </rPr>
      <t>Simplificare cu hărți Karnaugh, Implementare practică în circuite logice</t>
    </r>
  </si>
  <si>
    <t>4</t>
  </si>
  <si>
    <r>
      <rPr>
        <sz val="12"/>
        <color theme="1"/>
        <rFont val="Arial"/>
      </rPr>
      <t xml:space="preserve">Circuite logice de bază
</t>
    </r>
    <r>
      <rPr>
        <i/>
        <sz val="12"/>
        <color theme="1"/>
        <rFont val="Arial"/>
      </rPr>
      <t>Porți logice elementare și universale, Implementare cu NAND / NOR, comparatoare, sumatoare binare, detectoare de paritate</t>
    </r>
  </si>
  <si>
    <t>5</t>
  </si>
  <si>
    <r>
      <rPr>
        <sz val="12"/>
        <color theme="1"/>
        <rFont val="Arial"/>
      </rPr>
      <t xml:space="preserve">Funcții și circuite combinaționale
</t>
    </r>
    <r>
      <rPr>
        <i/>
        <sz val="12"/>
        <color theme="1"/>
        <rFont val="Arial"/>
      </rPr>
      <t>Codificatoare, multiplexoare și decodoare, Structură și funcționare, Implementarea funcțiilor logice cu multiplexoare/decodoare</t>
    </r>
  </si>
  <si>
    <t>6</t>
  </si>
  <si>
    <r>
      <rPr>
        <sz val="12"/>
        <color theme="1"/>
        <rFont val="Arial"/>
      </rPr>
      <t xml:space="preserve">Funcții și circuite aritmetice
</t>
    </r>
    <r>
      <rPr>
        <i/>
        <sz val="12"/>
        <color theme="1"/>
        <rFont val="Arial"/>
      </rPr>
      <t>Adunarea, scăderea, înmulțirea și împărțirea în binar</t>
    </r>
  </si>
  <si>
    <t>7</t>
  </si>
  <si>
    <r>
      <rPr>
        <sz val="12"/>
        <color theme="1"/>
        <rFont val="Arial"/>
      </rPr>
      <t xml:space="preserve">Memorii: ROM, PROM, PLA, PAL
</t>
    </r>
    <r>
      <rPr>
        <i/>
        <sz val="12"/>
        <color theme="1"/>
        <rFont val="Arial"/>
      </rPr>
      <t>Principii de funcționare, Sinteză de circuite logice cu dispozitive de memorie</t>
    </r>
  </si>
  <si>
    <t>8</t>
  </si>
  <si>
    <r>
      <rPr>
        <sz val="12"/>
        <color theme="1"/>
        <rFont val="Arial"/>
      </rPr>
      <t xml:space="preserve">Circuitele secvențiale I
</t>
    </r>
    <r>
      <rPr>
        <i/>
        <sz val="12"/>
        <color theme="1"/>
        <rFont val="Arial"/>
      </rPr>
      <t>Diferențe între circuite combinaționale și secvențiale, Latch-uri și Flip-flop-uri (SR, D, JK, T)</t>
    </r>
  </si>
  <si>
    <t>9</t>
  </si>
  <si>
    <r>
      <rPr>
        <sz val="12"/>
        <color theme="1"/>
        <rFont val="Arial"/>
      </rPr>
      <t xml:space="preserve">Circuitele secvențiale II
</t>
    </r>
    <r>
      <rPr>
        <i/>
        <sz val="12"/>
        <color theme="1"/>
        <rFont val="Arial"/>
      </rPr>
      <t>Proiectarea circuitelor secvențiale cu tabele și diagrame de stare</t>
    </r>
  </si>
  <si>
    <t>10</t>
  </si>
  <si>
    <r>
      <rPr>
        <sz val="12"/>
        <color theme="1"/>
        <rFont val="Arial"/>
      </rPr>
      <t xml:space="preserve">Automate cu număr finit de stări (FSM)
</t>
    </r>
    <r>
      <rPr>
        <i/>
        <sz val="12"/>
        <color theme="1"/>
        <rFont val="Arial"/>
      </rPr>
      <t>Modele Moore și Mealy, Exemple: controlere simple</t>
    </r>
  </si>
  <si>
    <t>11</t>
  </si>
  <si>
    <r>
      <rPr>
        <sz val="12"/>
        <color theme="1"/>
        <rFont val="Arial"/>
      </rPr>
      <t xml:space="preserve">Numărătoare
</t>
    </r>
    <r>
      <rPr>
        <i/>
        <sz val="12"/>
        <color theme="1"/>
        <rFont val="Arial"/>
      </rPr>
      <t>Numărătoare binare, modulo, sincrone și asincrone, Proiectare și aplicații</t>
    </r>
  </si>
  <si>
    <t>12</t>
  </si>
  <si>
    <r>
      <rPr>
        <sz val="12"/>
        <color theme="1"/>
        <rFont val="Arial"/>
      </rPr>
      <t xml:space="preserve">Registre
</t>
    </r>
    <r>
      <rPr>
        <i/>
        <sz val="12"/>
        <color theme="1"/>
        <rFont val="Arial"/>
      </rPr>
      <t>Registre de deplasare, registre universale, Aplicații în procesarea datelor</t>
    </r>
  </si>
  <si>
    <t>13</t>
  </si>
  <si>
    <r>
      <rPr>
        <sz val="12"/>
        <color theme="1"/>
        <rFont val="Arial"/>
      </rPr>
      <t xml:space="preserve">Integrarea circuitelor digitale
</t>
    </r>
    <r>
      <rPr>
        <i/>
        <sz val="12"/>
        <color theme="1"/>
        <rFont val="Arial"/>
      </rPr>
      <t>Integrarea blocurilor combinaționale și secvențiale într-un sistem complex</t>
    </r>
  </si>
  <si>
    <t>14</t>
  </si>
  <si>
    <r>
      <rPr>
        <sz val="12"/>
        <color theme="1"/>
        <rFont val="Arial"/>
      </rPr>
      <t xml:space="preserve">Recapitulare
</t>
    </r>
    <r>
      <rPr>
        <i/>
        <sz val="12"/>
        <color theme="1"/>
        <rFont val="Arial"/>
      </rPr>
      <t>Exemple integrative, Pregătire pentru examen</t>
    </r>
  </si>
  <si>
    <t>Bibliografie curs:
1. Mano, M Morris, Charles R. Kime, and Tom Martin. Logic and Computer Design Fundamentals. Fifth edition. Pearson, 2016.
2. Gheorghe Toașce, Dan Nicula. Electronică Digitală - Dispozitive, Circuite, Proiectare, Editura tehnică, 2005
3. Gheorghe Ștefan, Circuite și Sisteme Digitale, Editura Tehnică, 2000</t>
  </si>
  <si>
    <t>9.2a Seminar</t>
  </si>
  <si>
    <t>Metode de lucru</t>
  </si>
  <si>
    <t>33</t>
  </si>
  <si>
    <t>9.2b Laborator</t>
  </si>
  <si>
    <r>
      <rPr>
        <sz val="12"/>
        <color theme="1"/>
        <rFont val="Arial"/>
      </rPr>
      <t xml:space="preserve">Sisteme de numerație și codificare a datelor
</t>
    </r>
    <r>
      <rPr>
        <i/>
        <sz val="12"/>
        <color theme="1"/>
        <rFont val="Arial"/>
      </rPr>
      <t>Reprezentarea numerelor în baza 2, 8, 10, 16., Conversii între baze, Codului Gray și codul BCD.</t>
    </r>
  </si>
  <si>
    <t>Demonstrația practică
Exercițiul aplicativ
Experimentul
Feedback imediat</t>
  </si>
  <si>
    <r>
      <rPr>
        <sz val="12"/>
        <color theme="1"/>
        <rFont val="Arial"/>
      </rPr>
      <t xml:space="preserve">Algebra booleană și aplicații I
</t>
    </r>
    <r>
      <rPr>
        <i/>
        <sz val="12"/>
        <color theme="1"/>
        <rFont val="Arial"/>
      </rPr>
      <t>Implementarea expresiilor booleene în circuite logice, Verificarea legilor fundamentale (de Morgan, comutativitate, distributivitate), 
Crearea circuitelor pornind de la forme canonice (SOP, POS).</t>
    </r>
  </si>
  <si>
    <r>
      <rPr>
        <sz val="12"/>
        <color theme="1"/>
        <rFont val="Arial"/>
      </rPr>
      <t xml:space="preserve">Algebra booleană și aplicații II
</t>
    </r>
    <r>
      <rPr>
        <i/>
        <sz val="12"/>
        <color theme="1"/>
        <rFont val="Arial"/>
      </rPr>
      <t>Simplificarea funcțiilor logice cu hărți Karnaugh, Implementarea circuitelor optimizate.</t>
    </r>
  </si>
  <si>
    <r>
      <rPr>
        <sz val="12"/>
        <color theme="1"/>
        <rFont val="Arial"/>
      </rPr>
      <t xml:space="preserve">Circuite logice de bază
</t>
    </r>
    <r>
      <rPr>
        <i/>
        <sz val="12"/>
        <color theme="1"/>
        <rFont val="Arial"/>
      </rPr>
      <t>Proiectarea și simularea circuitelor cu porți NAND și NOR, Comparatoare pe 1 și 2 biți, Detectoare de paritate, Sumatoare pe mai mulți biți.</t>
    </r>
  </si>
  <si>
    <r>
      <rPr>
        <sz val="12"/>
        <color theme="1"/>
        <rFont val="Arial"/>
      </rPr>
      <t xml:space="preserve">Funcții și circuite combinaționale
</t>
    </r>
    <r>
      <rPr>
        <i/>
        <sz val="12"/>
        <color theme="1"/>
        <rFont val="Arial"/>
      </rPr>
      <t>Codificator pe 4 biți, Multiplexor 4:1 și 8:1, Decodor 3:8, Implementarea unei funcții logice folosind multiplexoare și decodoare.</t>
    </r>
  </si>
  <si>
    <r>
      <rPr>
        <sz val="12"/>
        <color theme="1"/>
        <rFont val="Arial"/>
      </rPr>
      <t xml:space="preserve">Funcții și circuite aritmetice
</t>
    </r>
    <r>
      <rPr>
        <i/>
        <sz val="12"/>
        <color theme="1"/>
        <rFont val="Arial"/>
      </rPr>
      <t>Half-adder și Full-adder, Sumator pe 4 biți construit modular, Subtractor pe 4 biți, Circuit pentru adunare/scădere cu selectare prin control (Add/Sub).</t>
    </r>
  </si>
  <si>
    <r>
      <rPr>
        <sz val="12"/>
        <color theme="1"/>
        <rFont val="Arial"/>
      </rPr>
      <t xml:space="preserve">Memorii: ROM, PROM, PLA, PAL
</t>
    </r>
    <r>
      <rPr>
        <i/>
        <sz val="12"/>
        <color theme="1"/>
        <rFont val="Arial"/>
      </rPr>
      <t>Implementarea unei funcții logice cu ROM, Definirea unor funcții cu PLA și PAL, Compararea diferitelor abordări (ROM vs PLA).</t>
    </r>
  </si>
  <si>
    <r>
      <rPr>
        <sz val="12"/>
        <color theme="1"/>
        <rFont val="Arial"/>
      </rPr>
      <t xml:space="preserve">Circuitele secvențiale I
</t>
    </r>
    <r>
      <rPr>
        <i/>
        <sz val="12"/>
        <color theme="1"/>
        <rFont val="Arial"/>
      </rPr>
      <t>Implementarea latch-urilor (SR, D), Flip-flop-uri D, JK, T</t>
    </r>
  </si>
  <si>
    <r>
      <rPr>
        <sz val="12"/>
        <color theme="1"/>
        <rFont val="Arial"/>
      </rPr>
      <t xml:space="preserve">Circuitele secvențiale II
</t>
    </r>
    <r>
      <rPr>
        <i/>
        <sz val="12"/>
        <color theme="1"/>
        <rFont val="Arial"/>
      </rPr>
      <t>Proiectarea unui circuit secvențial simplu (detector de secvență). Verificarea tranzițiilor de stare prin tabele și diagrame.</t>
    </r>
  </si>
  <si>
    <r>
      <rPr>
        <sz val="12"/>
        <color theme="1"/>
        <rFont val="Arial"/>
      </rPr>
      <t xml:space="preserve">Automate cu număr finit de stări (FSM)
</t>
    </r>
    <r>
      <rPr>
        <i/>
        <sz val="12"/>
        <color theme="1"/>
        <rFont val="Arial"/>
      </rPr>
      <t>Implementarea unui FSM Moore (automat de servire sau controler semafor). Implementarea unui FSM Mealy (detector de secvență). Compararea modelelor Moore și Mealy.</t>
    </r>
  </si>
  <si>
    <r>
      <rPr>
        <sz val="12"/>
        <color theme="1"/>
        <rFont val="Arial"/>
      </rPr>
      <t xml:space="preserve">Numărătoare
</t>
    </r>
    <r>
      <rPr>
        <i/>
        <sz val="12"/>
        <color theme="1"/>
        <rFont val="Arial"/>
      </rPr>
      <t>Numărător binar pe 4 biți. Numărător modulo-N. Diferențe între numărător sincron și asincron.</t>
    </r>
  </si>
  <si>
    <r>
      <rPr>
        <sz val="12"/>
        <color theme="1"/>
        <rFont val="Arial"/>
      </rPr>
      <t xml:space="preserve">Registre
</t>
    </r>
    <r>
      <rPr>
        <i/>
        <sz val="12"/>
        <color theme="1"/>
        <rFont val="Arial"/>
      </rPr>
      <t>Registru de deplasare pe 4 biți. Registru universal (load, shift left/right). Aplicații în transmisia și procesarea datelor.</t>
    </r>
  </si>
  <si>
    <r>
      <rPr>
        <sz val="12"/>
        <color theme="1"/>
        <rFont val="Arial"/>
      </rPr>
      <t xml:space="preserve">Integrarea circuitelor digitale
</t>
    </r>
    <r>
      <rPr>
        <i/>
        <sz val="12"/>
        <color theme="1"/>
        <rFont val="Arial"/>
      </rPr>
      <t>Combinarea unui registru și a unui numărător într-un sistem simplu.</t>
    </r>
  </si>
  <si>
    <t>Recapitulare</t>
  </si>
  <si>
    <t>9.2c Proiect</t>
  </si>
  <si>
    <t>Bibliografie aplicaţii (seminar / laborator / proiect):
Referințele de la punctul 9.1
Manuale de utilizare pentru elementele hardware și software</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</si>
  <si>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</si>
  <si>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</si>
  <si>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</si>
  <si>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</si>
  <si>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</si>
  <si>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</si>
  <si>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</si>
  <si>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r>
      <rPr>
        <sz val="12"/>
        <color theme="1"/>
        <rFont val="Arial"/>
      </rPr>
      <t>- test de evaluare sumativ (verificare finală)</t>
    </r>
    <r>
      <rPr>
        <b/>
        <i/>
        <sz val="12"/>
        <color theme="1"/>
        <rFont val="Arial"/>
      </rPr>
      <t xml:space="preserve"> - minim nota 5</t>
    </r>
  </si>
  <si>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</si>
  <si>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</si>
  <si>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</si>
  <si>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</si>
  <si>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</si>
  <si>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r>
      <rPr>
        <sz val="12"/>
        <color theme="1"/>
        <rFont val="Arial"/>
      </rPr>
      <t xml:space="preserve">- realizarea fişelor de laborator (toate lucrările de laborator trebuie efectuate, admiţându-se recuperarea doar a unei lucrări de laborator restante);
- teste de laborator, teme de casă - </t>
    </r>
    <r>
      <rPr>
        <b/>
        <i/>
        <sz val="12"/>
        <color theme="1"/>
        <rFont val="Arial"/>
      </rPr>
      <t>minim nota 5</t>
    </r>
  </si>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</sst>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b/>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8B2DA-F38F-4800-AE1C-B00EA017EF89}">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Analysis and Synthesis of Digital Devices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AIA202</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2</v>
      </c>
      <c r="D23" s="28" t="s">
        <v>23</v>
      </c>
      <c r="E23" s="27">
        <f t="array" aca="1" ref="E23" ca="1">INDEX([1]Date!A8:A21, MATCH(E12,[1]Date!C8:C21,0),0)</f>
        <v>1</v>
      </c>
      <c r="F23" s="29" t="s">
        <v>24</v>
      </c>
      <c r="G23" s="8"/>
      <c r="H23" s="10"/>
      <c r="I23" s="22" t="str">
        <f t="array" aca="1" ref="I23" ca="1">INDEX([1]Date!M8:M21, MATCH(E12,[1]Date!C8:C21,0),0)</f>
        <v>E</v>
      </c>
      <c r="J23" s="29" t="s">
        <v>25</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INDEX([1]Date!H8:H21, MATCH(E12,[1]Date!C8:C21,0),0)</f>
        <v>2</v>
      </c>
      <c r="F26" s="28" t="s">
        <v>29</v>
      </c>
      <c r="G26" s="27">
        <f t="array" aca="1" ref="G26" ca="1">INDEX([1]Date!I8:I21, MATCH(E12,[1]Date!C8:C21,0),0)</f>
        <v>0</v>
      </c>
      <c r="H26" s="28" t="s">
        <v>30</v>
      </c>
      <c r="I26" s="31">
        <f t="array" aca="1" ref="I26" ca="1">INDEX([1]Date!J8:J21, MATCH(E12,[1]Date!C8:C21,0),0)</f>
        <v>2</v>
      </c>
      <c r="J26" s="28" t="s">
        <v>31</v>
      </c>
      <c r="K26" s="27">
        <f t="array" aca="1" ref="K26" ca="1">INDEX([1]Date!K8:K21, MATCH(E12,[1]Date!C8:C21,0),0)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28</v>
      </c>
      <c r="N29" s="5"/>
    </row>
    <row r="30" spans="1:14" ht="15.5" x14ac:dyDescent="0.35">
      <c r="A30" s="7" t="s">
        <v>42</v>
      </c>
      <c r="B30" s="8"/>
      <c r="C30" s="8"/>
      <c r="D30" s="8"/>
      <c r="E30" s="8"/>
      <c r="F30" s="8"/>
      <c r="G30" s="8"/>
      <c r="H30" s="8"/>
      <c r="I30" s="8"/>
      <c r="J30" s="8"/>
      <c r="K30" s="8"/>
      <c r="L30" s="10"/>
      <c r="M30" s="32">
        <v>24</v>
      </c>
      <c r="N30" s="5"/>
    </row>
    <row r="31" spans="1:14" ht="15.5" x14ac:dyDescent="0.35">
      <c r="A31" s="7" t="s">
        <v>43</v>
      </c>
      <c r="B31" s="8"/>
      <c r="C31" s="8"/>
      <c r="D31" s="8"/>
      <c r="E31" s="8"/>
      <c r="F31" s="8"/>
      <c r="G31" s="8"/>
      <c r="H31" s="8"/>
      <c r="I31" s="8"/>
      <c r="J31" s="8"/>
      <c r="K31" s="8"/>
      <c r="L31" s="10"/>
      <c r="M31" s="32">
        <v>17</v>
      </c>
      <c r="N31" s="5"/>
    </row>
    <row r="32" spans="1:14" ht="15.5" x14ac:dyDescent="0.35">
      <c r="A32" s="7" t="s">
        <v>44</v>
      </c>
      <c r="B32" s="8"/>
      <c r="C32" s="8"/>
      <c r="D32" s="8"/>
      <c r="E32" s="8"/>
      <c r="F32" s="8"/>
      <c r="G32" s="8"/>
      <c r="H32" s="8"/>
      <c r="I32" s="8"/>
      <c r="J32" s="8"/>
      <c r="K32" s="8"/>
      <c r="L32" s="10"/>
      <c r="M32" s="27">
        <f t="array" aca="1" ref="M32" ca="1">IF(INDEX([1]Date!M8:M21, MATCH(E12,[1]Date!C8:C21,0),0)="E",3,0)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INDEX([1]Date!L8:L21, MATCH(E12,[1]Date!C8:C21,0),0)</f>
        <v>69</v>
      </c>
      <c r="D34" s="5"/>
      <c r="E34" s="5"/>
      <c r="F34" s="5"/>
      <c r="G34" s="5"/>
      <c r="H34" s="5"/>
      <c r="I34" s="5"/>
      <c r="J34" s="5"/>
      <c r="K34" s="5"/>
      <c r="L34" s="5"/>
      <c r="M34" s="5"/>
      <c r="N34" s="5"/>
    </row>
    <row r="35" spans="1:14" ht="15.5" x14ac:dyDescent="0.35">
      <c r="A35" s="7" t="s">
        <v>47</v>
      </c>
      <c r="B35" s="10"/>
      <c r="C35" s="27">
        <f ca="1">C27+C34</f>
        <v>125</v>
      </c>
      <c r="D35" s="5"/>
      <c r="E35" s="5"/>
      <c r="F35" s="5"/>
      <c r="G35" s="5"/>
      <c r="H35" s="5"/>
      <c r="I35" s="5"/>
      <c r="J35" s="5"/>
      <c r="K35" s="5"/>
      <c r="L35" s="5"/>
      <c r="M35" s="5"/>
      <c r="N35" s="5"/>
    </row>
    <row r="36" spans="1:14" ht="15.5" x14ac:dyDescent="0.35">
      <c r="A36" s="7" t="s">
        <v>48</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53</v>
      </c>
      <c r="B42" s="2"/>
      <c r="C42" s="2"/>
      <c r="D42" s="2"/>
      <c r="E42" s="2"/>
      <c r="F42" s="2"/>
      <c r="G42" s="2"/>
      <c r="H42" s="2"/>
      <c r="I42" s="2"/>
      <c r="J42" s="2"/>
      <c r="K42" s="2"/>
      <c r="L42" s="2"/>
      <c r="M42" s="2"/>
      <c r="N42" s="30"/>
    </row>
    <row r="43" spans="1:14" ht="15.5" x14ac:dyDescent="0.35">
      <c r="A43" s="7" t="s">
        <v>54</v>
      </c>
      <c r="B43" s="10"/>
      <c r="C43" s="23" t="s">
        <v>55</v>
      </c>
      <c r="D43" s="8"/>
      <c r="E43" s="8"/>
      <c r="F43" s="8"/>
      <c r="G43" s="8"/>
      <c r="H43" s="8"/>
      <c r="I43" s="8"/>
      <c r="J43" s="8"/>
      <c r="K43" s="8"/>
      <c r="L43" s="8"/>
      <c r="M43" s="10"/>
      <c r="N43" s="30"/>
    </row>
    <row r="44" spans="1:14" ht="15.5" x14ac:dyDescent="0.35">
      <c r="A44" s="7" t="s">
        <v>56</v>
      </c>
      <c r="B44" s="10"/>
      <c r="C44" s="23" t="s">
        <v>57</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58</v>
      </c>
      <c r="B46" s="2"/>
      <c r="C46" s="2"/>
      <c r="D46" s="2"/>
      <c r="E46" s="2"/>
      <c r="F46" s="2"/>
      <c r="G46" s="2"/>
      <c r="H46" s="2"/>
      <c r="I46" s="2"/>
      <c r="J46" s="2"/>
      <c r="K46" s="2"/>
      <c r="L46" s="2"/>
      <c r="M46" s="2"/>
      <c r="N46" s="30"/>
    </row>
    <row r="47" spans="1:14" ht="15.5" x14ac:dyDescent="0.35">
      <c r="A47" s="23" t="s">
        <v>59</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60</v>
      </c>
      <c r="B49" s="2"/>
      <c r="C49" s="2"/>
      <c r="D49" s="2"/>
      <c r="E49" s="2"/>
      <c r="F49" s="2"/>
      <c r="G49" s="2"/>
      <c r="H49" s="2"/>
      <c r="I49" s="2"/>
      <c r="J49" s="2"/>
      <c r="K49" s="2"/>
      <c r="L49" s="2"/>
      <c r="M49" s="2"/>
      <c r="N49" s="30"/>
    </row>
    <row r="50" spans="1:14" ht="15.5" x14ac:dyDescent="0.35">
      <c r="A50" s="33" t="s">
        <v>61</v>
      </c>
      <c r="B50" s="34" t="s">
        <v>62</v>
      </c>
      <c r="C50" s="8"/>
      <c r="D50" s="8"/>
      <c r="E50" s="8"/>
      <c r="F50" s="8"/>
      <c r="G50" s="8"/>
      <c r="H50" s="8"/>
      <c r="I50" s="8"/>
      <c r="J50" s="8"/>
      <c r="K50" s="8"/>
      <c r="L50" s="8"/>
      <c r="M50" s="10"/>
      <c r="N50" s="5"/>
    </row>
    <row r="51" spans="1:14" ht="15.5" x14ac:dyDescent="0.35">
      <c r="A51" s="35"/>
      <c r="B51" s="36" t="s">
        <v>63</v>
      </c>
      <c r="C51" s="8"/>
      <c r="D51" s="8"/>
      <c r="E51" s="8"/>
      <c r="F51" s="8"/>
      <c r="G51" s="8"/>
      <c r="H51" s="8"/>
      <c r="I51" s="8"/>
      <c r="J51" s="8"/>
      <c r="K51" s="8"/>
      <c r="L51" s="8"/>
      <c r="M51" s="10"/>
      <c r="N51" s="5"/>
    </row>
    <row r="52" spans="1:14" ht="15.5" x14ac:dyDescent="0.35">
      <c r="A52" s="33" t="s">
        <v>64</v>
      </c>
      <c r="B52" s="34" t="s">
        <v>62</v>
      </c>
      <c r="C52" s="8"/>
      <c r="D52" s="8"/>
      <c r="E52" s="8"/>
      <c r="F52" s="8"/>
      <c r="G52" s="8"/>
      <c r="H52" s="8"/>
      <c r="I52" s="8"/>
      <c r="J52" s="8"/>
      <c r="K52" s="8"/>
      <c r="L52" s="8"/>
      <c r="M52" s="10"/>
      <c r="N52" s="5"/>
    </row>
    <row r="53" spans="1:14" ht="15.5" x14ac:dyDescent="0.35">
      <c r="A53" s="35"/>
      <c r="B53" s="36" t="s">
        <v>65</v>
      </c>
      <c r="C53" s="8"/>
      <c r="D53" s="8"/>
      <c r="E53" s="8"/>
      <c r="F53" s="8"/>
      <c r="G53" s="8"/>
      <c r="H53" s="8"/>
      <c r="I53" s="8"/>
      <c r="J53" s="8"/>
      <c r="K53" s="8"/>
      <c r="L53" s="8"/>
      <c r="M53" s="10"/>
      <c r="N53" s="5"/>
    </row>
    <row r="54" spans="1:14" ht="18" customHeight="1" x14ac:dyDescent="0.35">
      <c r="A54" s="33" t="s">
        <v>66</v>
      </c>
      <c r="B54" s="34" t="s">
        <v>62</v>
      </c>
      <c r="C54" s="8"/>
      <c r="D54" s="8"/>
      <c r="E54" s="8"/>
      <c r="F54" s="8"/>
      <c r="G54" s="8"/>
      <c r="H54" s="8"/>
      <c r="I54" s="8"/>
      <c r="J54" s="8"/>
      <c r="K54" s="8"/>
      <c r="L54" s="8"/>
      <c r="M54" s="10"/>
      <c r="N54" s="5"/>
    </row>
    <row r="55" spans="1:14" ht="104.25" customHeight="1" x14ac:dyDescent="0.35">
      <c r="A55" s="35"/>
      <c r="B55" s="37" t="s">
        <v>67</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68</v>
      </c>
      <c r="B57" s="2"/>
      <c r="C57" s="2"/>
      <c r="D57" s="2"/>
      <c r="E57" s="2"/>
      <c r="F57" s="2"/>
      <c r="G57" s="2"/>
      <c r="H57" s="2"/>
      <c r="I57" s="2"/>
      <c r="J57" s="2"/>
      <c r="K57" s="2"/>
      <c r="L57" s="2"/>
      <c r="M57" s="2"/>
      <c r="N57" s="30"/>
    </row>
    <row r="58" spans="1:14" ht="15.5" x14ac:dyDescent="0.35">
      <c r="A58" s="23" t="s">
        <v>69</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70</v>
      </c>
      <c r="B60" s="2"/>
      <c r="C60" s="2"/>
      <c r="D60" s="2"/>
      <c r="E60" s="2"/>
      <c r="F60" s="2"/>
      <c r="G60" s="2"/>
      <c r="H60" s="2"/>
      <c r="I60" s="2"/>
      <c r="J60" s="2"/>
      <c r="K60" s="2"/>
      <c r="L60" s="2"/>
      <c r="M60" s="2"/>
      <c r="N60" s="30"/>
    </row>
    <row r="61" spans="1:14" ht="24.75" customHeight="1" x14ac:dyDescent="0.35">
      <c r="A61" s="38" t="s">
        <v>71</v>
      </c>
      <c r="B61" s="8"/>
      <c r="C61" s="8"/>
      <c r="D61" s="8"/>
      <c r="E61" s="8"/>
      <c r="F61" s="8"/>
      <c r="G61" s="10"/>
      <c r="H61" s="38" t="s">
        <v>72</v>
      </c>
      <c r="I61" s="8"/>
      <c r="J61" s="8"/>
      <c r="K61" s="10"/>
      <c r="L61" s="38" t="s">
        <v>73</v>
      </c>
      <c r="M61" s="10"/>
      <c r="N61" s="30"/>
    </row>
    <row r="62" spans="1:14" ht="15.5" x14ac:dyDescent="0.35">
      <c r="A62" s="39" t="s">
        <v>74</v>
      </c>
      <c r="B62" s="23" t="s">
        <v>75</v>
      </c>
      <c r="C62" s="8"/>
      <c r="D62" s="8"/>
      <c r="E62" s="8"/>
      <c r="F62" s="8"/>
      <c r="G62" s="10"/>
      <c r="H62" s="40" t="s">
        <v>69</v>
      </c>
      <c r="I62" s="14"/>
      <c r="J62" s="14"/>
      <c r="K62" s="15"/>
      <c r="L62" s="41" t="s">
        <v>76</v>
      </c>
      <c r="M62" s="10"/>
      <c r="N62" s="5"/>
    </row>
    <row r="63" spans="1:14" ht="15.5" x14ac:dyDescent="0.35">
      <c r="A63" s="39" t="s">
        <v>77</v>
      </c>
      <c r="B63" s="23" t="s">
        <v>78</v>
      </c>
      <c r="C63" s="8"/>
      <c r="D63" s="8"/>
      <c r="E63" s="8"/>
      <c r="F63" s="8"/>
      <c r="G63" s="10"/>
      <c r="H63" s="25"/>
      <c r="I63" s="2"/>
      <c r="J63" s="2"/>
      <c r="K63" s="26"/>
      <c r="L63" s="41" t="s">
        <v>76</v>
      </c>
      <c r="M63" s="10"/>
      <c r="N63" s="5"/>
    </row>
    <row r="64" spans="1:14" ht="15.5" x14ac:dyDescent="0.35">
      <c r="A64" s="39" t="s">
        <v>79</v>
      </c>
      <c r="B64" s="23" t="s">
        <v>80</v>
      </c>
      <c r="C64" s="8"/>
      <c r="D64" s="8"/>
      <c r="E64" s="8"/>
      <c r="F64" s="8"/>
      <c r="G64" s="10"/>
      <c r="H64" s="25"/>
      <c r="I64" s="2"/>
      <c r="J64" s="2"/>
      <c r="K64" s="26"/>
      <c r="L64" s="41" t="s">
        <v>76</v>
      </c>
      <c r="M64" s="10"/>
      <c r="N64" s="5"/>
    </row>
    <row r="65" spans="1:14" ht="15.5" x14ac:dyDescent="0.35">
      <c r="A65" s="39" t="s">
        <v>81</v>
      </c>
      <c r="B65" s="23" t="s">
        <v>82</v>
      </c>
      <c r="C65" s="8"/>
      <c r="D65" s="8"/>
      <c r="E65" s="8"/>
      <c r="F65" s="8"/>
      <c r="G65" s="10"/>
      <c r="H65" s="25"/>
      <c r="I65" s="2"/>
      <c r="J65" s="2"/>
      <c r="K65" s="26"/>
      <c r="L65" s="41" t="s">
        <v>76</v>
      </c>
      <c r="M65" s="10"/>
      <c r="N65" s="5"/>
    </row>
    <row r="66" spans="1:14" ht="15.5" x14ac:dyDescent="0.35">
      <c r="A66" s="39" t="s">
        <v>83</v>
      </c>
      <c r="B66" s="23" t="s">
        <v>84</v>
      </c>
      <c r="C66" s="8"/>
      <c r="D66" s="8"/>
      <c r="E66" s="8"/>
      <c r="F66" s="8"/>
      <c r="G66" s="10"/>
      <c r="H66" s="25"/>
      <c r="I66" s="2"/>
      <c r="J66" s="2"/>
      <c r="K66" s="26"/>
      <c r="L66" s="41" t="s">
        <v>76</v>
      </c>
      <c r="M66" s="10"/>
      <c r="N66" s="5"/>
    </row>
    <row r="67" spans="1:14" ht="15.5" x14ac:dyDescent="0.35">
      <c r="A67" s="39" t="s">
        <v>85</v>
      </c>
      <c r="B67" s="23" t="s">
        <v>86</v>
      </c>
      <c r="C67" s="8"/>
      <c r="D67" s="8"/>
      <c r="E67" s="8"/>
      <c r="F67" s="8"/>
      <c r="G67" s="10"/>
      <c r="H67" s="25"/>
      <c r="I67" s="2"/>
      <c r="J67" s="2"/>
      <c r="K67" s="26"/>
      <c r="L67" s="41" t="s">
        <v>76</v>
      </c>
      <c r="M67" s="10"/>
      <c r="N67" s="5"/>
    </row>
    <row r="68" spans="1:14" ht="15.5" x14ac:dyDescent="0.35">
      <c r="A68" s="39" t="s">
        <v>87</v>
      </c>
      <c r="B68" s="23" t="s">
        <v>88</v>
      </c>
      <c r="C68" s="8"/>
      <c r="D68" s="8"/>
      <c r="E68" s="8"/>
      <c r="F68" s="8"/>
      <c r="G68" s="10"/>
      <c r="H68" s="25"/>
      <c r="I68" s="2"/>
      <c r="J68" s="2"/>
      <c r="K68" s="26"/>
      <c r="L68" s="41" t="s">
        <v>76</v>
      </c>
      <c r="M68" s="10"/>
      <c r="N68" s="5"/>
    </row>
    <row r="69" spans="1:14" ht="15.5" x14ac:dyDescent="0.35">
      <c r="A69" s="39" t="s">
        <v>89</v>
      </c>
      <c r="B69" s="23" t="s">
        <v>90</v>
      </c>
      <c r="C69" s="8"/>
      <c r="D69" s="8"/>
      <c r="E69" s="8"/>
      <c r="F69" s="8"/>
      <c r="G69" s="10"/>
      <c r="H69" s="25"/>
      <c r="I69" s="2"/>
      <c r="J69" s="2"/>
      <c r="K69" s="26"/>
      <c r="L69" s="41" t="s">
        <v>76</v>
      </c>
      <c r="M69" s="10"/>
      <c r="N69" s="5"/>
    </row>
    <row r="70" spans="1:14" ht="15.5" x14ac:dyDescent="0.35">
      <c r="A70" s="39" t="s">
        <v>91</v>
      </c>
      <c r="B70" s="23" t="s">
        <v>92</v>
      </c>
      <c r="C70" s="8"/>
      <c r="D70" s="8"/>
      <c r="E70" s="8"/>
      <c r="F70" s="8"/>
      <c r="G70" s="10"/>
      <c r="H70" s="25"/>
      <c r="I70" s="2"/>
      <c r="J70" s="2"/>
      <c r="K70" s="26"/>
      <c r="L70" s="41" t="s">
        <v>76</v>
      </c>
      <c r="M70" s="10"/>
      <c r="N70" s="5"/>
    </row>
    <row r="71" spans="1:14" ht="15.5" x14ac:dyDescent="0.35">
      <c r="A71" s="39" t="s">
        <v>93</v>
      </c>
      <c r="B71" s="23" t="s">
        <v>94</v>
      </c>
      <c r="C71" s="8"/>
      <c r="D71" s="8"/>
      <c r="E71" s="8"/>
      <c r="F71" s="8"/>
      <c r="G71" s="10"/>
      <c r="H71" s="25"/>
      <c r="I71" s="2"/>
      <c r="J71" s="2"/>
      <c r="K71" s="26"/>
      <c r="L71" s="41" t="s">
        <v>76</v>
      </c>
      <c r="M71" s="10"/>
      <c r="N71" s="5"/>
    </row>
    <row r="72" spans="1:14" ht="15.5" x14ac:dyDescent="0.35">
      <c r="A72" s="39" t="s">
        <v>95</v>
      </c>
      <c r="B72" s="23" t="s">
        <v>96</v>
      </c>
      <c r="C72" s="8"/>
      <c r="D72" s="8"/>
      <c r="E72" s="8"/>
      <c r="F72" s="8"/>
      <c r="G72" s="10"/>
      <c r="H72" s="25"/>
      <c r="I72" s="2"/>
      <c r="J72" s="2"/>
      <c r="K72" s="26"/>
      <c r="L72" s="41" t="s">
        <v>76</v>
      </c>
      <c r="M72" s="10"/>
      <c r="N72" s="5"/>
    </row>
    <row r="73" spans="1:14" ht="15.5" x14ac:dyDescent="0.35">
      <c r="A73" s="39" t="s">
        <v>97</v>
      </c>
      <c r="B73" s="23" t="s">
        <v>98</v>
      </c>
      <c r="C73" s="8"/>
      <c r="D73" s="8"/>
      <c r="E73" s="8"/>
      <c r="F73" s="8"/>
      <c r="G73" s="10"/>
      <c r="H73" s="25"/>
      <c r="I73" s="2"/>
      <c r="J73" s="2"/>
      <c r="K73" s="26"/>
      <c r="L73" s="41" t="s">
        <v>76</v>
      </c>
      <c r="M73" s="10"/>
      <c r="N73" s="5"/>
    </row>
    <row r="74" spans="1:14" ht="15.5" x14ac:dyDescent="0.35">
      <c r="A74" s="39" t="s">
        <v>99</v>
      </c>
      <c r="B74" s="23" t="s">
        <v>100</v>
      </c>
      <c r="C74" s="8"/>
      <c r="D74" s="8"/>
      <c r="E74" s="8"/>
      <c r="F74" s="8"/>
      <c r="G74" s="10"/>
      <c r="H74" s="25"/>
      <c r="I74" s="2"/>
      <c r="J74" s="2"/>
      <c r="K74" s="26"/>
      <c r="L74" s="41" t="s">
        <v>76</v>
      </c>
      <c r="M74" s="10"/>
      <c r="N74" s="5"/>
    </row>
    <row r="75" spans="1:14" ht="15.5" x14ac:dyDescent="0.35">
      <c r="A75" s="39" t="s">
        <v>101</v>
      </c>
      <c r="B75" s="23" t="s">
        <v>102</v>
      </c>
      <c r="C75" s="8"/>
      <c r="D75" s="8"/>
      <c r="E75" s="8"/>
      <c r="F75" s="8"/>
      <c r="G75" s="10"/>
      <c r="H75" s="24"/>
      <c r="I75" s="18"/>
      <c r="J75" s="18"/>
      <c r="K75" s="19"/>
      <c r="L75" s="41" t="s">
        <v>76</v>
      </c>
      <c r="M75" s="10"/>
      <c r="N75" s="5"/>
    </row>
    <row r="76" spans="1:14" ht="84.75" customHeight="1" x14ac:dyDescent="0.35">
      <c r="A76" s="37" t="s">
        <v>103</v>
      </c>
      <c r="B76" s="8"/>
      <c r="C76" s="8"/>
      <c r="D76" s="8"/>
      <c r="E76" s="8"/>
      <c r="F76" s="8"/>
      <c r="G76" s="8"/>
      <c r="H76" s="8"/>
      <c r="I76" s="8"/>
      <c r="J76" s="8"/>
      <c r="K76" s="8"/>
      <c r="L76" s="8"/>
      <c r="M76" s="10"/>
      <c r="N76" s="5"/>
    </row>
    <row r="77" spans="1:14" ht="24.75" hidden="1" customHeight="1" x14ac:dyDescent="0.35">
      <c r="A77" s="38" t="s">
        <v>104</v>
      </c>
      <c r="B77" s="8"/>
      <c r="C77" s="8"/>
      <c r="D77" s="8"/>
      <c r="E77" s="8"/>
      <c r="F77" s="8"/>
      <c r="G77" s="10"/>
      <c r="H77" s="38" t="s">
        <v>105</v>
      </c>
      <c r="I77" s="8"/>
      <c r="J77" s="8"/>
      <c r="K77" s="10"/>
      <c r="L77" s="38" t="s">
        <v>73</v>
      </c>
      <c r="M77" s="10"/>
      <c r="N77" s="30"/>
    </row>
    <row r="78" spans="1:14" ht="15.5" hidden="1" x14ac:dyDescent="0.35">
      <c r="A78" s="39" t="s">
        <v>74</v>
      </c>
      <c r="B78" s="23"/>
      <c r="C78" s="8"/>
      <c r="D78" s="8"/>
      <c r="E78" s="8"/>
      <c r="F78" s="8"/>
      <c r="G78" s="10"/>
      <c r="H78" s="40"/>
      <c r="I78" s="14"/>
      <c r="J78" s="14"/>
      <c r="K78" s="15"/>
      <c r="L78" s="23"/>
      <c r="M78" s="10"/>
      <c r="N78" s="5"/>
    </row>
    <row r="79" spans="1:14" ht="15.5" hidden="1" x14ac:dyDescent="0.35">
      <c r="A79" s="39" t="s">
        <v>77</v>
      </c>
      <c r="B79" s="23"/>
      <c r="C79" s="8"/>
      <c r="D79" s="8"/>
      <c r="E79" s="8"/>
      <c r="F79" s="8"/>
      <c r="G79" s="10"/>
      <c r="H79" s="25"/>
      <c r="I79" s="2"/>
      <c r="J79" s="2"/>
      <c r="K79" s="26"/>
      <c r="L79" s="23"/>
      <c r="M79" s="10"/>
      <c r="N79" s="5"/>
    </row>
    <row r="80" spans="1:14" ht="15.5" hidden="1" x14ac:dyDescent="0.35">
      <c r="A80" s="39" t="s">
        <v>79</v>
      </c>
      <c r="B80" s="23"/>
      <c r="C80" s="8"/>
      <c r="D80" s="8"/>
      <c r="E80" s="8"/>
      <c r="F80" s="8"/>
      <c r="G80" s="10"/>
      <c r="H80" s="25"/>
      <c r="I80" s="2"/>
      <c r="J80" s="2"/>
      <c r="K80" s="26"/>
      <c r="L80" s="23"/>
      <c r="M80" s="10"/>
      <c r="N80" s="5"/>
    </row>
    <row r="81" spans="1:14" ht="15.5" hidden="1" x14ac:dyDescent="0.35">
      <c r="A81" s="39" t="s">
        <v>81</v>
      </c>
      <c r="B81" s="23"/>
      <c r="C81" s="8"/>
      <c r="D81" s="8"/>
      <c r="E81" s="8"/>
      <c r="F81" s="8"/>
      <c r="G81" s="10"/>
      <c r="H81" s="25"/>
      <c r="I81" s="2"/>
      <c r="J81" s="2"/>
      <c r="K81" s="26"/>
      <c r="L81" s="23"/>
      <c r="M81" s="10"/>
      <c r="N81" s="5"/>
    </row>
    <row r="82" spans="1:14" ht="15.5" hidden="1" x14ac:dyDescent="0.35">
      <c r="A82" s="39" t="s">
        <v>106</v>
      </c>
      <c r="B82" s="23"/>
      <c r="C82" s="8"/>
      <c r="D82" s="8"/>
      <c r="E82" s="8"/>
      <c r="F82" s="8"/>
      <c r="G82" s="10"/>
      <c r="H82" s="25"/>
      <c r="I82" s="2"/>
      <c r="J82" s="2"/>
      <c r="K82" s="26"/>
      <c r="L82" s="23"/>
      <c r="M82" s="10"/>
      <c r="N82" s="5"/>
    </row>
    <row r="83" spans="1:14" ht="15.5" hidden="1" x14ac:dyDescent="0.35">
      <c r="A83" s="39" t="s">
        <v>85</v>
      </c>
      <c r="B83" s="23"/>
      <c r="C83" s="8"/>
      <c r="D83" s="8"/>
      <c r="E83" s="8"/>
      <c r="F83" s="8"/>
      <c r="G83" s="10"/>
      <c r="H83" s="25"/>
      <c r="I83" s="2"/>
      <c r="J83" s="2"/>
      <c r="K83" s="26"/>
      <c r="L83" s="23"/>
      <c r="M83" s="10"/>
      <c r="N83" s="5"/>
    </row>
    <row r="84" spans="1:14" ht="15.5" hidden="1" x14ac:dyDescent="0.35">
      <c r="A84" s="39" t="s">
        <v>87</v>
      </c>
      <c r="B84" s="23"/>
      <c r="C84" s="8"/>
      <c r="D84" s="8"/>
      <c r="E84" s="8"/>
      <c r="F84" s="8"/>
      <c r="G84" s="10"/>
      <c r="H84" s="25"/>
      <c r="I84" s="2"/>
      <c r="J84" s="2"/>
      <c r="K84" s="26"/>
      <c r="L84" s="23"/>
      <c r="M84" s="10"/>
      <c r="N84" s="5"/>
    </row>
    <row r="85" spans="1:14" ht="15.5" hidden="1" x14ac:dyDescent="0.35">
      <c r="A85" s="39" t="s">
        <v>89</v>
      </c>
      <c r="B85" s="23"/>
      <c r="C85" s="8"/>
      <c r="D85" s="8"/>
      <c r="E85" s="8"/>
      <c r="F85" s="8"/>
      <c r="G85" s="10"/>
      <c r="H85" s="25"/>
      <c r="I85" s="2"/>
      <c r="J85" s="2"/>
      <c r="K85" s="26"/>
      <c r="L85" s="23"/>
      <c r="M85" s="10"/>
      <c r="N85" s="5"/>
    </row>
    <row r="86" spans="1:14" ht="15.5" hidden="1" x14ac:dyDescent="0.35">
      <c r="A86" s="39" t="s">
        <v>91</v>
      </c>
      <c r="B86" s="23"/>
      <c r="C86" s="8"/>
      <c r="D86" s="8"/>
      <c r="E86" s="8"/>
      <c r="F86" s="8"/>
      <c r="G86" s="10"/>
      <c r="H86" s="25"/>
      <c r="I86" s="2"/>
      <c r="J86" s="2"/>
      <c r="K86" s="26"/>
      <c r="L86" s="23"/>
      <c r="M86" s="10"/>
      <c r="N86" s="5"/>
    </row>
    <row r="87" spans="1:14" ht="15.5" hidden="1" x14ac:dyDescent="0.35">
      <c r="A87" s="39" t="s">
        <v>93</v>
      </c>
      <c r="B87" s="23"/>
      <c r="C87" s="8"/>
      <c r="D87" s="8"/>
      <c r="E87" s="8"/>
      <c r="F87" s="8"/>
      <c r="G87" s="10"/>
      <c r="H87" s="25"/>
      <c r="I87" s="2"/>
      <c r="J87" s="2"/>
      <c r="K87" s="26"/>
      <c r="L87" s="23"/>
      <c r="M87" s="10"/>
      <c r="N87" s="5"/>
    </row>
    <row r="88" spans="1:14" ht="15.5" hidden="1" x14ac:dyDescent="0.35">
      <c r="A88" s="39" t="s">
        <v>95</v>
      </c>
      <c r="B88" s="23"/>
      <c r="C88" s="8"/>
      <c r="D88" s="8"/>
      <c r="E88" s="8"/>
      <c r="F88" s="8"/>
      <c r="G88" s="10"/>
      <c r="H88" s="25"/>
      <c r="I88" s="2"/>
      <c r="J88" s="2"/>
      <c r="K88" s="26"/>
      <c r="L88" s="23"/>
      <c r="M88" s="10"/>
      <c r="N88" s="5"/>
    </row>
    <row r="89" spans="1:14" ht="15.5" hidden="1" x14ac:dyDescent="0.35">
      <c r="A89" s="39" t="s">
        <v>97</v>
      </c>
      <c r="B89" s="23"/>
      <c r="C89" s="8"/>
      <c r="D89" s="8"/>
      <c r="E89" s="8"/>
      <c r="F89" s="8"/>
      <c r="G89" s="10"/>
      <c r="H89" s="25"/>
      <c r="I89" s="2"/>
      <c r="J89" s="2"/>
      <c r="K89" s="26"/>
      <c r="L89" s="23"/>
      <c r="M89" s="10"/>
      <c r="N89" s="5"/>
    </row>
    <row r="90" spans="1:14" ht="15.5" hidden="1" x14ac:dyDescent="0.35">
      <c r="A90" s="39" t="s">
        <v>99</v>
      </c>
      <c r="B90" s="23"/>
      <c r="C90" s="8"/>
      <c r="D90" s="8"/>
      <c r="E90" s="8"/>
      <c r="F90" s="8"/>
      <c r="G90" s="10"/>
      <c r="H90" s="25"/>
      <c r="I90" s="2"/>
      <c r="J90" s="2"/>
      <c r="K90" s="26"/>
      <c r="L90" s="23"/>
      <c r="M90" s="10"/>
      <c r="N90" s="5"/>
    </row>
    <row r="91" spans="1:14" ht="15.5" hidden="1" x14ac:dyDescent="0.35">
      <c r="A91" s="39" t="s">
        <v>101</v>
      </c>
      <c r="B91" s="23"/>
      <c r="C91" s="8"/>
      <c r="D91" s="8"/>
      <c r="E91" s="8"/>
      <c r="F91" s="8"/>
      <c r="G91" s="10"/>
      <c r="H91" s="24"/>
      <c r="I91" s="18"/>
      <c r="J91" s="18"/>
      <c r="K91" s="19"/>
      <c r="L91" s="23"/>
      <c r="M91" s="10"/>
      <c r="N91" s="5"/>
    </row>
    <row r="92" spans="1:14" ht="24" customHeight="1" x14ac:dyDescent="0.35">
      <c r="A92" s="38" t="s">
        <v>107</v>
      </c>
      <c r="B92" s="8"/>
      <c r="C92" s="8"/>
      <c r="D92" s="8"/>
      <c r="E92" s="8"/>
      <c r="F92" s="8"/>
      <c r="G92" s="10"/>
      <c r="H92" s="38" t="s">
        <v>105</v>
      </c>
      <c r="I92" s="8"/>
      <c r="J92" s="8"/>
      <c r="K92" s="10"/>
      <c r="L92" s="38" t="s">
        <v>73</v>
      </c>
      <c r="M92" s="10"/>
      <c r="N92" s="30"/>
    </row>
    <row r="93" spans="1:14" ht="15.5" x14ac:dyDescent="0.35">
      <c r="A93" s="39" t="s">
        <v>74</v>
      </c>
      <c r="B93" s="23" t="s">
        <v>108</v>
      </c>
      <c r="C93" s="8"/>
      <c r="D93" s="8"/>
      <c r="E93" s="8"/>
      <c r="F93" s="8"/>
      <c r="G93" s="10"/>
      <c r="H93" s="40" t="s">
        <v>109</v>
      </c>
      <c r="I93" s="14"/>
      <c r="J93" s="14"/>
      <c r="K93" s="15"/>
      <c r="L93" s="41" t="s">
        <v>76</v>
      </c>
      <c r="M93" s="10"/>
      <c r="N93" s="5"/>
    </row>
    <row r="94" spans="1:14" ht="15.5" x14ac:dyDescent="0.35">
      <c r="A94" s="39" t="s">
        <v>77</v>
      </c>
      <c r="B94" s="23" t="s">
        <v>110</v>
      </c>
      <c r="C94" s="8"/>
      <c r="D94" s="8"/>
      <c r="E94" s="8"/>
      <c r="F94" s="8"/>
      <c r="G94" s="10"/>
      <c r="H94" s="25"/>
      <c r="I94" s="2"/>
      <c r="J94" s="2"/>
      <c r="K94" s="26"/>
      <c r="L94" s="41" t="s">
        <v>76</v>
      </c>
      <c r="M94" s="10"/>
      <c r="N94" s="5"/>
    </row>
    <row r="95" spans="1:14" ht="15.5" x14ac:dyDescent="0.35">
      <c r="A95" s="39" t="s">
        <v>79</v>
      </c>
      <c r="B95" s="23" t="s">
        <v>111</v>
      </c>
      <c r="C95" s="8"/>
      <c r="D95" s="8"/>
      <c r="E95" s="8"/>
      <c r="F95" s="8"/>
      <c r="G95" s="10"/>
      <c r="H95" s="25"/>
      <c r="I95" s="2"/>
      <c r="J95" s="2"/>
      <c r="K95" s="26"/>
      <c r="L95" s="41" t="s">
        <v>76</v>
      </c>
      <c r="M95" s="10"/>
      <c r="N95" s="5"/>
    </row>
    <row r="96" spans="1:14" ht="15.5" x14ac:dyDescent="0.35">
      <c r="A96" s="39" t="s">
        <v>81</v>
      </c>
      <c r="B96" s="23" t="s">
        <v>112</v>
      </c>
      <c r="C96" s="8"/>
      <c r="D96" s="8"/>
      <c r="E96" s="8"/>
      <c r="F96" s="8"/>
      <c r="G96" s="10"/>
      <c r="H96" s="25"/>
      <c r="I96" s="2"/>
      <c r="J96" s="2"/>
      <c r="K96" s="26"/>
      <c r="L96" s="41" t="s">
        <v>76</v>
      </c>
      <c r="M96" s="10"/>
      <c r="N96" s="5"/>
    </row>
    <row r="97" spans="1:14" ht="15.5" x14ac:dyDescent="0.35">
      <c r="A97" s="39" t="s">
        <v>83</v>
      </c>
      <c r="B97" s="23" t="s">
        <v>113</v>
      </c>
      <c r="C97" s="8"/>
      <c r="D97" s="8"/>
      <c r="E97" s="8"/>
      <c r="F97" s="8"/>
      <c r="G97" s="10"/>
      <c r="H97" s="25"/>
      <c r="I97" s="2"/>
      <c r="J97" s="2"/>
      <c r="K97" s="26"/>
      <c r="L97" s="41" t="s">
        <v>76</v>
      </c>
      <c r="M97" s="10"/>
      <c r="N97" s="5"/>
    </row>
    <row r="98" spans="1:14" ht="15.5" x14ac:dyDescent="0.35">
      <c r="A98" s="39" t="s">
        <v>85</v>
      </c>
      <c r="B98" s="23" t="s">
        <v>114</v>
      </c>
      <c r="C98" s="8"/>
      <c r="D98" s="8"/>
      <c r="E98" s="8"/>
      <c r="F98" s="8"/>
      <c r="G98" s="10"/>
      <c r="H98" s="25"/>
      <c r="I98" s="2"/>
      <c r="J98" s="2"/>
      <c r="K98" s="26"/>
      <c r="L98" s="41" t="s">
        <v>76</v>
      </c>
      <c r="M98" s="10"/>
      <c r="N98" s="5"/>
    </row>
    <row r="99" spans="1:14" ht="15.5" x14ac:dyDescent="0.35">
      <c r="A99" s="39" t="s">
        <v>87</v>
      </c>
      <c r="B99" s="23" t="s">
        <v>115</v>
      </c>
      <c r="C99" s="8"/>
      <c r="D99" s="8"/>
      <c r="E99" s="8"/>
      <c r="F99" s="8"/>
      <c r="G99" s="10"/>
      <c r="H99" s="25"/>
      <c r="I99" s="2"/>
      <c r="J99" s="2"/>
      <c r="K99" s="26"/>
      <c r="L99" s="41" t="s">
        <v>76</v>
      </c>
      <c r="M99" s="10"/>
      <c r="N99" s="5"/>
    </row>
    <row r="100" spans="1:14" ht="15.5" x14ac:dyDescent="0.35">
      <c r="A100" s="39" t="s">
        <v>89</v>
      </c>
      <c r="B100" s="23" t="s">
        <v>116</v>
      </c>
      <c r="C100" s="8"/>
      <c r="D100" s="8"/>
      <c r="E100" s="8"/>
      <c r="F100" s="8"/>
      <c r="G100" s="10"/>
      <c r="H100" s="25"/>
      <c r="I100" s="2"/>
      <c r="J100" s="2"/>
      <c r="K100" s="26"/>
      <c r="L100" s="41" t="s">
        <v>76</v>
      </c>
      <c r="M100" s="10"/>
      <c r="N100" s="5"/>
    </row>
    <row r="101" spans="1:14" ht="15.5" x14ac:dyDescent="0.35">
      <c r="A101" s="39" t="s">
        <v>91</v>
      </c>
      <c r="B101" s="23" t="s">
        <v>117</v>
      </c>
      <c r="C101" s="8"/>
      <c r="D101" s="8"/>
      <c r="E101" s="8"/>
      <c r="F101" s="8"/>
      <c r="G101" s="10"/>
      <c r="H101" s="25"/>
      <c r="I101" s="2"/>
      <c r="J101" s="2"/>
      <c r="K101" s="26"/>
      <c r="L101" s="41" t="s">
        <v>76</v>
      </c>
      <c r="M101" s="10"/>
      <c r="N101" s="5"/>
    </row>
    <row r="102" spans="1:14" ht="15.5" x14ac:dyDescent="0.35">
      <c r="A102" s="39" t="s">
        <v>93</v>
      </c>
      <c r="B102" s="23" t="s">
        <v>118</v>
      </c>
      <c r="C102" s="8"/>
      <c r="D102" s="8"/>
      <c r="E102" s="8"/>
      <c r="F102" s="8"/>
      <c r="G102" s="10"/>
      <c r="H102" s="25"/>
      <c r="I102" s="2"/>
      <c r="J102" s="2"/>
      <c r="K102" s="26"/>
      <c r="L102" s="41" t="s">
        <v>76</v>
      </c>
      <c r="M102" s="10"/>
      <c r="N102" s="5"/>
    </row>
    <row r="103" spans="1:14" ht="15.5" x14ac:dyDescent="0.35">
      <c r="A103" s="39" t="s">
        <v>95</v>
      </c>
      <c r="B103" s="23" t="s">
        <v>119</v>
      </c>
      <c r="C103" s="8"/>
      <c r="D103" s="8"/>
      <c r="E103" s="8"/>
      <c r="F103" s="8"/>
      <c r="G103" s="10"/>
      <c r="H103" s="25"/>
      <c r="I103" s="2"/>
      <c r="J103" s="2"/>
      <c r="K103" s="26"/>
      <c r="L103" s="41" t="s">
        <v>76</v>
      </c>
      <c r="M103" s="10"/>
      <c r="N103" s="5"/>
    </row>
    <row r="104" spans="1:14" ht="15.5" x14ac:dyDescent="0.35">
      <c r="A104" s="39" t="s">
        <v>97</v>
      </c>
      <c r="B104" s="23" t="s">
        <v>120</v>
      </c>
      <c r="C104" s="8"/>
      <c r="D104" s="8"/>
      <c r="E104" s="8"/>
      <c r="F104" s="8"/>
      <c r="G104" s="10"/>
      <c r="H104" s="25"/>
      <c r="I104" s="2"/>
      <c r="J104" s="2"/>
      <c r="K104" s="26"/>
      <c r="L104" s="41" t="s">
        <v>76</v>
      </c>
      <c r="M104" s="10"/>
      <c r="N104" s="5"/>
    </row>
    <row r="105" spans="1:14" ht="15.5" x14ac:dyDescent="0.35">
      <c r="A105" s="39" t="s">
        <v>99</v>
      </c>
      <c r="B105" s="23" t="s">
        <v>121</v>
      </c>
      <c r="C105" s="8"/>
      <c r="D105" s="8"/>
      <c r="E105" s="8"/>
      <c r="F105" s="8"/>
      <c r="G105" s="10"/>
      <c r="H105" s="25"/>
      <c r="I105" s="2"/>
      <c r="J105" s="2"/>
      <c r="K105" s="26"/>
      <c r="L105" s="41" t="s">
        <v>76</v>
      </c>
      <c r="M105" s="10"/>
      <c r="N105" s="5"/>
    </row>
    <row r="106" spans="1:14" ht="15.5" x14ac:dyDescent="0.35">
      <c r="A106" s="39" t="s">
        <v>101</v>
      </c>
      <c r="B106" s="23" t="s">
        <v>122</v>
      </c>
      <c r="C106" s="8"/>
      <c r="D106" s="8"/>
      <c r="E106" s="8"/>
      <c r="F106" s="8"/>
      <c r="G106" s="10"/>
      <c r="H106" s="24"/>
      <c r="I106" s="18"/>
      <c r="J106" s="18"/>
      <c r="K106" s="19"/>
      <c r="L106" s="41" t="s">
        <v>76</v>
      </c>
      <c r="M106" s="10"/>
      <c r="N106" s="5"/>
    </row>
    <row r="107" spans="1:14" ht="24" hidden="1" customHeight="1" x14ac:dyDescent="0.35">
      <c r="A107" s="38" t="s">
        <v>123</v>
      </c>
      <c r="B107" s="8"/>
      <c r="C107" s="8"/>
      <c r="D107" s="8"/>
      <c r="E107" s="8"/>
      <c r="F107" s="8"/>
      <c r="G107" s="10"/>
      <c r="H107" s="38" t="s">
        <v>105</v>
      </c>
      <c r="I107" s="8"/>
      <c r="J107" s="8"/>
      <c r="K107" s="10"/>
      <c r="L107" s="38" t="s">
        <v>73</v>
      </c>
      <c r="M107" s="10"/>
      <c r="N107" s="30"/>
    </row>
    <row r="108" spans="1:14" ht="15.5" hidden="1" x14ac:dyDescent="0.35">
      <c r="A108" s="39" t="s">
        <v>74</v>
      </c>
      <c r="B108" s="23"/>
      <c r="C108" s="8"/>
      <c r="D108" s="8"/>
      <c r="E108" s="8"/>
      <c r="F108" s="8"/>
      <c r="G108" s="10"/>
      <c r="H108" s="40"/>
      <c r="I108" s="14"/>
      <c r="J108" s="14"/>
      <c r="K108" s="15"/>
      <c r="L108" s="23"/>
      <c r="M108" s="10"/>
      <c r="N108" s="5"/>
    </row>
    <row r="109" spans="1:14" ht="15.5" hidden="1" x14ac:dyDescent="0.35">
      <c r="A109" s="39" t="s">
        <v>77</v>
      </c>
      <c r="B109" s="23"/>
      <c r="C109" s="8"/>
      <c r="D109" s="8"/>
      <c r="E109" s="8"/>
      <c r="F109" s="8"/>
      <c r="G109" s="10"/>
      <c r="H109" s="25"/>
      <c r="I109" s="2"/>
      <c r="J109" s="2"/>
      <c r="K109" s="26"/>
      <c r="L109" s="23"/>
      <c r="M109" s="10"/>
      <c r="N109" s="5"/>
    </row>
    <row r="110" spans="1:14" ht="15.5" hidden="1" x14ac:dyDescent="0.35">
      <c r="A110" s="39" t="s">
        <v>79</v>
      </c>
      <c r="B110" s="23"/>
      <c r="C110" s="8"/>
      <c r="D110" s="8"/>
      <c r="E110" s="8"/>
      <c r="F110" s="8"/>
      <c r="G110" s="10"/>
      <c r="H110" s="25"/>
      <c r="I110" s="2"/>
      <c r="J110" s="2"/>
      <c r="K110" s="26"/>
      <c r="L110" s="23"/>
      <c r="M110" s="10"/>
      <c r="N110" s="5"/>
    </row>
    <row r="111" spans="1:14" ht="15.5" hidden="1" x14ac:dyDescent="0.35">
      <c r="A111" s="39" t="s">
        <v>81</v>
      </c>
      <c r="B111" s="23"/>
      <c r="C111" s="8"/>
      <c r="D111" s="8"/>
      <c r="E111" s="8"/>
      <c r="F111" s="8"/>
      <c r="G111" s="10"/>
      <c r="H111" s="25"/>
      <c r="I111" s="2"/>
      <c r="J111" s="2"/>
      <c r="K111" s="26"/>
      <c r="L111" s="23"/>
      <c r="M111" s="10"/>
      <c r="N111" s="5"/>
    </row>
    <row r="112" spans="1:14" ht="15.5" hidden="1" x14ac:dyDescent="0.35">
      <c r="A112" s="39" t="s">
        <v>83</v>
      </c>
      <c r="B112" s="23"/>
      <c r="C112" s="8"/>
      <c r="D112" s="8"/>
      <c r="E112" s="8"/>
      <c r="F112" s="8"/>
      <c r="G112" s="10"/>
      <c r="H112" s="25"/>
      <c r="I112" s="2"/>
      <c r="J112" s="2"/>
      <c r="K112" s="26"/>
      <c r="L112" s="23"/>
      <c r="M112" s="10"/>
      <c r="N112" s="5"/>
    </row>
    <row r="113" spans="1:14" ht="15.5" hidden="1" x14ac:dyDescent="0.35">
      <c r="A113" s="39" t="s">
        <v>85</v>
      </c>
      <c r="B113" s="23"/>
      <c r="C113" s="8"/>
      <c r="D113" s="8"/>
      <c r="E113" s="8"/>
      <c r="F113" s="8"/>
      <c r="G113" s="10"/>
      <c r="H113" s="25"/>
      <c r="I113" s="2"/>
      <c r="J113" s="2"/>
      <c r="K113" s="26"/>
      <c r="L113" s="23"/>
      <c r="M113" s="10"/>
      <c r="N113" s="5"/>
    </row>
    <row r="114" spans="1:14" ht="15.5" hidden="1" x14ac:dyDescent="0.35">
      <c r="A114" s="39" t="s">
        <v>87</v>
      </c>
      <c r="B114" s="23"/>
      <c r="C114" s="8"/>
      <c r="D114" s="8"/>
      <c r="E114" s="8"/>
      <c r="F114" s="8"/>
      <c r="G114" s="10"/>
      <c r="H114" s="25"/>
      <c r="I114" s="2"/>
      <c r="J114" s="2"/>
      <c r="K114" s="26"/>
      <c r="L114" s="23"/>
      <c r="M114" s="10"/>
      <c r="N114" s="5"/>
    </row>
    <row r="115" spans="1:14" ht="15.5" hidden="1" x14ac:dyDescent="0.35">
      <c r="A115" s="39" t="s">
        <v>89</v>
      </c>
      <c r="B115" s="23"/>
      <c r="C115" s="8"/>
      <c r="D115" s="8"/>
      <c r="E115" s="8"/>
      <c r="F115" s="8"/>
      <c r="G115" s="10"/>
      <c r="H115" s="25"/>
      <c r="I115" s="2"/>
      <c r="J115" s="2"/>
      <c r="K115" s="26"/>
      <c r="L115" s="23"/>
      <c r="M115" s="10"/>
      <c r="N115" s="5"/>
    </row>
    <row r="116" spans="1:14" ht="15.5" hidden="1" x14ac:dyDescent="0.35">
      <c r="A116" s="39" t="s">
        <v>91</v>
      </c>
      <c r="B116" s="23"/>
      <c r="C116" s="8"/>
      <c r="D116" s="8"/>
      <c r="E116" s="8"/>
      <c r="F116" s="8"/>
      <c r="G116" s="10"/>
      <c r="H116" s="25"/>
      <c r="I116" s="2"/>
      <c r="J116" s="2"/>
      <c r="K116" s="26"/>
      <c r="L116" s="23"/>
      <c r="M116" s="10"/>
      <c r="N116" s="5"/>
    </row>
    <row r="117" spans="1:14" ht="15.5" hidden="1" x14ac:dyDescent="0.35">
      <c r="A117" s="39" t="s">
        <v>93</v>
      </c>
      <c r="B117" s="23"/>
      <c r="C117" s="8"/>
      <c r="D117" s="8"/>
      <c r="E117" s="8"/>
      <c r="F117" s="8"/>
      <c r="G117" s="10"/>
      <c r="H117" s="25"/>
      <c r="I117" s="2"/>
      <c r="J117" s="2"/>
      <c r="K117" s="26"/>
      <c r="L117" s="23"/>
      <c r="M117" s="10"/>
      <c r="N117" s="5"/>
    </row>
    <row r="118" spans="1:14" ht="15.5" hidden="1" x14ac:dyDescent="0.35">
      <c r="A118" s="39" t="s">
        <v>95</v>
      </c>
      <c r="B118" s="23"/>
      <c r="C118" s="8"/>
      <c r="D118" s="8"/>
      <c r="E118" s="8"/>
      <c r="F118" s="8"/>
      <c r="G118" s="10"/>
      <c r="H118" s="25"/>
      <c r="I118" s="2"/>
      <c r="J118" s="2"/>
      <c r="K118" s="26"/>
      <c r="L118" s="23"/>
      <c r="M118" s="10"/>
      <c r="N118" s="5"/>
    </row>
    <row r="119" spans="1:14" ht="15.5" hidden="1" x14ac:dyDescent="0.35">
      <c r="A119" s="39" t="s">
        <v>97</v>
      </c>
      <c r="B119" s="23"/>
      <c r="C119" s="8"/>
      <c r="D119" s="8"/>
      <c r="E119" s="8"/>
      <c r="F119" s="8"/>
      <c r="G119" s="10"/>
      <c r="H119" s="25"/>
      <c r="I119" s="2"/>
      <c r="J119" s="2"/>
      <c r="K119" s="26"/>
      <c r="L119" s="23"/>
      <c r="M119" s="10"/>
      <c r="N119" s="5"/>
    </row>
    <row r="120" spans="1:14" ht="15.5" hidden="1" x14ac:dyDescent="0.35">
      <c r="A120" s="39" t="s">
        <v>99</v>
      </c>
      <c r="B120" s="23"/>
      <c r="C120" s="8"/>
      <c r="D120" s="8"/>
      <c r="E120" s="8"/>
      <c r="F120" s="8"/>
      <c r="G120" s="10"/>
      <c r="H120" s="25"/>
      <c r="I120" s="2"/>
      <c r="J120" s="2"/>
      <c r="K120" s="26"/>
      <c r="L120" s="23"/>
      <c r="M120" s="10"/>
      <c r="N120" s="5"/>
    </row>
    <row r="121" spans="1:14" ht="15.5" hidden="1" x14ac:dyDescent="0.35">
      <c r="A121" s="39" t="s">
        <v>101</v>
      </c>
      <c r="B121" s="23"/>
      <c r="C121" s="8"/>
      <c r="D121" s="8"/>
      <c r="E121" s="8"/>
      <c r="F121" s="8"/>
      <c r="G121" s="10"/>
      <c r="H121" s="24"/>
      <c r="I121" s="18"/>
      <c r="J121" s="18"/>
      <c r="K121" s="19"/>
      <c r="L121" s="23"/>
      <c r="M121" s="10"/>
      <c r="N121" s="5"/>
    </row>
    <row r="122" spans="1:14" ht="15.5" x14ac:dyDescent="0.35">
      <c r="A122" s="23" t="s">
        <v>124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125</v>
      </c>
      <c r="B124" s="2"/>
      <c r="C124" s="2"/>
      <c r="D124" s="2"/>
      <c r="E124" s="2"/>
      <c r="F124" s="2"/>
      <c r="G124" s="2"/>
      <c r="H124" s="2"/>
      <c r="I124" s="2"/>
      <c r="J124" s="2"/>
      <c r="K124" s="2"/>
      <c r="L124" s="2"/>
      <c r="M124" s="2"/>
      <c r="N124" s="30"/>
    </row>
    <row r="125" spans="1:14" ht="46.5" x14ac:dyDescent="0.35">
      <c r="A125" s="42" t="s">
        <v>126</v>
      </c>
      <c r="B125" s="43" t="s">
        <v>127</v>
      </c>
      <c r="C125" s="8"/>
      <c r="D125" s="8"/>
      <c r="E125" s="8"/>
      <c r="F125" s="8"/>
      <c r="G125" s="10"/>
      <c r="H125" s="43" t="s">
        <v>128</v>
      </c>
      <c r="I125" s="8"/>
      <c r="J125" s="8"/>
      <c r="K125" s="10"/>
      <c r="L125" s="44" t="s">
        <v>129</v>
      </c>
      <c r="M125" s="10"/>
      <c r="N125" s="5"/>
    </row>
    <row r="126" spans="1:14" ht="15.5" x14ac:dyDescent="0.35">
      <c r="A126" s="45" t="s">
        <v>130</v>
      </c>
      <c r="B126" s="46" t="s">
        <v>131</v>
      </c>
      <c r="C126" s="14"/>
      <c r="D126" s="14"/>
      <c r="E126" s="14"/>
      <c r="F126" s="14"/>
      <c r="G126" s="15"/>
      <c r="H126" s="47" t="s">
        <v>132</v>
      </c>
      <c r="I126" s="14"/>
      <c r="J126" s="14"/>
      <c r="K126" s="48">
        <v>1</v>
      </c>
      <c r="L126" s="49">
        <f>1-SUM(L129:M131)</f>
        <v>0.5</v>
      </c>
      <c r="M126" s="15"/>
      <c r="N126" s="5"/>
    </row>
    <row r="127" spans="1:14" ht="15.5" x14ac:dyDescent="0.35">
      <c r="A127" s="50"/>
      <c r="B127" s="25"/>
      <c r="C127" s="2"/>
      <c r="D127" s="2"/>
      <c r="E127" s="2"/>
      <c r="F127" s="2"/>
      <c r="G127" s="26"/>
      <c r="H127" s="25"/>
      <c r="I127" s="2"/>
      <c r="J127" s="2"/>
      <c r="K127" s="50"/>
      <c r="L127" s="25"/>
      <c r="M127" s="26"/>
      <c r="N127" s="5"/>
    </row>
    <row r="128" spans="1:14" ht="15.5" x14ac:dyDescent="0.35">
      <c r="A128" s="35"/>
      <c r="B128" s="24"/>
      <c r="C128" s="18"/>
      <c r="D128" s="18"/>
      <c r="E128" s="18"/>
      <c r="F128" s="18"/>
      <c r="G128" s="19"/>
      <c r="H128" s="24"/>
      <c r="I128" s="18"/>
      <c r="J128" s="18"/>
      <c r="K128" s="35"/>
      <c r="L128" s="24"/>
      <c r="M128" s="19"/>
      <c r="N128" s="5"/>
    </row>
    <row r="129" spans="1:14" ht="68.25" hidden="1" customHeight="1" x14ac:dyDescent="0.35">
      <c r="A129" s="42" t="s">
        <v>133</v>
      </c>
      <c r="B129" s="51" t="s">
        <v>134</v>
      </c>
      <c r="C129" s="8"/>
      <c r="D129" s="8"/>
      <c r="E129" s="8"/>
      <c r="F129" s="8"/>
      <c r="G129" s="10"/>
      <c r="H129" s="51" t="s">
        <v>135</v>
      </c>
      <c r="I129" s="8"/>
      <c r="J129" s="8"/>
      <c r="K129" s="10"/>
      <c r="L129" s="41"/>
      <c r="M129" s="10"/>
      <c r="N129" s="5"/>
    </row>
    <row r="130" spans="1:14" ht="46.5" x14ac:dyDescent="0.35">
      <c r="A130" s="42" t="s">
        <v>136</v>
      </c>
      <c r="B130" s="51" t="s">
        <v>137</v>
      </c>
      <c r="C130" s="8"/>
      <c r="D130" s="8"/>
      <c r="E130" s="8"/>
      <c r="F130" s="8"/>
      <c r="G130" s="10"/>
      <c r="H130" s="51" t="s">
        <v>138</v>
      </c>
      <c r="I130" s="8"/>
      <c r="J130" s="8"/>
      <c r="K130" s="10"/>
      <c r="L130" s="52">
        <v>0.5</v>
      </c>
      <c r="M130" s="10"/>
      <c r="N130" s="5"/>
    </row>
    <row r="131" spans="1:14" ht="31" hidden="1" x14ac:dyDescent="0.35">
      <c r="A131" s="42" t="s">
        <v>139</v>
      </c>
      <c r="B131" s="53" t="s">
        <v>140</v>
      </c>
      <c r="C131" s="8"/>
      <c r="D131" s="8"/>
      <c r="E131" s="8"/>
      <c r="F131" s="8"/>
      <c r="G131" s="10"/>
      <c r="H131" s="51" t="s">
        <v>141</v>
      </c>
      <c r="I131" s="8"/>
      <c r="J131" s="8"/>
      <c r="K131" s="10"/>
      <c r="L131" s="52"/>
      <c r="M131" s="10"/>
      <c r="N131" s="5"/>
    </row>
    <row r="132" spans="1:14" ht="15.5" x14ac:dyDescent="0.35">
      <c r="A132" s="43" t="s">
        <v>142</v>
      </c>
      <c r="B132" s="8"/>
      <c r="C132" s="8"/>
      <c r="D132" s="8"/>
      <c r="E132" s="8"/>
      <c r="F132" s="8"/>
      <c r="G132" s="8"/>
      <c r="H132" s="8"/>
      <c r="I132" s="8"/>
      <c r="J132" s="8"/>
      <c r="K132" s="8"/>
      <c r="L132" s="8"/>
      <c r="M132" s="10"/>
      <c r="N132" s="5"/>
    </row>
    <row r="133" spans="1:14" ht="15.5" x14ac:dyDescent="0.35">
      <c r="A133" s="54" t="s">
        <v>143</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144</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145</v>
      </c>
      <c r="B137" s="10"/>
      <c r="C137" s="9" t="str">
        <f>E15</f>
        <v>Conf. dr. ing. Andrei Stan</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146</v>
      </c>
      <c r="B139" s="15"/>
      <c r="C139" s="9" t="str">
        <f t="shared" ref="C139:C141" si="0">E17</f>
        <v xml:space="preserve">Asist. drd. ing. Radu-Laurențiu Roșca                                                                </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 drd. ing. Daniel Slătineanu</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147</v>
      </c>
      <c r="B143" s="10"/>
      <c r="C143" s="58">
        <f>[1]Date!C29</f>
        <v>45915</v>
      </c>
      <c r="D143" s="10"/>
      <c r="E143" s="55" t="s">
        <v>148</v>
      </c>
      <c r="F143" s="8"/>
      <c r="G143" s="10"/>
      <c r="H143" s="59" t="str">
        <f>[1]Date!C31</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149</v>
      </c>
      <c r="B145" s="10"/>
      <c r="C145" s="58">
        <f>[1]Date!C30</f>
        <v>45918</v>
      </c>
      <c r="D145" s="10"/>
      <c r="E145" s="55" t="s">
        <v>150</v>
      </c>
      <c r="F145" s="8"/>
      <c r="G145" s="10"/>
      <c r="H145" s="59" t="str">
        <f>[1]Date!C32</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2026-03-01T09:08:38Z</dcterms:created>
  <dcterms:modified xsi:type="dcterms:W3CDTF">2026-03-01T09:08:48Z</dcterms:modified>
</cp:coreProperties>
</file>