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E5E54156-0E54-4DD9-B8F4-1B5E542B3A69}" xr6:coauthVersionLast="47" xr6:coauthVersionMax="47" xr10:uidLastSave="{00000000-0000-0000-0000-000000000000}"/>
  <bookViews>
    <workbookView xWindow="-110" yWindow="-110" windowWidth="25820" windowHeight="15500" xr2:uid="{D2853502-7A77-4EF9-B3E4-B1D7A815DA35}"/>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C23" i="1"/>
  <c r="C9" i="1"/>
  <c r="C8" i="1"/>
  <c r="C7" i="1"/>
  <c r="A2" i="1"/>
  <c r="C34" i="1" a="1"/>
  <c r="C34" i="1" s="1"/>
  <c r="M33" i="1" s="1"/>
  <c r="E13" i="1" l="1" a="1"/>
  <c r="E13" i="1" s="1"/>
  <c r="G26" i="1" a="1"/>
  <c r="G26" i="1" s="1"/>
  <c r="G27" i="1" s="1"/>
  <c r="E14" i="1" a="1"/>
  <c r="E14" i="1" s="1"/>
  <c r="I26" i="1" a="1"/>
  <c r="I26" i="1" s="1"/>
  <c r="I27" i="1" s="1"/>
  <c r="M14" i="1" a="1"/>
  <c r="M14" i="1" s="1"/>
  <c r="K26" i="1" a="1"/>
  <c r="K26" i="1" s="1"/>
  <c r="K27" i="1" s="1"/>
  <c r="E23" i="1" a="1"/>
  <c r="E23" i="1" s="1"/>
  <c r="I23" i="1" a="1"/>
  <c r="I23" i="1" s="1"/>
  <c r="M23" i="1" a="1"/>
  <c r="M23" i="1" s="1"/>
  <c r="M32" i="1" a="1"/>
  <c r="M32" i="1" s="1"/>
  <c r="E26" i="1" a="1"/>
  <c r="E2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F344A0E1-6119-4EDA-B4D8-52E40904B003}">
      <text>
        <r>
          <rPr>
            <sz val="10"/>
            <color rgb="FF000000"/>
            <rFont val="Aptos Narrow"/>
            <scheme val="minor"/>
          </rPr>
          <t>Pondere din nota de la E / V</t>
        </r>
      </text>
    </comment>
    <comment ref="K127" authorId="0" shapeId="0" xr:uid="{DDCF2964-32F4-42CF-8422-73E9A23CBFC9}">
      <text>
        <r>
          <rPr>
            <sz val="10"/>
            <color rgb="FF000000"/>
            <rFont val="Aptos Narrow"/>
            <scheme val="minor"/>
          </rPr>
          <t>Pondere din nota de la E / V</t>
        </r>
      </text>
    </comment>
    <comment ref="K128" authorId="0" shapeId="0" xr:uid="{2A4A171B-5A3B-47FE-BCEB-16302E418AED}">
      <text>
        <r>
          <rPr>
            <sz val="10"/>
            <color rgb="FF000000"/>
            <rFont val="Aptos Narrow"/>
            <scheme val="minor"/>
          </rPr>
          <t>Pondere din nota de la E / V</t>
        </r>
      </text>
    </comment>
  </commentList>
</comments>
</file>

<file path=xl/sharedStrings.xml><?xml version="1.0" encoding="utf-8"?>
<sst xmlns="http://schemas.openxmlformats.org/spreadsheetml/2006/main" count="233" uniqueCount="154">
  <si>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</si>
  <si>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</si>
  <si>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</si>
  <si>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</si>
  <si>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</si>
  <si>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</si>
  <si>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</si>
  <si>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</si>
  <si>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</si>
  <si>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</si>
  <si>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</si>
  <si>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</si>
  <si>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</si>
  <si>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Procesoare numerice de semnal</t>
  </si>
  <si>
    <t>(în limba engleză, conform Suplimentului la diplomă)</t>
  </si>
  <si>
    <t>2.1.2. Codul disciplinei</t>
  </si>
  <si>
    <t xml:space="preserve">2.1.3. Categoria formativă </t>
  </si>
  <si>
    <t>2.2 Titularul / titularii activităţilor de curs</t>
  </si>
  <si>
    <t>Ș. l. dr. ing Florin-Cătălin Brăescu</t>
  </si>
  <si>
    <t>2.3 Titularul / titularii activităţilor de aplicaţii (S, L, P, Pr)</t>
  </si>
  <si>
    <t>Ing. Sebastian Tonu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</si>
  <si>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</si>
  <si>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</si>
  <si>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</si>
  <si>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</si>
  <si>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</si>
  <si>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</si>
  <si>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</si>
  <si>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</si>
  <si>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</si>
  <si>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</si>
  <si>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</si>
  <si>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</si>
  <si>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</si>
  <si>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</si>
  <si>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</si>
  <si>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</si>
  <si>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</si>
  <si>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</si>
  <si>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</si>
  <si>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</si>
  <si>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</si>
  <si>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</si>
  <si>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</si>
  <si>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</si>
  <si>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</si>
  <si>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</si>
  <si>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</si>
  <si>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</si>
  <si>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</si>
  <si>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</si>
  <si>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</si>
  <si>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PC I, SDA, AM, SMP, ED</t>
  </si>
  <si>
    <t>5. Condiţii</t>
  </si>
  <si>
    <t>5.1 de desfăşurare a cursului</t>
  </si>
  <si>
    <t>Tabla, videoproiector, calculator cu acces la Internet</t>
  </si>
  <si>
    <t>5.2 de desfăşurare a seminarului / laboratorului / proiectului</t>
  </si>
  <si>
    <t>Rețea de calculatoare cu acces la Internet și platforma de e-learning (Moodle) 
Tablă, videoproiector, kituri de laborator, software de dezvoltare programe pentru microcontrollere
Cont academic activ</t>
  </si>
  <si>
    <t>6. Obiectivul general al disciplinei</t>
  </si>
  <si>
    <t>Să cunoască în detaliu și să utilizeze conceptele, componentele și modul de dezvoltare a unei aplicații cu microcontrolere, precum și metodele și tehnicile de dezvoltare a aplicațiilor de automatică și informatică aplicată care folosesc sisteme cu microcontrolere.</t>
  </si>
  <si>
    <t>7. Rezultatele învățării</t>
  </si>
  <si>
    <t>Cunoștințe</t>
  </si>
  <si>
    <t>Studentul / Absolventul:</t>
  </si>
  <si>
    <t xml:space="preserve">- Studentul identifică perifericul potrivit pentru a implementa o anumită cerință
- Studentul explică cum trebuie programat un anumit periferic al microcontrolerului pentru a rezolva o anumită cerință
- Studentul descrie cum se pot folosi funcționalitățile de depanare a aplicațiilor oferite de către programul MPLAB
- Studentul explică cum se tratează apariția unui eveniment cu ajutorul întreruperilor
- Studentul descrie modul în care se alege sursa de ceas și cum se programează modulul PLL în funcție de cerințele aplicației
- Studentul compară utilitatea canalelor de timp pe 16 biți și a celor concatenate, pe 32 de biți, într-o situație dată
- Studentul compară diferite moduri de a genera un semnal PWM folosind perifericele unui microcontroler
</t>
  </si>
  <si>
    <t>Aptitudini</t>
  </si>
  <si>
    <t>- Studentul testează și experimentează secvențe de programe în C care exemplifică modul de lucru al unui periferic al microcontrolerului folosind mediul de dezvoltare și programatorul PICkit 3.
- Studentul adaptează programele exemplu în C pentru a obține anumite funcționalități specifice.
- Studentul rezolvă în C cerințele temei de laborator.
- Studentul utilizează surse de alimentare și de semnal, instrumente de măsură și depanare pentru conectarea și testarea îndeplinirii cerințelor funcționale ale unei aplicații 
- Studentul analizează un set de cerințe funcționale și de performanță și realizează aplicații în C pentru microcontrolerul dsPIC, folosind perifericele interne ale microcontrolerului și resursele hardware ale plăcii de dezvoltare</t>
  </si>
  <si>
    <t>Responsabilitate și autonomie</t>
  </si>
  <si>
    <t>- Studentul colaborează cu colegul de echipă în rezolvarea temei de laborator
- Studentul explică rolul său în echipa și contribuția sa la tema de laborator
- Studentul justifică alegerile facute în rezolvările alese
- Studentul demonstrează spirit de inițiativă în identificarea și integrarea celor mai recente tehnologii și metodologii în domeniul microcontrolerelor, actualizând continuu cunoștințele profesionale, economice și culturale relevante.
- Studentul adoptă o conduită responsabilă și etică în programarea și utilizarea sistemelor cu microcontrolere respectând legislația și normele profesionale pentru a menține integritatea și reputația domeniului.</t>
  </si>
  <si>
    <t xml:space="preserve">8. Metode de predare </t>
  </si>
  <si>
    <t>Prezentarea cunoştinţelor aferente cursului – prezentare la tablă, slide-uri prezentate cu videoproiectorul, discuții cu studenții
Folosirea unor tehnici de predare interactivă; ilustrarea conceptelor pe numeroase probleme/ exerciții/ aplicații
Realizarea de conexiuni cu cunoştinţele însuşite la alte discipline înrudite de la ciclul de licenţă</t>
  </si>
  <si>
    <t>9. Conţinuturi</t>
  </si>
  <si>
    <t>9.1. Curs</t>
  </si>
  <si>
    <t>Metode de predare</t>
  </si>
  <si>
    <t>Timp alocat</t>
  </si>
  <si>
    <t>1</t>
  </si>
  <si>
    <t>Introducere în programarea aplicațiilor cu microcontrolere (obiectivul general al disciplinei, conținutului disciplinei, rezultatele învățării, legături cu alte discipline, modul de evaluare, scurtă prezentare a microcontrolerelor și a sistemelor încorporate, cu referire directă la familia de microcontrolere pe 16 biți dsPIC de la Microchip)</t>
  </si>
  <si>
    <t>Cursul se desfășoară integral față-în-față. 
a. Prezentarea cunoştinţelor aferente cursului – la tablă și slide-uri prezentate cu videoproiectorul, discuții cu studenții
b. Realizarea de conexiuni cu cunoştinţele însuşite la alte discipline înrudite de la ciclul de licenţă şi verificarea modului în care noile elemente introduse au fost receptate.</t>
  </si>
  <si>
    <t>2 ore</t>
  </si>
  <si>
    <t>2</t>
  </si>
  <si>
    <t>Prezentarea etapelor de dezvoltare a unei aplicații cu microcontroler și a instrumentelor software și hardware folosite în programarea aplicațiilor cu microcontrolere (mediul de dezvoltare MPLAB, compilatorul C30, programatorul PICkit3 si placa de dezvoltare) dar si a modului de depanare a aplicațiilor cu microcontrolere dsPIC</t>
  </si>
  <si>
    <t>3</t>
  </si>
  <si>
    <t>Prezentarea funcționalităților de tip pin de uz general (prezentarea modului de lucru cu intrări și ieșiri digitale)</t>
  </si>
  <si>
    <t>4</t>
  </si>
  <si>
    <t>Prezentarea mecanismului de tratare a întreruperilor la microcontrolerele dsPIC cu exemplificare privind lucrul cu funcționalitatea de întrerupere externă INT0, în particular la modelul dsPIC33FJ128MC802</t>
  </si>
  <si>
    <t>5</t>
  </si>
  <si>
    <t>Prezentarea modului de lucru cu canale de timp/timere la microcontrolerele dsPIC (tipuri de canale de timp, lucrul cu canale de timp pe 16 biți și cu canale de timp concatenate)</t>
  </si>
  <si>
    <t>6</t>
  </si>
  <si>
    <t>Surse de ceas într-un sistem încorporat și programarea modulului PLL, în particular la modelul dsPIC33FJ128MC802 (surse de ceas interne, surse de ceas externe, tipuri de oscilatoare interne, etajele modului PLL și regiștrii de control ai acestuia)</t>
  </si>
  <si>
    <t>7</t>
  </si>
  <si>
    <t>Biți de configurare (rolul biților de configurare, tipuri de biți de configurare, studii de caz privind utilizarea diverșilor biți de configurare și modalități de setare a biților de configurare)</t>
  </si>
  <si>
    <t>8</t>
  </si>
  <si>
    <t>Studiu de caz: proiectarea si implementarea unei aplicații in C cu cerințe de temporizări periodice diferite. Explică modul de scriere și de organizare a codului sursă în C pentru microcontrolerele din familia dsPIC33, modul de alegere a semnalului de ceas, configurarea canalelor de timp, programarea modulului PLL și configurarea biților de configurare</t>
  </si>
  <si>
    <t>9</t>
  </si>
  <si>
    <t>Programarea modulului de captură pentru măsurarea temporizărilor sau a lățimii pulsului unui semnal (modul de lucru al modulului de captură, tipuri de evenimente ce pot fi detectate, selectarea numărătorului folosit, prezentarea regiștrilor de control)</t>
  </si>
  <si>
    <t>10</t>
  </si>
  <si>
    <t>Generarea semnalelor PWM la microcontrolerele din familia dsPIC (prezentarea celor module generatoare de semnale PWM, arhitectura lor, modul de lucru al acestora, selectarea pinilor folosiți pentru semnale PWM, generarea de semnale PWM independente sau complementare)</t>
  </si>
  <si>
    <t>11</t>
  </si>
  <si>
    <t>Achiziția de semnale analogice la microcontrolerele din familia dsPIC (arhitectura modulului convertor A/D, particularități față de convertoare A/D uzuale, conversii simultane și respectiv conversii secvențiale, regiștrii de control)</t>
  </si>
  <si>
    <t>12</t>
  </si>
  <si>
    <t>Prezentarea funcționalității de pin reconfigurabil (rol, modul de alocare al funționalităților de tip intrare, modul de alocare al funționalităților de tip ieșire, regiștrii de control)</t>
  </si>
  <si>
    <t>13</t>
  </si>
  <si>
    <t>Modulul comparator al ieșirii și modulul de ceas de timp real (arhitectură modul comparator al ieșirii, moduri de lucru, generare semnal PWM cu modulul comparator al ieșirii, arhitectură ceas de timp real, programarea și regiștrii de control ai acestuia)</t>
  </si>
  <si>
    <t>14</t>
  </si>
  <si>
    <t>Interfețe de comunicație la microcontrolerele din familia dsPIC(trecere în revistă a modulelor UART, I2C, SPI și CAN cu avantaje, dezavantaje și cazuri de utilizare)</t>
  </si>
  <si>
    <t xml:space="preserve">Bibliografie curs:
1. F.C. Braescu, Note de curs Procesoare numerice de semnal, platforma Moodle
2. Z. Milivojević, D. Šaponjić, Programming dsPIC (Digital Signal Controllers) in C
3. C. Huddleston (2007), Intelligent Sensor Design Using the Microchip dsPIC, Ed. Elsevier
</t>
  </si>
  <si>
    <t>9.2a Seminar</t>
  </si>
  <si>
    <t>Metode de lucru</t>
  </si>
  <si>
    <t>9.2b Laborator</t>
  </si>
  <si>
    <t>Structura și funcționarea plăcii de dezvoltare cu dsPIC (elemente de securitate și sănătate în muncă, componentele principale ale plăcii de dezvoltare, funcționalitatea modulelor, prezentarea conectorilor, sursa de alimentare, conectarea și oprirea alimentării, a modulului de programare și depanare PICkit3, funcționarea unui program exemplu)</t>
  </si>
  <si>
    <t>Laboratorul se desfășoară integral față-în-față. 
a. Prezentarea cunoştinţelor aferente lucrărilor de laborator - materiale în format PDF
b. Demonstraţii practice, experimente
c. Discuţii asupra materialelor puse la dispoziţie pentru fiecare lucrare de laborator şi indicaţii de realizare a lucrărilor.
d. Lucru individual și pe echipe la rezolvarea sarcinilor din referatele de laborator.</t>
  </si>
  <si>
    <t>Utilizarea mediului integrat de dezvoltare MPLAB8.43 sau MPLAB X cu placa de dezvoltare cu dsPIC pentru programarea aplicațiilor în C (descrierea programului MPLAB, a compilatorului C30, crearea și deschiderea unui proiect în C pentru microcontrolerul dsPIC33FJ128MC802, selectare și configurare simulator sau programator/depanator PICkit3, generarea, încărcarea și rularea codului executabil, lucrul cu PICkit 3 în mod programator sau depanator, depanarea aplicațiilor în C folosind funcționalități de tip rulare pas cu pas, breakpoint și ferestrele Locals și Watch).</t>
  </si>
  <si>
    <t>Utilizarea pinilor digitali de uz general (regiștri de control, identificare pini pe placa de dezvoltare, utilizarea LED-urilor și butonului de pe placa de dezvoltare precum și a unui senzor de proximitate extern într-o aplicație C simplă)</t>
  </si>
  <si>
    <t>Utilizarea întreruperilor la microcontrolerele dsPIC cu exemplificare privind lucrul cu funcționalitatea de întrerupere externă INT0, în particular la modelul dsPIC33FJ128MC802 (identificare regiștri și biți de control, scriere rutină de tratare a unei întreruperi, generarea de întreruperi cu ajutorul butonului de pe placa de dezvoltare sau a senzorului de proximitate)</t>
  </si>
  <si>
    <t>Utilizarea canalelor de timp/timerelor de la microcontrolerele dsPIC (identificare regiștri și biți de control, scriere aplicație de generat întreruperi periodice folosind canale de timp pe 16 biți sau canale de timp concatenate)</t>
  </si>
  <si>
    <t>Utilizarea și programarea modulului PLL de la microcontrolerul dsPIC33FJ128MC802 (determinare valori factori de multiplicare și divizare, identificare regiștri de control și programare modul PLL pentru a genera semnal de ceas cu o anumită frecvență dorită)</t>
  </si>
  <si>
    <t>Utilizarea biților de configurare într-o aplicație în C (determinarea și setarea biților de configurare într-o aplicație exemplu ce permite schimbarea frecvenței semnalului de ceas și utilizarea modulului PLL)</t>
  </si>
  <si>
    <t>Utilizarea pinilor digitali, a canalelor de timp, a modulului PLL pentru a genera semnale periodice cu perioadă variabilă (integrează și testează într-o aplicație în C lucrul cu canale de timp, modul PLL, butonul de pe placa de dezvoltare și senzorul de proximitate)</t>
  </si>
  <si>
    <t>Utilizarea modulului de captură pentru măsurarea temporizărilor sau a lățimii pulsului unui semnal (identificare și setare regiștri de control, setare mod de lucru pentru modulul de captură a intrării într-o aplicație ce utilizeaza un senzor de distanța cu ultrasunete pentru determinarea distanței până la un obiect)</t>
  </si>
  <si>
    <t>Utilizarea modulelor generatoare de semnale PWM în comanda servomotoarelor (programare modul PWM pentru a genera un semnal PWM cu anumite caracteristici specifice)</t>
  </si>
  <si>
    <t>Utilizarea convertorului A/D pentru achiziția de semnale analogice (testarea și modificarea unor programe exemplu ce utilizeaza convertorul A/D pentru achiziția de tensiuni analogice obținute cu ajutorul unui potențiometru, al unui senzor de distanță cu ieșire analogică sau de la sursa de tensiune de laborator)</t>
  </si>
  <si>
    <t>Utilizarea funcționalității de pin reconfigurabil (testare și modificare programe exemplu pentru a obține o aplicație ce folosește funcționalitatea de întrerupere externă pe un pin reconfigurabil, întreruperea fiind generată cu ajutorul unui senzor de proximitate)</t>
  </si>
  <si>
    <t>Prezentare și evaluare temă de laborator (aplicație în C pentru microcontrolerul dsPIC33FJ128MC802 ce utilizează pini digitali, canale de timp, întreruperi, generare de semnale PWM și convertorul A/D)</t>
  </si>
  <si>
    <t>Recuperări</t>
  </si>
  <si>
    <t>9.2c Proiect</t>
  </si>
  <si>
    <t xml:space="preserve">Bibliografie aplicaţii (seminar / laborator / proiect):
1. F.C. Braescu, Lucrări de laborator Procesoare numerice de semnal, platforma Moodle
2. Z. Milivojević, D. Šaponjić, Programming dsPIC (Digital Signal Controllers) in C
</t>
  </si>
  <si>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</si>
  <si>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</si>
  <si>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</si>
  <si>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</si>
  <si>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</si>
  <si>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</si>
  <si>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</si>
  <si>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</si>
  <si>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</si>
  <si>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 test de evaluare sumativ (verificare finală).</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</si>
  <si>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</si>
  <si>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</si>
  <si>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</si>
  <si>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</si>
  <si>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</si>
  <si>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</si>
  <si>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- 25%;
 - temă de laborator - 75%.</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</si>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</sst>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horizontal="center"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3" borderId="12" xfId="0" applyNumberFormat="1" applyFont="1" applyFill="1" applyBorder="1" applyAlignment="1">
      <alignment vertical="top"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22">
          <cell r="A22">
            <v>1</v>
          </cell>
          <cell r="C22" t="str">
            <v>Programare independentă de platformă</v>
          </cell>
          <cell r="D22" t="str">
            <v>Platform Independent Programming</v>
          </cell>
          <cell r="E22" t="str">
            <v>IA315</v>
          </cell>
          <cell r="F22" t="str">
            <v>DO</v>
          </cell>
          <cell r="G22" t="str">
            <v>DS</v>
          </cell>
          <cell r="H22">
            <v>2</v>
          </cell>
          <cell r="I22">
            <v>0</v>
          </cell>
          <cell r="J22">
            <v>2</v>
          </cell>
          <cell r="K22">
            <v>0</v>
          </cell>
          <cell r="L22">
            <v>69</v>
          </cell>
          <cell r="M22" t="str">
            <v>E</v>
          </cell>
          <cell r="N22">
            <v>5</v>
          </cell>
        </row>
        <row r="23">
          <cell r="A23">
            <v>2</v>
          </cell>
          <cell r="C23" t="str">
            <v>Sisteme de vedere artificială</v>
          </cell>
          <cell r="D23" t="str">
            <v>Computer Vision</v>
          </cell>
          <cell r="E23" t="str">
            <v>A316</v>
          </cell>
          <cell r="F23" t="str">
            <v>DO</v>
          </cell>
          <cell r="G23" t="str">
            <v>DS</v>
          </cell>
          <cell r="H23">
            <v>2</v>
          </cell>
          <cell r="I23">
            <v>0</v>
          </cell>
          <cell r="J23">
            <v>2</v>
          </cell>
          <cell r="K23">
            <v>0</v>
          </cell>
          <cell r="L23">
            <v>19</v>
          </cell>
          <cell r="M23" t="str">
            <v>E</v>
          </cell>
          <cell r="N23">
            <v>3</v>
          </cell>
        </row>
        <row r="24">
          <cell r="A24">
            <v>2</v>
          </cell>
          <cell r="C24" t="str">
            <v>Sisteme de achizitie și interfețe de proces</v>
          </cell>
          <cell r="D24" t="str">
            <v>Aquisition Systems and Process Interfaces</v>
          </cell>
          <cell r="E24" t="str">
            <v>A317</v>
          </cell>
          <cell r="F24" t="str">
            <v>DO</v>
          </cell>
          <cell r="G24" t="str">
            <v>DS</v>
          </cell>
          <cell r="H24">
            <v>2</v>
          </cell>
          <cell r="I24">
            <v>0</v>
          </cell>
          <cell r="J24">
            <v>2</v>
          </cell>
          <cell r="K24">
            <v>0</v>
          </cell>
          <cell r="L24">
            <v>19</v>
          </cell>
          <cell r="M24" t="str">
            <v>E</v>
          </cell>
          <cell r="N24">
            <v>3</v>
          </cell>
        </row>
        <row r="25">
          <cell r="A25">
            <v>2</v>
          </cell>
          <cell r="C25" t="str">
            <v>Procesoare numerice de semnal</v>
          </cell>
          <cell r="D25" t="str">
            <v>Digital Signal Processors</v>
          </cell>
          <cell r="E25" t="str">
            <v>IA318</v>
          </cell>
          <cell r="F25" t="str">
            <v>DO</v>
          </cell>
          <cell r="G25" t="str">
            <v>DS</v>
          </cell>
          <cell r="H25">
            <v>2</v>
          </cell>
          <cell r="I25">
            <v>0</v>
          </cell>
          <cell r="J25">
            <v>2</v>
          </cell>
          <cell r="K25">
            <v>0</v>
          </cell>
          <cell r="L25">
            <v>19</v>
          </cell>
          <cell r="M25" t="str">
            <v>E</v>
          </cell>
          <cell r="N25">
            <v>3</v>
          </cell>
        </row>
        <row r="26">
          <cell r="A26">
            <v>2</v>
          </cell>
          <cell r="C26" t="str">
            <v>Microcontrolere - arhitecturi și programare</v>
          </cell>
          <cell r="D26" t="str">
            <v>Microcontrollers - architectures and programming</v>
          </cell>
          <cell r="E26" t="str">
            <v>IA319</v>
          </cell>
          <cell r="F26" t="str">
            <v>DO</v>
          </cell>
          <cell r="G26" t="str">
            <v>DS</v>
          </cell>
          <cell r="H26">
            <v>2</v>
          </cell>
          <cell r="I26">
            <v>0</v>
          </cell>
          <cell r="J26">
            <v>2</v>
          </cell>
          <cell r="K26">
            <v>0</v>
          </cell>
          <cell r="L26">
            <v>19</v>
          </cell>
          <cell r="M26" t="str">
            <v>E</v>
          </cell>
          <cell r="N26">
            <v>3</v>
          </cell>
        </row>
        <row r="27">
          <cell r="A27">
            <v>2</v>
          </cell>
          <cell r="C27" t="str">
            <v>Sisteme automate cu eșantionare - proiect</v>
          </cell>
          <cell r="D27" t="str">
            <v>Sampled Data Control Systems – project work</v>
          </cell>
          <cell r="E27" t="str">
            <v>AIA320</v>
          </cell>
          <cell r="F27" t="str">
            <v>DO</v>
          </cell>
          <cell r="G27" t="str">
            <v>DD</v>
          </cell>
          <cell r="H27">
            <v>0</v>
          </cell>
          <cell r="I27">
            <v>0</v>
          </cell>
          <cell r="J27">
            <v>0</v>
          </cell>
          <cell r="K27">
            <v>2</v>
          </cell>
          <cell r="L27">
            <v>22</v>
          </cell>
          <cell r="M27" t="str">
            <v>C</v>
          </cell>
          <cell r="N27">
            <v>2</v>
          </cell>
        </row>
        <row r="28">
          <cell r="A28">
            <v>2</v>
          </cell>
          <cell r="C28" t="str">
            <v>Sisteme de achiziție și interfețe de proces - proiect</v>
          </cell>
          <cell r="D28" t="str">
            <v>Aquisition Systems and Process Interfaces – project work</v>
          </cell>
          <cell r="E28" t="str">
            <v>A321</v>
          </cell>
          <cell r="F28" t="str">
            <v>DO</v>
          </cell>
          <cell r="G28" t="str">
            <v>DS</v>
          </cell>
          <cell r="H28">
            <v>0</v>
          </cell>
          <cell r="I28">
            <v>0</v>
          </cell>
          <cell r="J28">
            <v>0</v>
          </cell>
          <cell r="K28">
            <v>2</v>
          </cell>
          <cell r="L28">
            <v>22</v>
          </cell>
          <cell r="M28" t="str">
            <v>C</v>
          </cell>
          <cell r="N28">
            <v>2</v>
          </cell>
        </row>
        <row r="29">
          <cell r="A29">
            <v>2</v>
          </cell>
          <cell r="C29" t="str">
            <v>Programare independentă de platformă - proiect</v>
          </cell>
          <cell r="D29" t="str">
            <v>Platform Independent Programming – project work</v>
          </cell>
          <cell r="E29" t="str">
            <v>IA322</v>
          </cell>
          <cell r="F29" t="str">
            <v>DO</v>
          </cell>
          <cell r="G29" t="str">
            <v>DS</v>
          </cell>
          <cell r="H29">
            <v>0</v>
          </cell>
          <cell r="I29">
            <v>0</v>
          </cell>
          <cell r="J29">
            <v>0</v>
          </cell>
          <cell r="K29">
            <v>2</v>
          </cell>
          <cell r="L29">
            <v>22</v>
          </cell>
          <cell r="M29" t="str">
            <v>C</v>
          </cell>
          <cell r="N29">
            <v>2</v>
          </cell>
        </row>
        <row r="30">
          <cell r="A30">
            <v>2</v>
          </cell>
          <cell r="C30" t="str">
            <v>Educație antreprenorială</v>
          </cell>
          <cell r="D30" t="str">
            <v>Antrepreneurship Education</v>
          </cell>
          <cell r="E30" t="str">
            <v>AIA323</v>
          </cell>
          <cell r="F30" t="str">
            <v>DL</v>
          </cell>
          <cell r="G30" t="str">
            <v>DS</v>
          </cell>
          <cell r="H30">
            <v>2</v>
          </cell>
          <cell r="I30">
            <v>0</v>
          </cell>
          <cell r="J30">
            <v>1</v>
          </cell>
          <cell r="K30">
            <v>0</v>
          </cell>
          <cell r="L30">
            <v>83</v>
          </cell>
          <cell r="M30" t="str">
            <v>C</v>
          </cell>
          <cell r="N30">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025D-0474-4DFE-A946-A3CDF9E68C4B}">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INDEX([1]Date!D8:D30, MATCH(E12,[1]Date!C8:C30,0),0)</f>
        <v>Digital Signal Processors</v>
      </c>
      <c r="F13" s="18"/>
      <c r="G13" s="18"/>
      <c r="H13" s="18"/>
      <c r="I13" s="18"/>
      <c r="J13" s="18"/>
      <c r="K13" s="18"/>
      <c r="L13" s="18"/>
      <c r="M13" s="19"/>
      <c r="N13" s="5"/>
    </row>
    <row r="14" spans="1:14" ht="15.5" x14ac:dyDescent="0.35">
      <c r="A14" s="7" t="s">
        <v>15</v>
      </c>
      <c r="B14" s="8"/>
      <c r="C14" s="8"/>
      <c r="D14" s="10"/>
      <c r="E14" s="21" t="str">
        <f t="array" aca="1" ref="E14" ca="1">INDEX([1]Date!E8:E30, MATCH(E12,[1]Date!C8:C30,0),0)</f>
        <v>IA318</v>
      </c>
      <c r="F14" s="18"/>
      <c r="G14" s="18"/>
      <c r="H14" s="18"/>
      <c r="I14" s="7" t="s">
        <v>16</v>
      </c>
      <c r="J14" s="8"/>
      <c r="K14" s="8"/>
      <c r="L14" s="10"/>
      <c r="M14" s="22" t="str">
        <f t="array" aca="1" ref="M14" ca="1">INDEX([1]Date!G8:G30, MATCH(E12,[1]Date!C8:C30,0),0)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18</v>
      </c>
      <c r="F17" s="8"/>
      <c r="G17" s="8"/>
      <c r="H17" s="8"/>
      <c r="I17" s="8"/>
      <c r="J17" s="8"/>
      <c r="K17" s="8"/>
      <c r="L17" s="8"/>
      <c r="M17" s="10"/>
      <c r="N17" s="5"/>
    </row>
    <row r="18" spans="1:14" ht="15.5" x14ac:dyDescent="0.35">
      <c r="A18" s="25"/>
      <c r="B18" s="2"/>
      <c r="C18" s="2"/>
      <c r="D18" s="26"/>
      <c r="E18" s="23" t="s">
        <v>20</v>
      </c>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3</v>
      </c>
      <c r="D23" s="28" t="s">
        <v>22</v>
      </c>
      <c r="E23" s="27">
        <f t="array" aca="1" ref="E23" ca="1">INDEX([1]Date!A8:A30, MATCH(E12,[1]Date!C8:C30,0),0)</f>
        <v>2</v>
      </c>
      <c r="F23" s="29" t="s">
        <v>23</v>
      </c>
      <c r="G23" s="8"/>
      <c r="H23" s="10"/>
      <c r="I23" s="22" t="str">
        <f t="array" aca="1" ref="I23" ca="1">INDEX([1]Date!M8:M30, MATCH(E12,[1]Date!C8:C30,0),0)</f>
        <v>E</v>
      </c>
      <c r="J23" s="29" t="s">
        <v>24</v>
      </c>
      <c r="K23" s="8"/>
      <c r="L23" s="10"/>
      <c r="M23" s="27" t="str">
        <f t="array" aca="1" ref="M23" ca="1">INDEX([1]Date!F8:F30, MATCH(E12,[1]Date!C8:C30,0),0)</f>
        <v>DO</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31">
        <f ca="1">SUM(E26+G26+I26+K26)</f>
        <v>4</v>
      </c>
      <c r="D26" s="28" t="s">
        <v>27</v>
      </c>
      <c r="E26" s="27">
        <f t="array" aca="1" ref="E26" ca="1">INDEX([1]Date!H8:H30, MATCH(E12,[1]Date!C8:C30,0),0)</f>
        <v>2</v>
      </c>
      <c r="F26" s="28" t="s">
        <v>28</v>
      </c>
      <c r="G26" s="27">
        <f t="array" aca="1" ref="G26" ca="1">INDEX([1]Date!I8:I30, MATCH(E12,[1]Date!C8:C30,0),0)</f>
        <v>0</v>
      </c>
      <c r="H26" s="28" t="s">
        <v>29</v>
      </c>
      <c r="I26" s="31">
        <f t="array" aca="1" ref="I26" ca="1">INDEX([1]Date!J8:J30, MATCH(E12,[1]Date!C8:C30,0),0)</f>
        <v>2</v>
      </c>
      <c r="J26" s="28" t="s">
        <v>30</v>
      </c>
      <c r="K26" s="27">
        <f t="array" aca="1" ref="K26" ca="1">INDEX([1]Date!K8:K30, MATCH(E12,[1]Date!C8:C30,0),0)</f>
        <v>0</v>
      </c>
      <c r="L26" s="7" t="s">
        <v>31</v>
      </c>
      <c r="M26" s="10"/>
      <c r="N26" s="30"/>
    </row>
    <row r="27" spans="1:14" ht="31" x14ac:dyDescent="0.35">
      <c r="A27" s="7" t="s">
        <v>32</v>
      </c>
      <c r="B27" s="10"/>
      <c r="C27" s="27">
        <f ca="1">C26*14</f>
        <v>56</v>
      </c>
      <c r="D27" s="28" t="s">
        <v>33</v>
      </c>
      <c r="E27" s="27">
        <f ca="1">E26*14</f>
        <v>28</v>
      </c>
      <c r="F27" s="28" t="s">
        <v>34</v>
      </c>
      <c r="G27" s="27">
        <f ca="1">G26*14</f>
        <v>0</v>
      </c>
      <c r="H27" s="28" t="s">
        <v>35</v>
      </c>
      <c r="I27" s="27">
        <f ca="1">I26*14</f>
        <v>28</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2">
        <v>7</v>
      </c>
      <c r="N29" s="5"/>
    </row>
    <row r="30" spans="1:14" ht="15.5" x14ac:dyDescent="0.35">
      <c r="A30" s="7" t="s">
        <v>41</v>
      </c>
      <c r="B30" s="8"/>
      <c r="C30" s="8"/>
      <c r="D30" s="8"/>
      <c r="E30" s="8"/>
      <c r="F30" s="8"/>
      <c r="G30" s="8"/>
      <c r="H30" s="8"/>
      <c r="I30" s="8"/>
      <c r="J30" s="8"/>
      <c r="K30" s="8"/>
      <c r="L30" s="10"/>
      <c r="M30" s="32">
        <v>7</v>
      </c>
      <c r="N30" s="5"/>
    </row>
    <row r="31" spans="1:14" ht="15.5" x14ac:dyDescent="0.35">
      <c r="A31" s="7" t="s">
        <v>42</v>
      </c>
      <c r="B31" s="8"/>
      <c r="C31" s="8"/>
      <c r="D31" s="8"/>
      <c r="E31" s="8"/>
      <c r="F31" s="8"/>
      <c r="G31" s="8"/>
      <c r="H31" s="8"/>
      <c r="I31" s="8"/>
      <c r="J31" s="8"/>
      <c r="K31" s="8"/>
      <c r="L31" s="10"/>
      <c r="M31" s="32">
        <v>5</v>
      </c>
      <c r="N31" s="5"/>
    </row>
    <row r="32" spans="1:14" ht="15.5" x14ac:dyDescent="0.35">
      <c r="A32" s="7" t="s">
        <v>43</v>
      </c>
      <c r="B32" s="8"/>
      <c r="C32" s="8"/>
      <c r="D32" s="8"/>
      <c r="E32" s="8"/>
      <c r="F32" s="8"/>
      <c r="G32" s="8"/>
      <c r="H32" s="8"/>
      <c r="I32" s="8"/>
      <c r="J32" s="8"/>
      <c r="K32" s="8"/>
      <c r="L32" s="10"/>
      <c r="M32" s="27">
        <f t="array" aca="1" ref="M32" ca="1">IF(INDEX([1]Date!M8:M30, MATCH(E12,[1]Date!C8:C30,0),0)="E",3,0)</f>
        <v>3</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INDEX([1]Date!L8:L30, MATCH(E12,[1]Date!C8:C30,0),0)</f>
        <v>19</v>
      </c>
      <c r="D34" s="5"/>
      <c r="E34" s="5"/>
      <c r="F34" s="5"/>
      <c r="G34" s="5"/>
      <c r="H34" s="5"/>
      <c r="I34" s="5"/>
      <c r="J34" s="5"/>
      <c r="K34" s="5"/>
      <c r="L34" s="5"/>
      <c r="M34" s="5"/>
      <c r="N34" s="5"/>
    </row>
    <row r="35" spans="1:14" ht="15.5" x14ac:dyDescent="0.35">
      <c r="A35" s="7" t="s">
        <v>46</v>
      </c>
      <c r="B35" s="10"/>
      <c r="C35" s="27">
        <f ca="1">C27+C34</f>
        <v>75</v>
      </c>
      <c r="D35" s="5"/>
      <c r="E35" s="5"/>
      <c r="F35" s="5"/>
      <c r="G35" s="5"/>
      <c r="H35" s="5"/>
      <c r="I35" s="5"/>
      <c r="J35" s="5"/>
      <c r="K35" s="5"/>
      <c r="L35" s="5"/>
      <c r="M35" s="5"/>
      <c r="N35" s="5"/>
    </row>
    <row r="36" spans="1:14" ht="15.5" x14ac:dyDescent="0.35">
      <c r="A36" s="7" t="s">
        <v>47</v>
      </c>
      <c r="B36" s="10"/>
      <c r="C36" s="27">
        <f t="array" aca="1" ref="C36" ca="1">INDEX([1]Date!N8:N30, MATCH(E12,[1]Date!C8:C30,0),0)</f>
        <v>3</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t="s">
        <v>52</v>
      </c>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53</v>
      </c>
      <c r="B42" s="2"/>
      <c r="C42" s="2"/>
      <c r="D42" s="2"/>
      <c r="E42" s="2"/>
      <c r="F42" s="2"/>
      <c r="G42" s="2"/>
      <c r="H42" s="2"/>
      <c r="I42" s="2"/>
      <c r="J42" s="2"/>
      <c r="K42" s="2"/>
      <c r="L42" s="2"/>
      <c r="M42" s="2"/>
      <c r="N42" s="30"/>
    </row>
    <row r="43" spans="1:14" ht="15.5" x14ac:dyDescent="0.35">
      <c r="A43" s="7" t="s">
        <v>54</v>
      </c>
      <c r="B43" s="10"/>
      <c r="C43" s="23" t="s">
        <v>55</v>
      </c>
      <c r="D43" s="8"/>
      <c r="E43" s="8"/>
      <c r="F43" s="8"/>
      <c r="G43" s="8"/>
      <c r="H43" s="8"/>
      <c r="I43" s="8"/>
      <c r="J43" s="8"/>
      <c r="K43" s="8"/>
      <c r="L43" s="8"/>
      <c r="M43" s="10"/>
      <c r="N43" s="30"/>
    </row>
    <row r="44" spans="1:14" ht="15.5" x14ac:dyDescent="0.35">
      <c r="A44" s="7" t="s">
        <v>56</v>
      </c>
      <c r="B44" s="10"/>
      <c r="C44" s="23" t="s">
        <v>57</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58</v>
      </c>
      <c r="B46" s="2"/>
      <c r="C46" s="2"/>
      <c r="D46" s="2"/>
      <c r="E46" s="2"/>
      <c r="F46" s="2"/>
      <c r="G46" s="2"/>
      <c r="H46" s="2"/>
      <c r="I46" s="2"/>
      <c r="J46" s="2"/>
      <c r="K46" s="2"/>
      <c r="L46" s="2"/>
      <c r="M46" s="2"/>
      <c r="N46" s="30"/>
    </row>
    <row r="47" spans="1:14" ht="62.25" customHeight="1" x14ac:dyDescent="0.35">
      <c r="A47" s="23" t="s">
        <v>59</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60</v>
      </c>
      <c r="B49" s="2"/>
      <c r="C49" s="2"/>
      <c r="D49" s="2"/>
      <c r="E49" s="2"/>
      <c r="F49" s="2"/>
      <c r="G49" s="2"/>
      <c r="H49" s="2"/>
      <c r="I49" s="2"/>
      <c r="J49" s="2"/>
      <c r="K49" s="2"/>
      <c r="L49" s="2"/>
      <c r="M49" s="2"/>
      <c r="N49" s="30"/>
    </row>
    <row r="50" spans="1:14" ht="15.5" x14ac:dyDescent="0.35">
      <c r="A50" s="33" t="s">
        <v>61</v>
      </c>
      <c r="B50" s="34" t="s">
        <v>62</v>
      </c>
      <c r="C50" s="8"/>
      <c r="D50" s="8"/>
      <c r="E50" s="8"/>
      <c r="F50" s="8"/>
      <c r="G50" s="8"/>
      <c r="H50" s="8"/>
      <c r="I50" s="8"/>
      <c r="J50" s="8"/>
      <c r="K50" s="8"/>
      <c r="L50" s="8"/>
      <c r="M50" s="10"/>
      <c r="N50" s="5"/>
    </row>
    <row r="51" spans="1:14" ht="15.5" x14ac:dyDescent="0.35">
      <c r="A51" s="35"/>
      <c r="B51" s="36" t="s">
        <v>63</v>
      </c>
      <c r="C51" s="8"/>
      <c r="D51" s="8"/>
      <c r="E51" s="8"/>
      <c r="F51" s="8"/>
      <c r="G51" s="8"/>
      <c r="H51" s="8"/>
      <c r="I51" s="8"/>
      <c r="J51" s="8"/>
      <c r="K51" s="8"/>
      <c r="L51" s="8"/>
      <c r="M51" s="10"/>
      <c r="N51" s="5"/>
    </row>
    <row r="52" spans="1:14" ht="15.5" x14ac:dyDescent="0.35">
      <c r="A52" s="33" t="s">
        <v>64</v>
      </c>
      <c r="B52" s="34" t="s">
        <v>62</v>
      </c>
      <c r="C52" s="8"/>
      <c r="D52" s="8"/>
      <c r="E52" s="8"/>
      <c r="F52" s="8"/>
      <c r="G52" s="8"/>
      <c r="H52" s="8"/>
      <c r="I52" s="8"/>
      <c r="J52" s="8"/>
      <c r="K52" s="8"/>
      <c r="L52" s="8"/>
      <c r="M52" s="10"/>
      <c r="N52" s="5"/>
    </row>
    <row r="53" spans="1:14" ht="15.5" x14ac:dyDescent="0.35">
      <c r="A53" s="35"/>
      <c r="B53" s="36" t="s">
        <v>65</v>
      </c>
      <c r="C53" s="8"/>
      <c r="D53" s="8"/>
      <c r="E53" s="8"/>
      <c r="F53" s="8"/>
      <c r="G53" s="8"/>
      <c r="H53" s="8"/>
      <c r="I53" s="8"/>
      <c r="J53" s="8"/>
      <c r="K53" s="8"/>
      <c r="L53" s="8"/>
      <c r="M53" s="10"/>
      <c r="N53" s="5"/>
    </row>
    <row r="54" spans="1:14" ht="18" customHeight="1" x14ac:dyDescent="0.35">
      <c r="A54" s="33" t="s">
        <v>66</v>
      </c>
      <c r="B54" s="34" t="s">
        <v>62</v>
      </c>
      <c r="C54" s="8"/>
      <c r="D54" s="8"/>
      <c r="E54" s="8"/>
      <c r="F54" s="8"/>
      <c r="G54" s="8"/>
      <c r="H54" s="8"/>
      <c r="I54" s="8"/>
      <c r="J54" s="8"/>
      <c r="K54" s="8"/>
      <c r="L54" s="8"/>
      <c r="M54" s="10"/>
      <c r="N54" s="5"/>
    </row>
    <row r="55" spans="1:14" ht="104.25" customHeight="1" x14ac:dyDescent="0.35">
      <c r="A55" s="35"/>
      <c r="B55" s="37" t="s">
        <v>67</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68</v>
      </c>
      <c r="B57" s="2"/>
      <c r="C57" s="2"/>
      <c r="D57" s="2"/>
      <c r="E57" s="2"/>
      <c r="F57" s="2"/>
      <c r="G57" s="2"/>
      <c r="H57" s="2"/>
      <c r="I57" s="2"/>
      <c r="J57" s="2"/>
      <c r="K57" s="2"/>
      <c r="L57" s="2"/>
      <c r="M57" s="2"/>
      <c r="N57" s="30"/>
    </row>
    <row r="58" spans="1:14" ht="53.25" customHeight="1" x14ac:dyDescent="0.35">
      <c r="A58" s="23" t="s">
        <v>69</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70</v>
      </c>
      <c r="B60" s="2"/>
      <c r="C60" s="2"/>
      <c r="D60" s="2"/>
      <c r="E60" s="2"/>
      <c r="F60" s="2"/>
      <c r="G60" s="2"/>
      <c r="H60" s="2"/>
      <c r="I60" s="2"/>
      <c r="J60" s="2"/>
      <c r="K60" s="2"/>
      <c r="L60" s="2"/>
      <c r="M60" s="2"/>
      <c r="N60" s="30"/>
    </row>
    <row r="61" spans="1:14" ht="24.75" customHeight="1" x14ac:dyDescent="0.35">
      <c r="A61" s="38" t="s">
        <v>71</v>
      </c>
      <c r="B61" s="8"/>
      <c r="C61" s="8"/>
      <c r="D61" s="8"/>
      <c r="E61" s="8"/>
      <c r="F61" s="8"/>
      <c r="G61" s="10"/>
      <c r="H61" s="38" t="s">
        <v>72</v>
      </c>
      <c r="I61" s="8"/>
      <c r="J61" s="8"/>
      <c r="K61" s="10"/>
      <c r="L61" s="38" t="s">
        <v>73</v>
      </c>
      <c r="M61" s="10"/>
      <c r="N61" s="30"/>
    </row>
    <row r="62" spans="1:14" ht="15.5" x14ac:dyDescent="0.35">
      <c r="A62" s="39" t="s">
        <v>74</v>
      </c>
      <c r="B62" s="23" t="s">
        <v>75</v>
      </c>
      <c r="C62" s="8"/>
      <c r="D62" s="8"/>
      <c r="E62" s="8"/>
      <c r="F62" s="8"/>
      <c r="G62" s="10"/>
      <c r="H62" s="40" t="s">
        <v>76</v>
      </c>
      <c r="I62" s="14"/>
      <c r="J62" s="14"/>
      <c r="K62" s="15"/>
      <c r="L62" s="41" t="s">
        <v>77</v>
      </c>
      <c r="M62" s="10"/>
      <c r="N62" s="5"/>
    </row>
    <row r="63" spans="1:14" ht="15.5" x14ac:dyDescent="0.35">
      <c r="A63" s="39" t="s">
        <v>78</v>
      </c>
      <c r="B63" s="23" t="s">
        <v>79</v>
      </c>
      <c r="C63" s="8"/>
      <c r="D63" s="8"/>
      <c r="E63" s="8"/>
      <c r="F63" s="8"/>
      <c r="G63" s="10"/>
      <c r="H63" s="25"/>
      <c r="I63" s="2"/>
      <c r="J63" s="2"/>
      <c r="K63" s="26"/>
      <c r="L63" s="41" t="s">
        <v>77</v>
      </c>
      <c r="M63" s="10"/>
      <c r="N63" s="5"/>
    </row>
    <row r="64" spans="1:14" ht="15.5" x14ac:dyDescent="0.35">
      <c r="A64" s="39" t="s">
        <v>80</v>
      </c>
      <c r="B64" s="23" t="s">
        <v>81</v>
      </c>
      <c r="C64" s="8"/>
      <c r="D64" s="8"/>
      <c r="E64" s="8"/>
      <c r="F64" s="8"/>
      <c r="G64" s="10"/>
      <c r="H64" s="25"/>
      <c r="I64" s="2"/>
      <c r="J64" s="2"/>
      <c r="K64" s="26"/>
      <c r="L64" s="41" t="s">
        <v>77</v>
      </c>
      <c r="M64" s="10"/>
      <c r="N64" s="5"/>
    </row>
    <row r="65" spans="1:14" ht="15.5" x14ac:dyDescent="0.35">
      <c r="A65" s="39" t="s">
        <v>82</v>
      </c>
      <c r="B65" s="23" t="s">
        <v>83</v>
      </c>
      <c r="C65" s="8"/>
      <c r="D65" s="8"/>
      <c r="E65" s="8"/>
      <c r="F65" s="8"/>
      <c r="G65" s="10"/>
      <c r="H65" s="25"/>
      <c r="I65" s="2"/>
      <c r="J65" s="2"/>
      <c r="K65" s="26"/>
      <c r="L65" s="41" t="s">
        <v>77</v>
      </c>
      <c r="M65" s="10"/>
      <c r="N65" s="5"/>
    </row>
    <row r="66" spans="1:14" ht="15.5" x14ac:dyDescent="0.35">
      <c r="A66" s="39" t="s">
        <v>84</v>
      </c>
      <c r="B66" s="23" t="s">
        <v>85</v>
      </c>
      <c r="C66" s="8"/>
      <c r="D66" s="8"/>
      <c r="E66" s="8"/>
      <c r="F66" s="8"/>
      <c r="G66" s="10"/>
      <c r="H66" s="25"/>
      <c r="I66" s="2"/>
      <c r="J66" s="2"/>
      <c r="K66" s="26"/>
      <c r="L66" s="41" t="s">
        <v>77</v>
      </c>
      <c r="M66" s="10"/>
      <c r="N66" s="5"/>
    </row>
    <row r="67" spans="1:14" ht="15.5" x14ac:dyDescent="0.35">
      <c r="A67" s="39" t="s">
        <v>86</v>
      </c>
      <c r="B67" s="23" t="s">
        <v>87</v>
      </c>
      <c r="C67" s="8"/>
      <c r="D67" s="8"/>
      <c r="E67" s="8"/>
      <c r="F67" s="8"/>
      <c r="G67" s="10"/>
      <c r="H67" s="25"/>
      <c r="I67" s="2"/>
      <c r="J67" s="2"/>
      <c r="K67" s="26"/>
      <c r="L67" s="41" t="s">
        <v>77</v>
      </c>
      <c r="M67" s="10"/>
      <c r="N67" s="5"/>
    </row>
    <row r="68" spans="1:14" ht="15.5" x14ac:dyDescent="0.35">
      <c r="A68" s="39" t="s">
        <v>88</v>
      </c>
      <c r="B68" s="23" t="s">
        <v>89</v>
      </c>
      <c r="C68" s="8"/>
      <c r="D68" s="8"/>
      <c r="E68" s="8"/>
      <c r="F68" s="8"/>
      <c r="G68" s="10"/>
      <c r="H68" s="25"/>
      <c r="I68" s="2"/>
      <c r="J68" s="2"/>
      <c r="K68" s="26"/>
      <c r="L68" s="41" t="s">
        <v>77</v>
      </c>
      <c r="M68" s="10"/>
      <c r="N68" s="5"/>
    </row>
    <row r="69" spans="1:14" ht="15.5" x14ac:dyDescent="0.35">
      <c r="A69" s="39" t="s">
        <v>90</v>
      </c>
      <c r="B69" s="23" t="s">
        <v>91</v>
      </c>
      <c r="C69" s="8"/>
      <c r="D69" s="8"/>
      <c r="E69" s="8"/>
      <c r="F69" s="8"/>
      <c r="G69" s="10"/>
      <c r="H69" s="25"/>
      <c r="I69" s="2"/>
      <c r="J69" s="2"/>
      <c r="K69" s="26"/>
      <c r="L69" s="41" t="s">
        <v>77</v>
      </c>
      <c r="M69" s="10"/>
      <c r="N69" s="5"/>
    </row>
    <row r="70" spans="1:14" ht="15.5" x14ac:dyDescent="0.35">
      <c r="A70" s="39" t="s">
        <v>92</v>
      </c>
      <c r="B70" s="23" t="s">
        <v>93</v>
      </c>
      <c r="C70" s="8"/>
      <c r="D70" s="8"/>
      <c r="E70" s="8"/>
      <c r="F70" s="8"/>
      <c r="G70" s="10"/>
      <c r="H70" s="25"/>
      <c r="I70" s="2"/>
      <c r="J70" s="2"/>
      <c r="K70" s="26"/>
      <c r="L70" s="41" t="s">
        <v>77</v>
      </c>
      <c r="M70" s="10"/>
      <c r="N70" s="5"/>
    </row>
    <row r="71" spans="1:14" ht="15.5" x14ac:dyDescent="0.35">
      <c r="A71" s="39" t="s">
        <v>94</v>
      </c>
      <c r="B71" s="23" t="s">
        <v>95</v>
      </c>
      <c r="C71" s="8"/>
      <c r="D71" s="8"/>
      <c r="E71" s="8"/>
      <c r="F71" s="8"/>
      <c r="G71" s="10"/>
      <c r="H71" s="25"/>
      <c r="I71" s="2"/>
      <c r="J71" s="2"/>
      <c r="K71" s="26"/>
      <c r="L71" s="41" t="s">
        <v>77</v>
      </c>
      <c r="M71" s="10"/>
      <c r="N71" s="5"/>
    </row>
    <row r="72" spans="1:14" ht="15.5" x14ac:dyDescent="0.35">
      <c r="A72" s="39" t="s">
        <v>96</v>
      </c>
      <c r="B72" s="23" t="s">
        <v>97</v>
      </c>
      <c r="C72" s="8"/>
      <c r="D72" s="8"/>
      <c r="E72" s="8"/>
      <c r="F72" s="8"/>
      <c r="G72" s="10"/>
      <c r="H72" s="25"/>
      <c r="I72" s="2"/>
      <c r="J72" s="2"/>
      <c r="K72" s="26"/>
      <c r="L72" s="41" t="s">
        <v>77</v>
      </c>
      <c r="M72" s="10"/>
      <c r="N72" s="5"/>
    </row>
    <row r="73" spans="1:14" ht="15.5" x14ac:dyDescent="0.35">
      <c r="A73" s="39" t="s">
        <v>98</v>
      </c>
      <c r="B73" s="23" t="s">
        <v>99</v>
      </c>
      <c r="C73" s="8"/>
      <c r="D73" s="8"/>
      <c r="E73" s="8"/>
      <c r="F73" s="8"/>
      <c r="G73" s="10"/>
      <c r="H73" s="25"/>
      <c r="I73" s="2"/>
      <c r="J73" s="2"/>
      <c r="K73" s="26"/>
      <c r="L73" s="41" t="s">
        <v>77</v>
      </c>
      <c r="M73" s="10"/>
      <c r="N73" s="5"/>
    </row>
    <row r="74" spans="1:14" ht="15.5" x14ac:dyDescent="0.35">
      <c r="A74" s="39" t="s">
        <v>100</v>
      </c>
      <c r="B74" s="23" t="s">
        <v>101</v>
      </c>
      <c r="C74" s="8"/>
      <c r="D74" s="8"/>
      <c r="E74" s="8"/>
      <c r="F74" s="8"/>
      <c r="G74" s="10"/>
      <c r="H74" s="25"/>
      <c r="I74" s="2"/>
      <c r="J74" s="2"/>
      <c r="K74" s="26"/>
      <c r="L74" s="41" t="s">
        <v>77</v>
      </c>
      <c r="M74" s="10"/>
      <c r="N74" s="5"/>
    </row>
    <row r="75" spans="1:14" ht="15.5" x14ac:dyDescent="0.35">
      <c r="A75" s="39" t="s">
        <v>102</v>
      </c>
      <c r="B75" s="23" t="s">
        <v>103</v>
      </c>
      <c r="C75" s="8"/>
      <c r="D75" s="8"/>
      <c r="E75" s="8"/>
      <c r="F75" s="8"/>
      <c r="G75" s="10"/>
      <c r="H75" s="24"/>
      <c r="I75" s="18"/>
      <c r="J75" s="18"/>
      <c r="K75" s="19"/>
      <c r="L75" s="41" t="s">
        <v>77</v>
      </c>
      <c r="M75" s="10"/>
      <c r="N75" s="5"/>
    </row>
    <row r="76" spans="1:14" ht="84.75" customHeight="1" x14ac:dyDescent="0.35">
      <c r="A76" s="37" t="s">
        <v>104</v>
      </c>
      <c r="B76" s="8"/>
      <c r="C76" s="8"/>
      <c r="D76" s="8"/>
      <c r="E76" s="8"/>
      <c r="F76" s="8"/>
      <c r="G76" s="8"/>
      <c r="H76" s="8"/>
      <c r="I76" s="8"/>
      <c r="J76" s="8"/>
      <c r="K76" s="8"/>
      <c r="L76" s="8"/>
      <c r="M76" s="10"/>
      <c r="N76" s="5"/>
    </row>
    <row r="77" spans="1:14" ht="24.75" hidden="1" customHeight="1" x14ac:dyDescent="0.35">
      <c r="A77" s="38" t="s">
        <v>105</v>
      </c>
      <c r="B77" s="8"/>
      <c r="C77" s="8"/>
      <c r="D77" s="8"/>
      <c r="E77" s="8"/>
      <c r="F77" s="8"/>
      <c r="G77" s="10"/>
      <c r="H77" s="38" t="s">
        <v>106</v>
      </c>
      <c r="I77" s="8"/>
      <c r="J77" s="8"/>
      <c r="K77" s="10"/>
      <c r="L77" s="38" t="s">
        <v>73</v>
      </c>
      <c r="M77" s="10"/>
      <c r="N77" s="30"/>
    </row>
    <row r="78" spans="1:14" ht="15.5" hidden="1" x14ac:dyDescent="0.35">
      <c r="A78" s="39" t="s">
        <v>74</v>
      </c>
      <c r="B78" s="23"/>
      <c r="C78" s="8"/>
      <c r="D78" s="8"/>
      <c r="E78" s="8"/>
      <c r="F78" s="8"/>
      <c r="G78" s="10"/>
      <c r="H78" s="40"/>
      <c r="I78" s="14"/>
      <c r="J78" s="14"/>
      <c r="K78" s="15"/>
      <c r="L78" s="23"/>
      <c r="M78" s="10"/>
      <c r="N78" s="5"/>
    </row>
    <row r="79" spans="1:14" ht="15.5" hidden="1" x14ac:dyDescent="0.35">
      <c r="A79" s="39" t="s">
        <v>78</v>
      </c>
      <c r="B79" s="23"/>
      <c r="C79" s="8"/>
      <c r="D79" s="8"/>
      <c r="E79" s="8"/>
      <c r="F79" s="8"/>
      <c r="G79" s="10"/>
      <c r="H79" s="25"/>
      <c r="I79" s="2"/>
      <c r="J79" s="2"/>
      <c r="K79" s="26"/>
      <c r="L79" s="23"/>
      <c r="M79" s="10"/>
      <c r="N79" s="5"/>
    </row>
    <row r="80" spans="1:14" ht="15.5" hidden="1" x14ac:dyDescent="0.35">
      <c r="A80" s="39" t="s">
        <v>80</v>
      </c>
      <c r="B80" s="23"/>
      <c r="C80" s="8"/>
      <c r="D80" s="8"/>
      <c r="E80" s="8"/>
      <c r="F80" s="8"/>
      <c r="G80" s="10"/>
      <c r="H80" s="25"/>
      <c r="I80" s="2"/>
      <c r="J80" s="2"/>
      <c r="K80" s="26"/>
      <c r="L80" s="23"/>
      <c r="M80" s="10"/>
      <c r="N80" s="5"/>
    </row>
    <row r="81" spans="1:14" ht="15.5" hidden="1" x14ac:dyDescent="0.35">
      <c r="A81" s="39" t="s">
        <v>82</v>
      </c>
      <c r="B81" s="23"/>
      <c r="C81" s="8"/>
      <c r="D81" s="8"/>
      <c r="E81" s="8"/>
      <c r="F81" s="8"/>
      <c r="G81" s="10"/>
      <c r="H81" s="25"/>
      <c r="I81" s="2"/>
      <c r="J81" s="2"/>
      <c r="K81" s="26"/>
      <c r="L81" s="23"/>
      <c r="M81" s="10"/>
      <c r="N81" s="5"/>
    </row>
    <row r="82" spans="1:14" ht="15.5" hidden="1" x14ac:dyDescent="0.35">
      <c r="A82" s="39" t="s">
        <v>84</v>
      </c>
      <c r="B82" s="23"/>
      <c r="C82" s="8"/>
      <c r="D82" s="8"/>
      <c r="E82" s="8"/>
      <c r="F82" s="8"/>
      <c r="G82" s="10"/>
      <c r="H82" s="25"/>
      <c r="I82" s="2"/>
      <c r="J82" s="2"/>
      <c r="K82" s="26"/>
      <c r="L82" s="23"/>
      <c r="M82" s="10"/>
      <c r="N82" s="5"/>
    </row>
    <row r="83" spans="1:14" ht="15.5" hidden="1" x14ac:dyDescent="0.35">
      <c r="A83" s="39" t="s">
        <v>86</v>
      </c>
      <c r="B83" s="23"/>
      <c r="C83" s="8"/>
      <c r="D83" s="8"/>
      <c r="E83" s="8"/>
      <c r="F83" s="8"/>
      <c r="G83" s="10"/>
      <c r="H83" s="25"/>
      <c r="I83" s="2"/>
      <c r="J83" s="2"/>
      <c r="K83" s="26"/>
      <c r="L83" s="23"/>
      <c r="M83" s="10"/>
      <c r="N83" s="5"/>
    </row>
    <row r="84" spans="1:14" ht="15.5" hidden="1" x14ac:dyDescent="0.35">
      <c r="A84" s="39" t="s">
        <v>88</v>
      </c>
      <c r="B84" s="23"/>
      <c r="C84" s="8"/>
      <c r="D84" s="8"/>
      <c r="E84" s="8"/>
      <c r="F84" s="8"/>
      <c r="G84" s="10"/>
      <c r="H84" s="25"/>
      <c r="I84" s="2"/>
      <c r="J84" s="2"/>
      <c r="K84" s="26"/>
      <c r="L84" s="23"/>
      <c r="M84" s="10"/>
      <c r="N84" s="5"/>
    </row>
    <row r="85" spans="1:14" ht="15.5" hidden="1" x14ac:dyDescent="0.35">
      <c r="A85" s="39" t="s">
        <v>90</v>
      </c>
      <c r="B85" s="23"/>
      <c r="C85" s="8"/>
      <c r="D85" s="8"/>
      <c r="E85" s="8"/>
      <c r="F85" s="8"/>
      <c r="G85" s="10"/>
      <c r="H85" s="25"/>
      <c r="I85" s="2"/>
      <c r="J85" s="2"/>
      <c r="K85" s="26"/>
      <c r="L85" s="23"/>
      <c r="M85" s="10"/>
      <c r="N85" s="5"/>
    </row>
    <row r="86" spans="1:14" ht="15.5" hidden="1" x14ac:dyDescent="0.35">
      <c r="A86" s="39" t="s">
        <v>92</v>
      </c>
      <c r="B86" s="23"/>
      <c r="C86" s="8"/>
      <c r="D86" s="8"/>
      <c r="E86" s="8"/>
      <c r="F86" s="8"/>
      <c r="G86" s="10"/>
      <c r="H86" s="25"/>
      <c r="I86" s="2"/>
      <c r="J86" s="2"/>
      <c r="K86" s="26"/>
      <c r="L86" s="23"/>
      <c r="M86" s="10"/>
      <c r="N86" s="5"/>
    </row>
    <row r="87" spans="1:14" ht="15.5" hidden="1" x14ac:dyDescent="0.35">
      <c r="A87" s="39" t="s">
        <v>94</v>
      </c>
      <c r="B87" s="23"/>
      <c r="C87" s="8"/>
      <c r="D87" s="8"/>
      <c r="E87" s="8"/>
      <c r="F87" s="8"/>
      <c r="G87" s="10"/>
      <c r="H87" s="25"/>
      <c r="I87" s="2"/>
      <c r="J87" s="2"/>
      <c r="K87" s="26"/>
      <c r="L87" s="23"/>
      <c r="M87" s="10"/>
      <c r="N87" s="5"/>
    </row>
    <row r="88" spans="1:14" ht="15.5" hidden="1" x14ac:dyDescent="0.35">
      <c r="A88" s="39" t="s">
        <v>96</v>
      </c>
      <c r="B88" s="23"/>
      <c r="C88" s="8"/>
      <c r="D88" s="8"/>
      <c r="E88" s="8"/>
      <c r="F88" s="8"/>
      <c r="G88" s="10"/>
      <c r="H88" s="25"/>
      <c r="I88" s="2"/>
      <c r="J88" s="2"/>
      <c r="K88" s="26"/>
      <c r="L88" s="23"/>
      <c r="M88" s="10"/>
      <c r="N88" s="5"/>
    </row>
    <row r="89" spans="1:14" ht="15.5" hidden="1" x14ac:dyDescent="0.35">
      <c r="A89" s="39" t="s">
        <v>98</v>
      </c>
      <c r="B89" s="23"/>
      <c r="C89" s="8"/>
      <c r="D89" s="8"/>
      <c r="E89" s="8"/>
      <c r="F89" s="8"/>
      <c r="G89" s="10"/>
      <c r="H89" s="25"/>
      <c r="I89" s="2"/>
      <c r="J89" s="2"/>
      <c r="K89" s="26"/>
      <c r="L89" s="23"/>
      <c r="M89" s="10"/>
      <c r="N89" s="5"/>
    </row>
    <row r="90" spans="1:14" ht="15.5" hidden="1" x14ac:dyDescent="0.35">
      <c r="A90" s="39" t="s">
        <v>100</v>
      </c>
      <c r="B90" s="23"/>
      <c r="C90" s="8"/>
      <c r="D90" s="8"/>
      <c r="E90" s="8"/>
      <c r="F90" s="8"/>
      <c r="G90" s="10"/>
      <c r="H90" s="25"/>
      <c r="I90" s="2"/>
      <c r="J90" s="2"/>
      <c r="K90" s="26"/>
      <c r="L90" s="23"/>
      <c r="M90" s="10"/>
      <c r="N90" s="5"/>
    </row>
    <row r="91" spans="1:14" ht="15.5" hidden="1" x14ac:dyDescent="0.35">
      <c r="A91" s="39" t="s">
        <v>102</v>
      </c>
      <c r="B91" s="23"/>
      <c r="C91" s="8"/>
      <c r="D91" s="8"/>
      <c r="E91" s="8"/>
      <c r="F91" s="8"/>
      <c r="G91" s="10"/>
      <c r="H91" s="24"/>
      <c r="I91" s="18"/>
      <c r="J91" s="18"/>
      <c r="K91" s="19"/>
      <c r="L91" s="23"/>
      <c r="M91" s="10"/>
      <c r="N91" s="5"/>
    </row>
    <row r="92" spans="1:14" ht="24" customHeight="1" x14ac:dyDescent="0.35">
      <c r="A92" s="38" t="s">
        <v>107</v>
      </c>
      <c r="B92" s="8"/>
      <c r="C92" s="8"/>
      <c r="D92" s="8"/>
      <c r="E92" s="8"/>
      <c r="F92" s="8"/>
      <c r="G92" s="10"/>
      <c r="H92" s="38" t="s">
        <v>106</v>
      </c>
      <c r="I92" s="8"/>
      <c r="J92" s="8"/>
      <c r="K92" s="10"/>
      <c r="L92" s="38" t="s">
        <v>73</v>
      </c>
      <c r="M92" s="10"/>
      <c r="N92" s="30"/>
    </row>
    <row r="93" spans="1:14" ht="15.5" x14ac:dyDescent="0.35">
      <c r="A93" s="39" t="s">
        <v>74</v>
      </c>
      <c r="B93" s="23" t="s">
        <v>108</v>
      </c>
      <c r="C93" s="8"/>
      <c r="D93" s="8"/>
      <c r="E93" s="8"/>
      <c r="F93" s="8"/>
      <c r="G93" s="10"/>
      <c r="H93" s="40" t="s">
        <v>109</v>
      </c>
      <c r="I93" s="14"/>
      <c r="J93" s="14"/>
      <c r="K93" s="15"/>
      <c r="L93" s="41" t="s">
        <v>77</v>
      </c>
      <c r="M93" s="10"/>
      <c r="N93" s="5"/>
    </row>
    <row r="94" spans="1:14" ht="15.5" x14ac:dyDescent="0.35">
      <c r="A94" s="39" t="s">
        <v>78</v>
      </c>
      <c r="B94" s="23" t="s">
        <v>110</v>
      </c>
      <c r="C94" s="8"/>
      <c r="D94" s="8"/>
      <c r="E94" s="8"/>
      <c r="F94" s="8"/>
      <c r="G94" s="10"/>
      <c r="H94" s="25"/>
      <c r="I94" s="2"/>
      <c r="J94" s="2"/>
      <c r="K94" s="26"/>
      <c r="L94" s="41" t="s">
        <v>77</v>
      </c>
      <c r="M94" s="10"/>
      <c r="N94" s="5"/>
    </row>
    <row r="95" spans="1:14" ht="15.5" x14ac:dyDescent="0.35">
      <c r="A95" s="39" t="s">
        <v>80</v>
      </c>
      <c r="B95" s="23" t="s">
        <v>111</v>
      </c>
      <c r="C95" s="8"/>
      <c r="D95" s="8"/>
      <c r="E95" s="8"/>
      <c r="F95" s="8"/>
      <c r="G95" s="10"/>
      <c r="H95" s="25"/>
      <c r="I95" s="2"/>
      <c r="J95" s="2"/>
      <c r="K95" s="26"/>
      <c r="L95" s="41" t="s">
        <v>77</v>
      </c>
      <c r="M95" s="10"/>
      <c r="N95" s="5"/>
    </row>
    <row r="96" spans="1:14" ht="15.5" x14ac:dyDescent="0.35">
      <c r="A96" s="39" t="s">
        <v>82</v>
      </c>
      <c r="B96" s="23" t="s">
        <v>112</v>
      </c>
      <c r="C96" s="8"/>
      <c r="D96" s="8"/>
      <c r="E96" s="8"/>
      <c r="F96" s="8"/>
      <c r="G96" s="10"/>
      <c r="H96" s="25"/>
      <c r="I96" s="2"/>
      <c r="J96" s="2"/>
      <c r="K96" s="26"/>
      <c r="L96" s="41" t="s">
        <v>77</v>
      </c>
      <c r="M96" s="10"/>
      <c r="N96" s="5"/>
    </row>
    <row r="97" spans="1:14" ht="15.5" x14ac:dyDescent="0.35">
      <c r="A97" s="39" t="s">
        <v>84</v>
      </c>
      <c r="B97" s="23" t="s">
        <v>113</v>
      </c>
      <c r="C97" s="8"/>
      <c r="D97" s="8"/>
      <c r="E97" s="8"/>
      <c r="F97" s="8"/>
      <c r="G97" s="10"/>
      <c r="H97" s="25"/>
      <c r="I97" s="2"/>
      <c r="J97" s="2"/>
      <c r="K97" s="26"/>
      <c r="L97" s="41" t="s">
        <v>77</v>
      </c>
      <c r="M97" s="10"/>
      <c r="N97" s="5"/>
    </row>
    <row r="98" spans="1:14" ht="15.5" x14ac:dyDescent="0.35">
      <c r="A98" s="39" t="s">
        <v>86</v>
      </c>
      <c r="B98" s="23" t="s">
        <v>114</v>
      </c>
      <c r="C98" s="8"/>
      <c r="D98" s="8"/>
      <c r="E98" s="8"/>
      <c r="F98" s="8"/>
      <c r="G98" s="10"/>
      <c r="H98" s="25"/>
      <c r="I98" s="2"/>
      <c r="J98" s="2"/>
      <c r="K98" s="26"/>
      <c r="L98" s="41" t="s">
        <v>77</v>
      </c>
      <c r="M98" s="10"/>
      <c r="N98" s="5"/>
    </row>
    <row r="99" spans="1:14" ht="15.5" x14ac:dyDescent="0.35">
      <c r="A99" s="39" t="s">
        <v>88</v>
      </c>
      <c r="B99" s="23" t="s">
        <v>115</v>
      </c>
      <c r="C99" s="8"/>
      <c r="D99" s="8"/>
      <c r="E99" s="8"/>
      <c r="F99" s="8"/>
      <c r="G99" s="10"/>
      <c r="H99" s="25"/>
      <c r="I99" s="2"/>
      <c r="J99" s="2"/>
      <c r="K99" s="26"/>
      <c r="L99" s="41" t="s">
        <v>77</v>
      </c>
      <c r="M99" s="10"/>
      <c r="N99" s="5"/>
    </row>
    <row r="100" spans="1:14" ht="15.5" x14ac:dyDescent="0.35">
      <c r="A100" s="39" t="s">
        <v>90</v>
      </c>
      <c r="B100" s="23" t="s">
        <v>116</v>
      </c>
      <c r="C100" s="8"/>
      <c r="D100" s="8"/>
      <c r="E100" s="8"/>
      <c r="F100" s="8"/>
      <c r="G100" s="10"/>
      <c r="H100" s="25"/>
      <c r="I100" s="2"/>
      <c r="J100" s="2"/>
      <c r="K100" s="26"/>
      <c r="L100" s="41" t="s">
        <v>77</v>
      </c>
      <c r="M100" s="10"/>
      <c r="N100" s="5"/>
    </row>
    <row r="101" spans="1:14" ht="15.5" x14ac:dyDescent="0.35">
      <c r="A101" s="39" t="s">
        <v>92</v>
      </c>
      <c r="B101" s="23" t="s">
        <v>117</v>
      </c>
      <c r="C101" s="8"/>
      <c r="D101" s="8"/>
      <c r="E101" s="8"/>
      <c r="F101" s="8"/>
      <c r="G101" s="10"/>
      <c r="H101" s="25"/>
      <c r="I101" s="2"/>
      <c r="J101" s="2"/>
      <c r="K101" s="26"/>
      <c r="L101" s="41" t="s">
        <v>77</v>
      </c>
      <c r="M101" s="10"/>
      <c r="N101" s="5"/>
    </row>
    <row r="102" spans="1:14" ht="15.5" x14ac:dyDescent="0.35">
      <c r="A102" s="39" t="s">
        <v>94</v>
      </c>
      <c r="B102" s="23" t="s">
        <v>118</v>
      </c>
      <c r="C102" s="8"/>
      <c r="D102" s="8"/>
      <c r="E102" s="8"/>
      <c r="F102" s="8"/>
      <c r="G102" s="10"/>
      <c r="H102" s="25"/>
      <c r="I102" s="2"/>
      <c r="J102" s="2"/>
      <c r="K102" s="26"/>
      <c r="L102" s="41" t="s">
        <v>77</v>
      </c>
      <c r="M102" s="10"/>
      <c r="N102" s="5"/>
    </row>
    <row r="103" spans="1:14" ht="15.5" x14ac:dyDescent="0.35">
      <c r="A103" s="39" t="s">
        <v>96</v>
      </c>
      <c r="B103" s="23" t="s">
        <v>119</v>
      </c>
      <c r="C103" s="8"/>
      <c r="D103" s="8"/>
      <c r="E103" s="8"/>
      <c r="F103" s="8"/>
      <c r="G103" s="10"/>
      <c r="H103" s="25"/>
      <c r="I103" s="2"/>
      <c r="J103" s="2"/>
      <c r="K103" s="26"/>
      <c r="L103" s="41" t="s">
        <v>77</v>
      </c>
      <c r="M103" s="10"/>
      <c r="N103" s="5"/>
    </row>
    <row r="104" spans="1:14" ht="15.5" x14ac:dyDescent="0.35">
      <c r="A104" s="39" t="s">
        <v>98</v>
      </c>
      <c r="B104" s="23" t="s">
        <v>120</v>
      </c>
      <c r="C104" s="8"/>
      <c r="D104" s="8"/>
      <c r="E104" s="8"/>
      <c r="F104" s="8"/>
      <c r="G104" s="10"/>
      <c r="H104" s="25"/>
      <c r="I104" s="2"/>
      <c r="J104" s="2"/>
      <c r="K104" s="26"/>
      <c r="L104" s="41" t="s">
        <v>77</v>
      </c>
      <c r="M104" s="10"/>
      <c r="N104" s="5"/>
    </row>
    <row r="105" spans="1:14" ht="15.5" x14ac:dyDescent="0.35">
      <c r="A105" s="39" t="s">
        <v>100</v>
      </c>
      <c r="B105" s="23" t="s">
        <v>121</v>
      </c>
      <c r="C105" s="8"/>
      <c r="D105" s="8"/>
      <c r="E105" s="8"/>
      <c r="F105" s="8"/>
      <c r="G105" s="10"/>
      <c r="H105" s="25"/>
      <c r="I105" s="2"/>
      <c r="J105" s="2"/>
      <c r="K105" s="26"/>
      <c r="L105" s="41" t="s">
        <v>77</v>
      </c>
      <c r="M105" s="10"/>
      <c r="N105" s="5"/>
    </row>
    <row r="106" spans="1:14" ht="15.5" x14ac:dyDescent="0.35">
      <c r="A106" s="39" t="s">
        <v>102</v>
      </c>
      <c r="B106" s="23" t="s">
        <v>122</v>
      </c>
      <c r="C106" s="8"/>
      <c r="D106" s="8"/>
      <c r="E106" s="8"/>
      <c r="F106" s="8"/>
      <c r="G106" s="10"/>
      <c r="H106" s="24"/>
      <c r="I106" s="18"/>
      <c r="J106" s="18"/>
      <c r="K106" s="19"/>
      <c r="L106" s="41" t="s">
        <v>77</v>
      </c>
      <c r="M106" s="10"/>
      <c r="N106" s="5"/>
    </row>
    <row r="107" spans="1:14" ht="24" hidden="1" customHeight="1" x14ac:dyDescent="0.35">
      <c r="A107" s="38" t="s">
        <v>123</v>
      </c>
      <c r="B107" s="8"/>
      <c r="C107" s="8"/>
      <c r="D107" s="8"/>
      <c r="E107" s="8"/>
      <c r="F107" s="8"/>
      <c r="G107" s="10"/>
      <c r="H107" s="38" t="s">
        <v>106</v>
      </c>
      <c r="I107" s="8"/>
      <c r="J107" s="8"/>
      <c r="K107" s="10"/>
      <c r="L107" s="38" t="s">
        <v>73</v>
      </c>
      <c r="M107" s="10"/>
      <c r="N107" s="30"/>
    </row>
    <row r="108" spans="1:14" ht="15.5" hidden="1" x14ac:dyDescent="0.35">
      <c r="A108" s="39" t="s">
        <v>74</v>
      </c>
      <c r="B108" s="23"/>
      <c r="C108" s="8"/>
      <c r="D108" s="8"/>
      <c r="E108" s="8"/>
      <c r="F108" s="8"/>
      <c r="G108" s="10"/>
      <c r="H108" s="40"/>
      <c r="I108" s="14"/>
      <c r="J108" s="14"/>
      <c r="K108" s="15"/>
      <c r="L108" s="23"/>
      <c r="M108" s="10"/>
      <c r="N108" s="5"/>
    </row>
    <row r="109" spans="1:14" ht="15.5" hidden="1" x14ac:dyDescent="0.35">
      <c r="A109" s="39" t="s">
        <v>78</v>
      </c>
      <c r="B109" s="23"/>
      <c r="C109" s="8"/>
      <c r="D109" s="8"/>
      <c r="E109" s="8"/>
      <c r="F109" s="8"/>
      <c r="G109" s="10"/>
      <c r="H109" s="25"/>
      <c r="I109" s="2"/>
      <c r="J109" s="2"/>
      <c r="K109" s="26"/>
      <c r="L109" s="23"/>
      <c r="M109" s="10"/>
      <c r="N109" s="5"/>
    </row>
    <row r="110" spans="1:14" ht="15.5" hidden="1" x14ac:dyDescent="0.35">
      <c r="A110" s="39" t="s">
        <v>80</v>
      </c>
      <c r="B110" s="23"/>
      <c r="C110" s="8"/>
      <c r="D110" s="8"/>
      <c r="E110" s="8"/>
      <c r="F110" s="8"/>
      <c r="G110" s="10"/>
      <c r="H110" s="25"/>
      <c r="I110" s="2"/>
      <c r="J110" s="2"/>
      <c r="K110" s="26"/>
      <c r="L110" s="23"/>
      <c r="M110" s="10"/>
      <c r="N110" s="5"/>
    </row>
    <row r="111" spans="1:14" ht="15.5" hidden="1" x14ac:dyDescent="0.35">
      <c r="A111" s="39" t="s">
        <v>82</v>
      </c>
      <c r="B111" s="23"/>
      <c r="C111" s="8"/>
      <c r="D111" s="8"/>
      <c r="E111" s="8"/>
      <c r="F111" s="8"/>
      <c r="G111" s="10"/>
      <c r="H111" s="25"/>
      <c r="I111" s="2"/>
      <c r="J111" s="2"/>
      <c r="K111" s="26"/>
      <c r="L111" s="23"/>
      <c r="M111" s="10"/>
      <c r="N111" s="5"/>
    </row>
    <row r="112" spans="1:14" ht="15.5" hidden="1" x14ac:dyDescent="0.35">
      <c r="A112" s="39" t="s">
        <v>84</v>
      </c>
      <c r="B112" s="23"/>
      <c r="C112" s="8"/>
      <c r="D112" s="8"/>
      <c r="E112" s="8"/>
      <c r="F112" s="8"/>
      <c r="G112" s="10"/>
      <c r="H112" s="25"/>
      <c r="I112" s="2"/>
      <c r="J112" s="2"/>
      <c r="K112" s="26"/>
      <c r="L112" s="23"/>
      <c r="M112" s="10"/>
      <c r="N112" s="5"/>
    </row>
    <row r="113" spans="1:14" ht="15.5" hidden="1" x14ac:dyDescent="0.35">
      <c r="A113" s="39" t="s">
        <v>86</v>
      </c>
      <c r="B113" s="23"/>
      <c r="C113" s="8"/>
      <c r="D113" s="8"/>
      <c r="E113" s="8"/>
      <c r="F113" s="8"/>
      <c r="G113" s="10"/>
      <c r="H113" s="25"/>
      <c r="I113" s="2"/>
      <c r="J113" s="2"/>
      <c r="K113" s="26"/>
      <c r="L113" s="23"/>
      <c r="M113" s="10"/>
      <c r="N113" s="5"/>
    </row>
    <row r="114" spans="1:14" ht="15.5" hidden="1" x14ac:dyDescent="0.35">
      <c r="A114" s="39" t="s">
        <v>88</v>
      </c>
      <c r="B114" s="23"/>
      <c r="C114" s="8"/>
      <c r="D114" s="8"/>
      <c r="E114" s="8"/>
      <c r="F114" s="8"/>
      <c r="G114" s="10"/>
      <c r="H114" s="25"/>
      <c r="I114" s="2"/>
      <c r="J114" s="2"/>
      <c r="K114" s="26"/>
      <c r="L114" s="23"/>
      <c r="M114" s="10"/>
      <c r="N114" s="5"/>
    </row>
    <row r="115" spans="1:14" ht="15.5" hidden="1" x14ac:dyDescent="0.35">
      <c r="A115" s="39" t="s">
        <v>90</v>
      </c>
      <c r="B115" s="23"/>
      <c r="C115" s="8"/>
      <c r="D115" s="8"/>
      <c r="E115" s="8"/>
      <c r="F115" s="8"/>
      <c r="G115" s="10"/>
      <c r="H115" s="25"/>
      <c r="I115" s="2"/>
      <c r="J115" s="2"/>
      <c r="K115" s="26"/>
      <c r="L115" s="23"/>
      <c r="M115" s="10"/>
      <c r="N115" s="5"/>
    </row>
    <row r="116" spans="1:14" ht="15.5" hidden="1" x14ac:dyDescent="0.35">
      <c r="A116" s="39" t="s">
        <v>92</v>
      </c>
      <c r="B116" s="23"/>
      <c r="C116" s="8"/>
      <c r="D116" s="8"/>
      <c r="E116" s="8"/>
      <c r="F116" s="8"/>
      <c r="G116" s="10"/>
      <c r="H116" s="25"/>
      <c r="I116" s="2"/>
      <c r="J116" s="2"/>
      <c r="K116" s="26"/>
      <c r="L116" s="23"/>
      <c r="M116" s="10"/>
      <c r="N116" s="5"/>
    </row>
    <row r="117" spans="1:14" ht="15.5" hidden="1" x14ac:dyDescent="0.35">
      <c r="A117" s="39" t="s">
        <v>94</v>
      </c>
      <c r="B117" s="23"/>
      <c r="C117" s="8"/>
      <c r="D117" s="8"/>
      <c r="E117" s="8"/>
      <c r="F117" s="8"/>
      <c r="G117" s="10"/>
      <c r="H117" s="25"/>
      <c r="I117" s="2"/>
      <c r="J117" s="2"/>
      <c r="K117" s="26"/>
      <c r="L117" s="23"/>
      <c r="M117" s="10"/>
      <c r="N117" s="5"/>
    </row>
    <row r="118" spans="1:14" ht="15.5" hidden="1" x14ac:dyDescent="0.35">
      <c r="A118" s="39" t="s">
        <v>96</v>
      </c>
      <c r="B118" s="23"/>
      <c r="C118" s="8"/>
      <c r="D118" s="8"/>
      <c r="E118" s="8"/>
      <c r="F118" s="8"/>
      <c r="G118" s="10"/>
      <c r="H118" s="25"/>
      <c r="I118" s="2"/>
      <c r="J118" s="2"/>
      <c r="K118" s="26"/>
      <c r="L118" s="23"/>
      <c r="M118" s="10"/>
      <c r="N118" s="5"/>
    </row>
    <row r="119" spans="1:14" ht="15.5" hidden="1" x14ac:dyDescent="0.35">
      <c r="A119" s="39" t="s">
        <v>98</v>
      </c>
      <c r="B119" s="23"/>
      <c r="C119" s="8"/>
      <c r="D119" s="8"/>
      <c r="E119" s="8"/>
      <c r="F119" s="8"/>
      <c r="G119" s="10"/>
      <c r="H119" s="25"/>
      <c r="I119" s="2"/>
      <c r="J119" s="2"/>
      <c r="K119" s="26"/>
      <c r="L119" s="23"/>
      <c r="M119" s="10"/>
      <c r="N119" s="5"/>
    </row>
    <row r="120" spans="1:14" ht="15.5" hidden="1" x14ac:dyDescent="0.35">
      <c r="A120" s="39" t="s">
        <v>100</v>
      </c>
      <c r="B120" s="23"/>
      <c r="C120" s="8"/>
      <c r="D120" s="8"/>
      <c r="E120" s="8"/>
      <c r="F120" s="8"/>
      <c r="G120" s="10"/>
      <c r="H120" s="25"/>
      <c r="I120" s="2"/>
      <c r="J120" s="2"/>
      <c r="K120" s="26"/>
      <c r="L120" s="23"/>
      <c r="M120" s="10"/>
      <c r="N120" s="5"/>
    </row>
    <row r="121" spans="1:14" ht="15.5" hidden="1" x14ac:dyDescent="0.35">
      <c r="A121" s="39" t="s">
        <v>102</v>
      </c>
      <c r="B121" s="23"/>
      <c r="C121" s="8"/>
      <c r="D121" s="8"/>
      <c r="E121" s="8"/>
      <c r="F121" s="8"/>
      <c r="G121" s="10"/>
      <c r="H121" s="24"/>
      <c r="I121" s="18"/>
      <c r="J121" s="18"/>
      <c r="K121" s="19"/>
      <c r="L121" s="23"/>
      <c r="M121" s="10"/>
      <c r="N121" s="5"/>
    </row>
    <row r="122" spans="1:14" ht="115.5" customHeight="1" x14ac:dyDescent="0.35">
      <c r="A122" s="23" t="s">
        <v>124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125</v>
      </c>
      <c r="B124" s="2"/>
      <c r="C124" s="2"/>
      <c r="D124" s="2"/>
      <c r="E124" s="2"/>
      <c r="F124" s="2"/>
      <c r="G124" s="2"/>
      <c r="H124" s="2"/>
      <c r="I124" s="2"/>
      <c r="J124" s="2"/>
      <c r="K124" s="2"/>
      <c r="L124" s="2"/>
      <c r="M124" s="2"/>
      <c r="N124" s="30"/>
    </row>
    <row r="125" spans="1:14" ht="46.5" x14ac:dyDescent="0.35">
      <c r="A125" s="42" t="s">
        <v>126</v>
      </c>
      <c r="B125" s="43" t="s">
        <v>127</v>
      </c>
      <c r="C125" s="8"/>
      <c r="D125" s="8"/>
      <c r="E125" s="8"/>
      <c r="F125" s="8"/>
      <c r="G125" s="10"/>
      <c r="H125" s="43" t="s">
        <v>128</v>
      </c>
      <c r="I125" s="8"/>
      <c r="J125" s="8"/>
      <c r="K125" s="10"/>
      <c r="L125" s="44" t="s">
        <v>129</v>
      </c>
      <c r="M125" s="10"/>
      <c r="N125" s="5"/>
    </row>
    <row r="126" spans="1:14" ht="15.5" x14ac:dyDescent="0.35">
      <c r="A126" s="45" t="s">
        <v>130</v>
      </c>
      <c r="B126" s="46" t="s">
        <v>131</v>
      </c>
      <c r="C126" s="14"/>
      <c r="D126" s="14"/>
      <c r="E126" s="14"/>
      <c r="F126" s="14"/>
      <c r="G126" s="15"/>
      <c r="H126" s="47" t="s">
        <v>132</v>
      </c>
      <c r="I126" s="8"/>
      <c r="J126" s="8"/>
      <c r="K126" s="48" t="s">
        <v>50</v>
      </c>
      <c r="L126" s="49">
        <f>1-SUM(L129:M131)</f>
        <v>0.75</v>
      </c>
      <c r="M126" s="15"/>
      <c r="N126" s="5"/>
    </row>
    <row r="127" spans="1:14" ht="15.5" x14ac:dyDescent="0.35">
      <c r="A127" s="50"/>
      <c r="B127" s="25"/>
      <c r="C127" s="2"/>
      <c r="D127" s="2"/>
      <c r="E127" s="2"/>
      <c r="F127" s="2"/>
      <c r="G127" s="26"/>
      <c r="H127" s="51" t="s">
        <v>133</v>
      </c>
      <c r="I127" s="8"/>
      <c r="J127" s="8"/>
      <c r="K127" s="48" t="s">
        <v>50</v>
      </c>
      <c r="L127" s="25"/>
      <c r="M127" s="26"/>
      <c r="N127" s="5"/>
    </row>
    <row r="128" spans="1:14" ht="15.5" x14ac:dyDescent="0.35">
      <c r="A128" s="35"/>
      <c r="B128" s="24"/>
      <c r="C128" s="18"/>
      <c r="D128" s="18"/>
      <c r="E128" s="18"/>
      <c r="F128" s="18"/>
      <c r="G128" s="19"/>
      <c r="H128" s="51" t="s">
        <v>134</v>
      </c>
      <c r="I128" s="8"/>
      <c r="J128" s="8"/>
      <c r="K128" s="52" t="s">
        <v>135</v>
      </c>
      <c r="L128" s="24"/>
      <c r="M128" s="19"/>
      <c r="N128" s="5"/>
    </row>
    <row r="129" spans="1:14" ht="68.25" hidden="1" customHeight="1" x14ac:dyDescent="0.35">
      <c r="A129" s="42" t="s">
        <v>136</v>
      </c>
      <c r="B129" s="53" t="s">
        <v>137</v>
      </c>
      <c r="C129" s="8"/>
      <c r="D129" s="8"/>
      <c r="E129" s="8"/>
      <c r="F129" s="8"/>
      <c r="G129" s="10"/>
      <c r="H129" s="51" t="s">
        <v>138</v>
      </c>
      <c r="I129" s="8"/>
      <c r="J129" s="8"/>
      <c r="K129" s="10"/>
      <c r="L129" s="54"/>
      <c r="M129" s="10"/>
      <c r="N129" s="5"/>
    </row>
    <row r="130" spans="1:14" ht="46.5" x14ac:dyDescent="0.35">
      <c r="A130" s="42" t="s">
        <v>139</v>
      </c>
      <c r="B130" s="53" t="s">
        <v>140</v>
      </c>
      <c r="C130" s="8"/>
      <c r="D130" s="8"/>
      <c r="E130" s="8"/>
      <c r="F130" s="8"/>
      <c r="G130" s="10"/>
      <c r="H130" s="51" t="s">
        <v>141</v>
      </c>
      <c r="I130" s="8"/>
      <c r="J130" s="8"/>
      <c r="K130" s="10"/>
      <c r="L130" s="54">
        <v>0.25</v>
      </c>
      <c r="M130" s="10"/>
      <c r="N130" s="5"/>
    </row>
    <row r="131" spans="1:14" ht="31" hidden="1" x14ac:dyDescent="0.35">
      <c r="A131" s="42" t="s">
        <v>142</v>
      </c>
      <c r="B131" s="53" t="s">
        <v>143</v>
      </c>
      <c r="C131" s="8"/>
      <c r="D131" s="8"/>
      <c r="E131" s="8"/>
      <c r="F131" s="8"/>
      <c r="G131" s="10"/>
      <c r="H131" s="51" t="s">
        <v>144</v>
      </c>
      <c r="I131" s="8"/>
      <c r="J131" s="8"/>
      <c r="K131" s="10"/>
      <c r="L131" s="54"/>
      <c r="M131" s="10"/>
      <c r="N131" s="5"/>
    </row>
    <row r="132" spans="1:14" ht="15.5" x14ac:dyDescent="0.35">
      <c r="A132" s="43" t="s">
        <v>145</v>
      </c>
      <c r="B132" s="8"/>
      <c r="C132" s="8"/>
      <c r="D132" s="8"/>
      <c r="E132" s="8"/>
      <c r="F132" s="8"/>
      <c r="G132" s="8"/>
      <c r="H132" s="8"/>
      <c r="I132" s="8"/>
      <c r="J132" s="8"/>
      <c r="K132" s="8"/>
      <c r="L132" s="8"/>
      <c r="M132" s="10"/>
      <c r="N132" s="5"/>
    </row>
    <row r="133" spans="1:14" ht="15.5" x14ac:dyDescent="0.35">
      <c r="A133" s="53" t="s">
        <v>146</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147</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5" t="s">
        <v>148</v>
      </c>
      <c r="B137" s="10"/>
      <c r="C137" s="9" t="str">
        <f>E15</f>
        <v>Ș. l. dr. ing Florin-Cătălin Brăescu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149</v>
      </c>
      <c r="B139" s="15"/>
      <c r="C139" s="9" t="str">
        <f t="shared" ref="C139:C141" si="0">E17</f>
        <v>Ș. l. dr. ing Florin-Cătălin Brăescu</v>
      </c>
      <c r="D139" s="8"/>
      <c r="E139" s="8"/>
      <c r="F139" s="8"/>
      <c r="G139" s="10"/>
      <c r="H139" s="9">
        <f t="shared" ref="H139:H141" si="1">E20</f>
        <v>0</v>
      </c>
      <c r="I139" s="8"/>
      <c r="J139" s="8"/>
      <c r="K139" s="8"/>
      <c r="L139" s="8"/>
      <c r="M139" s="10"/>
      <c r="N139" s="5"/>
    </row>
    <row r="140" spans="1:14" ht="32.25" customHeight="1" x14ac:dyDescent="0.35">
      <c r="A140" s="25"/>
      <c r="B140" s="26"/>
      <c r="C140" s="9" t="str">
        <f t="shared" si="0"/>
        <v>Ing. Sebastian Tonu</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150</v>
      </c>
      <c r="B143" s="10"/>
      <c r="C143" s="58">
        <f>[1]Date!C33</f>
        <v>45915</v>
      </c>
      <c r="D143" s="10"/>
      <c r="E143" s="55" t="s">
        <v>151</v>
      </c>
      <c r="F143" s="8"/>
      <c r="G143" s="10"/>
      <c r="H143" s="59" t="str">
        <f>[1]Date!C35</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152</v>
      </c>
      <c r="B145" s="10"/>
      <c r="C145" s="58">
        <f>[1]Date!C34</f>
        <v>45918</v>
      </c>
      <c r="D145" s="10"/>
      <c r="E145" s="55" t="s">
        <v>153</v>
      </c>
      <c r="F145" s="8"/>
      <c r="G145" s="10"/>
      <c r="H145" s="59"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2026-03-01T08:56:48Z</dcterms:created>
  <dcterms:modified xsi:type="dcterms:W3CDTF">2026-03-01T08:56:51Z</dcterms:modified>
</cp:coreProperties>
</file>