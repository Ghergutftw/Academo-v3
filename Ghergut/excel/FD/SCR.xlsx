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F6D05427-98F7-43D1-93C3-7AE923350053}" xr6:coauthVersionLast="47" xr6:coauthVersionMax="47" xr10:uidLastSave="{00000000-0000-0000-0000-000000000000}"/>
  <bookViews>
    <workbookView xWindow="-110" yWindow="-110" windowWidth="25820" windowHeight="15500" xr2:uid="{ADB3BF3A-8658-43F6-845D-EF41998FBE7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C36" i="1" l="1" a="1"/>
  <c r="C36" i="1" s="1"/>
  <c r="E14" i="1" a="1"/>
  <c r="E14" i="1" s="1"/>
  <c r="I26" i="1" a="1"/>
  <c r="I26" i="1" s="1"/>
  <c r="I27" i="1" s="1"/>
  <c r="E13" i="1" a="1"/>
  <c r="E13" i="1" s="1"/>
  <c r="K26" i="1" a="1"/>
  <c r="K26" i="1" s="1"/>
  <c r="K27" i="1" s="1"/>
  <c r="G26" i="1" a="1"/>
  <c r="G26" i="1" s="1"/>
  <c r="G27" i="1" s="1"/>
  <c r="M14" i="1" a="1"/>
  <c r="M14" i="1" s="1"/>
  <c r="E23" i="1" a="1"/>
  <c r="E23" i="1" s="1"/>
  <c r="I23" i="1" a="1"/>
  <c r="I23" i="1" s="1"/>
  <c r="M23" i="1" a="1"/>
  <c r="M23" i="1" s="1"/>
  <c r="M32" i="1" a="1"/>
  <c r="M32" i="1" s="1"/>
  <c r="E26" i="1" a="1"/>
  <c r="E26" i="1" s="1"/>
  <c r="C34" i="1" a="1"/>
  <c r="C34" i="1" s="1"/>
  <c r="M33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47F317EC-5BE0-404D-A244-D105EFEE6734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<sst xmlns="http://schemas.openxmlformats.org/spreadsheetml/2006/main" count="217" uniqueCount="146">
  <si>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</si>
  <si>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</si>
  <si>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</si>
  <si>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</si>
  <si>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</si>
  <si>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</si>
  <si>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</si>
  <si>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</si>
  <si>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</si>
  <si>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</si>
  <si>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</si>
  <si>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</si>
  <si>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</si>
  <si>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Sisteme de conducere a roboților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</si>
  <si>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</si>
  <si>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</si>
  <si>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</si>
  <si>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</si>
  <si>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Prof.dr.ing. Adrian Burlacu</t>
  </si>
  <si>
    <t>2.3 Titularul / titularii activităţilor de aplicaţii (S, L, P, Pr)</t>
  </si>
  <si>
    <t>Asist.drd.ing. Alexandru Florian Brașoveanu</t>
  </si>
  <si>
    <t>Ing. Adelina-Nicoleta Cobuz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</si>
  <si>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</si>
  <si>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</si>
  <si>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</si>
  <si>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</si>
  <si>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</si>
  <si>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</si>
  <si>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</si>
  <si>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</si>
  <si>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</si>
  <si>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</si>
  <si>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</si>
  <si>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</si>
  <si>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</si>
  <si>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</si>
  <si>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</si>
  <si>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</si>
  <si>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</si>
  <si>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</si>
  <si>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</si>
  <si>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</si>
  <si>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</si>
  <si>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</si>
  <si>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</si>
  <si>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</si>
  <si>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</si>
  <si>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</si>
  <si>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</si>
  <si>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</si>
  <si>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</si>
  <si>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</si>
  <si>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</si>
  <si>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</si>
  <si>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</si>
  <si>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5.2 de desfăşurare a seminarului / laboratorului / proiectului</t>
  </si>
  <si>
    <t>6. Obiectivul general al disciplinei</t>
  </si>
  <si>
    <t>Însușirea cunoștințelor teoretice si practice privind modelarea sistemelor robotizate şi proiectarea algoritmilor de control</t>
  </si>
  <si>
    <t>7. Rezultatele învățării</t>
  </si>
  <si>
    <t>Cunoștințe</t>
  </si>
  <si>
    <t>Studentul / Absolventul:</t>
  </si>
  <si>
    <t xml:space="preserve">- identifică tipurile de articulații, numărul de grade de libertate
- identifică spațiul de configurații și spațiul de lucru
- cunoaște modurile de reprezentare și manipulare a transformărilor 3D
- deduce mișcarea unui corp rigid folosind descrierea prin lanțuri cinematice
- înțelege conceptul de twist și axă de roto-translație pentru rezolvarea problemelor de cinematică directă
- asociază transformarea jacobiană cu analiza proprietăților sistemului în spații diferite de reprezentare
- diferențiază metodle de calcul ale cinematicii inverse
- înțelege conceptul de wrench 
- explică posibilitatea utilizării matricei de masă, vectorului gravitațional și termenii Coriolis pentru calculul modelului dinamic
- identifică parametrii optimi pentru regulatoare proiectate pe baza modelului dinamic 
</t>
  </si>
  <si>
    <t>Aptitudini</t>
  </si>
  <si>
    <t>- contruiește în mediu de simulare modele de brațe robotice planare
- analizează diferențele dintre spațiul de configurație și spațiul de lucru
- ilustrează transformările 3D parametrizate prin sisteme globale și locale
- analizează influența matricei de masă termenilor gravitaționali și Coriolis asupra mișcării roboților în diverse sarcini
- analizează proprietățile modelelor dinamice ale roboților manipulatori
- testează diferite valori pentru parametrii regulatoarelor de mișcare bazate pe model dinamic</t>
  </si>
  <si>
    <t>Responsabilitate și autonomie</t>
  </si>
  <si>
    <t xml:space="preserve">- acceptă și răspunde la sarcinile primite la laborator
- ascultă cu respect, este atent la informații noi
- lucrează autonom la organizarea și documentarea fluxului de proiectare a modelelor dinamice pentru roboți manipulatori
- respectă normele etice și legale și demonstratează integritate profesională în toate activitățile de laborator </t>
  </si>
  <si>
    <t xml:space="preserve">8. Metode de predare </t>
  </si>
  <si>
    <t>Predarea disciplinei se bazează pe prezentarea tematicii fiecărui curs pe slide-uri utilizând videoproiectorul şi comentarea împreună cu studenţii a principalelor noţiuni din cadrul prelegerii. Cunoştinţele teoretice sunt ilustrate prin exemple.</t>
  </si>
  <si>
    <t>9. Conţinuturi</t>
  </si>
  <si>
    <t>9.1. Curs</t>
  </si>
  <si>
    <t>Metode de predare</t>
  </si>
  <si>
    <t>Timp alocat</t>
  </si>
  <si>
    <t>1</t>
  </si>
  <si>
    <t>Introducere</t>
  </si>
  <si>
    <t xml:space="preserve"> 
Predarea disciplinei se bazează pe prezentarea tematicii fiecărui curs pe slide-uri utilizând videoproiectorul şi comentarea împreună cu studenţii a principalelor noţiuni din cadrul prelegerii. Cunoştinţele teoretice sunt ilustrate prin exemple.</t>
  </si>
  <si>
    <t>2 ore</t>
  </si>
  <si>
    <t>2</t>
  </si>
  <si>
    <t>Parametrizarea mișcărilor unui corp rigid</t>
  </si>
  <si>
    <t>3</t>
  </si>
  <si>
    <t>Probleme de calcul a cinematicii directe</t>
  </si>
  <si>
    <t>4</t>
  </si>
  <si>
    <t>Cinematica directă folosind câmpul vitezelor</t>
  </si>
  <si>
    <t>5</t>
  </si>
  <si>
    <t xml:space="preserve">Câmpuri de forțe </t>
  </si>
  <si>
    <t>6</t>
  </si>
  <si>
    <t>Probleme de calcul a cinematicii inverse</t>
  </si>
  <si>
    <t>7</t>
  </si>
  <si>
    <t>Metode de generarea a traiectoriilor de mișcare</t>
  </si>
  <si>
    <t>4 ore</t>
  </si>
  <si>
    <t>8</t>
  </si>
  <si>
    <t>Modele dinamice pentru sisteme robotizate</t>
  </si>
  <si>
    <t>9</t>
  </si>
  <si>
    <t>Algoritmi de control bazați pe model dinamic</t>
  </si>
  <si>
    <t>10</t>
  </si>
  <si>
    <t>Utilizarea realității augmentate pentru colaborare geamăn digital - sistem robotizat real</t>
  </si>
  <si>
    <t>11</t>
  </si>
  <si>
    <t>12</t>
  </si>
  <si>
    <t>13</t>
  </si>
  <si>
    <t>14</t>
  </si>
  <si>
    <t xml:space="preserve">Bibliografie curs:
1. A. Burlacu, Sisteme de conducere a roboților - Note de curs, 2025
2. D. Pănescu, Şt. Dumbravă, Sisteme de conducere a roboţilor - modelare cinematică, Editura Politehnium, Iaşi, 2009
3. K. Lynch, F. Park, Modern Robotics: Mechanics, Planning and Control, Cambridge University Press, 2019 
4. B Siciliano, O Khatib, Handbook of Robotics, 2nd Edition, Springer, 2017
...
</t>
  </si>
  <si>
    <t>9.2a Seminar</t>
  </si>
  <si>
    <t>Metode de lucru</t>
  </si>
  <si>
    <t>9.2b Laborator</t>
  </si>
  <si>
    <t>Explorarea spațiului configurațional și a gradelor de libertate</t>
  </si>
  <si>
    <t>Transformări în SE(3) și compunerea lanțului cinematic</t>
  </si>
  <si>
    <t>Cinematică directă ca produs de exponențiale</t>
  </si>
  <si>
    <t>Jacobieni spațiali, de corp și elipsoizi de manipulabilitate</t>
  </si>
  <si>
    <t>Maparea forță-cuplu și evaluarea eforturilor articulare</t>
  </si>
  <si>
    <t>Cinematică inversă numerică și analitică pentru brațe 2DoF, 3DoF și 6 DoF</t>
  </si>
  <si>
    <t>Integrarea PoE jacobieni și cinematică inversă</t>
  </si>
  <si>
    <t>Generarea traiectoriilor polinomiale în spațiul articulațiilor</t>
  </si>
  <si>
    <t>Interpolare carteziană și traiectorii în spațiul sarcinii</t>
  </si>
  <si>
    <t>Dinamica robotului, matrice de masă și influențe gravitaționale</t>
  </si>
  <si>
    <t>Simularea mișcării pe baza ecuațiilor de mișcare și a termenilor Coriolis</t>
  </si>
  <si>
    <t>Reglaj PD al poziției la nivel articular și cartezian</t>
  </si>
  <si>
    <t>Conducerea roboților folosind ochelari pentru realitate augumentată și validare pe geamăn digital al UR5</t>
  </si>
  <si>
    <t>Integrarea comenzilor bazate pe AI în controlul gemănului digital UR5</t>
  </si>
  <si>
    <t>9.2c Proiect</t>
  </si>
  <si>
    <t xml:space="preserve">Bibliografie aplicaţii (seminar / laborator / proiect):
1. A. Burlacu, Sisteme de conducere a roboților - Note de curs, 2025
2. THE ADVANCED GUIDE TO SMART GLASSES AND XR DEVICES (2025 Edition): How Meta, XREAL, and Apple Are Powering the Future of Spatial Interfaces,  Hands-Free AI, and Immersive Augmented Experiences
3. D. Pănescu, Şt. Dumbravă, Sisteme de conducere a roboţilor - modelare cinematică, Editura Politehnium, Iaşi, 2009
4. K. Lynch, F. Park, Modern Robotics: Mechanics, Planning and Control, Cambridge University Press, 2019 
5. B Siciliano, O Khatib, Handbook of Robotics, 2nd Edition, Springer, 2017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</si>
  <si>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</si>
  <si>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</si>
  <si>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</si>
  <si>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</si>
  <si>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</si>
  <si>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</si>
  <si>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Capacitatea de analiză, de interpretare personală, originalitatea, creativitatea. 
Gradul de asimilare a limbajului de specialitate şi capacitatea de comunicare.
Capacitatea de a valorifica abilităţile dobândite.
Capacitatea de a prelucra datele și de a rezolva problemele enunțate.</t>
  </si>
  <si>
    <t>- test de evaluare formativ (verificări pe parcursul semestrului).</t>
  </si>
  <si>
    <t>100%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</si>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</sst>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4.xlsx" TargetMode="External"/><Relationship Id="rId1" Type="http://schemas.openxmlformats.org/officeDocument/2006/relationships/externalLinkPath" Target="/Users/Madalin/Downloads/FD%20AIA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IRA"/>
      <sheetName val="TD"/>
      <sheetName val="PATR"/>
      <sheetName val="DELTS"/>
      <sheetName val="CSC"/>
      <sheetName val="MAN"/>
      <sheetName val="PEPD"/>
      <sheetName val="EPD"/>
      <sheetName val="SCR"/>
      <sheetName val="FAC"/>
      <sheetName val="SDAMC"/>
      <sheetName val="RC"/>
      <sheetName val="SBC"/>
      <sheetName val="SAA"/>
      <sheetName val="SAR"/>
      <sheetName val="CDP"/>
      <sheetName val="SPRM"/>
      <sheetName val="RNLF"/>
      <sheetName val="SIAD"/>
      <sheetName val="PAI"/>
      <sheetName val="IRA-Pr"/>
      <sheetName val="PATR-Pr"/>
      <sheetName val="SBC-Pr"/>
      <sheetName val="EA-AD I"/>
      <sheetName val="EA-AD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4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Ingineria reglării automate</v>
          </cell>
          <cell r="D8" t="str">
            <v>Control Engineering</v>
          </cell>
          <cell r="E8" t="str">
            <v>AIA401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Transmisia datelor</v>
          </cell>
          <cell r="D9" t="str">
            <v>Data Transmission</v>
          </cell>
          <cell r="E9" t="str">
            <v>AIA402</v>
          </cell>
          <cell r="F9" t="str">
            <v>DI</v>
          </cell>
          <cell r="G9" t="str">
            <v>DS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44</v>
          </cell>
          <cell r="M9" t="str">
            <v>E</v>
          </cell>
          <cell r="N9">
            <v>4</v>
          </cell>
        </row>
        <row r="10">
          <cell r="A10">
            <v>1</v>
          </cell>
          <cell r="C10" t="str">
            <v>Programarea aplicațiilor de timp real</v>
          </cell>
          <cell r="D10" t="str">
            <v>Real-Time Application Programming</v>
          </cell>
          <cell r="E10" t="str">
            <v>AIA403</v>
          </cell>
          <cell r="F10" t="str">
            <v>DI</v>
          </cell>
          <cell r="G10" t="str">
            <v>DS</v>
          </cell>
          <cell r="H10">
            <v>3</v>
          </cell>
          <cell r="I10">
            <v>0</v>
          </cell>
          <cell r="J10">
            <v>2</v>
          </cell>
          <cell r="K10">
            <v>0</v>
          </cell>
          <cell r="L10">
            <v>55</v>
          </cell>
          <cell r="M10" t="str">
            <v>E</v>
          </cell>
          <cell r="N10">
            <v>5</v>
          </cell>
        </row>
        <row r="11">
          <cell r="A11">
            <v>1</v>
          </cell>
          <cell r="C11" t="str">
            <v>Documentarea și elaborarea lucrărilor tehnico-științifice</v>
          </cell>
          <cell r="D11" t="str">
            <v>Writing Technical Reports and Scientific Papers</v>
          </cell>
          <cell r="E11" t="str">
            <v>AIA404</v>
          </cell>
          <cell r="F11" t="str">
            <v>DI</v>
          </cell>
          <cell r="G11" t="str">
            <v>DC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36</v>
          </cell>
          <cell r="M11" t="str">
            <v>C</v>
          </cell>
          <cell r="N11">
            <v>2</v>
          </cell>
        </row>
        <row r="12">
          <cell r="A12">
            <v>2</v>
          </cell>
          <cell r="C12" t="str">
            <v>Comunicații în sisteme de conducere</v>
          </cell>
          <cell r="D12" t="str">
            <v>Communications for Control Systems</v>
          </cell>
          <cell r="E12" t="str">
            <v>AIA405</v>
          </cell>
          <cell r="F12" t="str">
            <v>DI</v>
          </cell>
          <cell r="G12" t="str">
            <v>DS</v>
          </cell>
          <cell r="H12">
            <v>2</v>
          </cell>
          <cell r="I12">
            <v>0</v>
          </cell>
          <cell r="J12">
            <v>2</v>
          </cell>
          <cell r="K12">
            <v>1</v>
          </cell>
          <cell r="L12">
            <v>55</v>
          </cell>
          <cell r="M12" t="str">
            <v>C</v>
          </cell>
          <cell r="N12">
            <v>5</v>
          </cell>
        </row>
        <row r="13">
          <cell r="A13">
            <v>2</v>
          </cell>
          <cell r="C13" t="str">
            <v>Management</v>
          </cell>
          <cell r="D13" t="str">
            <v>Management</v>
          </cell>
          <cell r="E13" t="str">
            <v>AIA406</v>
          </cell>
          <cell r="F13" t="str">
            <v>DI</v>
          </cell>
          <cell r="G13" t="str">
            <v>DC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33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Elaborarea proiectului de diplomă</v>
          </cell>
          <cell r="D14" t="str">
            <v>Research and Development for Diploma Project</v>
          </cell>
          <cell r="E14" t="str">
            <v>AIA407</v>
          </cell>
          <cell r="F14" t="str">
            <v>DI</v>
          </cell>
          <cell r="G14" t="str">
            <v>DS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44</v>
          </cell>
          <cell r="M14" t="str">
            <v>C</v>
          </cell>
          <cell r="N14">
            <v>4</v>
          </cell>
        </row>
        <row r="15">
          <cell r="A15">
            <v>1</v>
          </cell>
          <cell r="C15" t="str">
            <v>Practică pentru elaborarea proiectului de diplomă</v>
          </cell>
          <cell r="D15" t="str">
            <v>Practical Training for Diploma Project</v>
          </cell>
          <cell r="E15" t="str">
            <v>AIA408</v>
          </cell>
          <cell r="F15" t="str">
            <v>DI</v>
          </cell>
          <cell r="G15" t="str">
            <v>DS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15</v>
          </cell>
          <cell r="M15" t="str">
            <v>VP
 A/R</v>
          </cell>
          <cell r="N15">
            <v>3</v>
          </cell>
        </row>
        <row r="16">
          <cell r="A16">
            <v>1</v>
          </cell>
          <cell r="C16" t="str">
            <v>Sisteme de conducere a roboților</v>
          </cell>
          <cell r="D16" t="str">
            <v>Robot Control Systems</v>
          </cell>
          <cell r="E16" t="str">
            <v>A409</v>
          </cell>
          <cell r="F16" t="str">
            <v>DO</v>
          </cell>
          <cell r="G16" t="str">
            <v>DS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L16">
            <v>44</v>
          </cell>
          <cell r="M16" t="str">
            <v>C</v>
          </cell>
          <cell r="N16">
            <v>4</v>
          </cell>
        </row>
        <row r="17">
          <cell r="A17">
            <v>1</v>
          </cell>
          <cell r="C17" t="str">
            <v>Fabricație asistată de calculator</v>
          </cell>
          <cell r="D17" t="str">
            <v>Computer Aided Manufacturing</v>
          </cell>
          <cell r="E17" t="str">
            <v>A410</v>
          </cell>
          <cell r="F17" t="str">
            <v>DO</v>
          </cell>
          <cell r="G17" t="str">
            <v>DS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44</v>
          </cell>
          <cell r="M17" t="str">
            <v>C</v>
          </cell>
          <cell r="N17">
            <v>4</v>
          </cell>
        </row>
        <row r="18">
          <cell r="A18">
            <v>1</v>
          </cell>
          <cell r="C18" t="str">
            <v>Sisteme distribuite de achiziție, monitorizare și conducere</v>
          </cell>
          <cell r="D18" t="str">
            <v>Supervisory Control and Data Acquisition</v>
          </cell>
          <cell r="E18" t="str">
            <v>A411</v>
          </cell>
          <cell r="F18" t="str">
            <v>DO</v>
          </cell>
          <cell r="G18" t="str">
            <v>DS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44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Rețele de calculatoare</v>
          </cell>
          <cell r="D19" t="str">
            <v>Computer Networks</v>
          </cell>
          <cell r="E19" t="str">
            <v>IA412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44</v>
          </cell>
          <cell r="M19" t="str">
            <v>C</v>
          </cell>
          <cell r="N19">
            <v>4</v>
          </cell>
        </row>
        <row r="20">
          <cell r="A20">
            <v>1</v>
          </cell>
          <cell r="C20" t="str">
            <v>Sisteme bazate pe cunoaștere</v>
          </cell>
          <cell r="D20" t="str">
            <v>Knowledge Based Systems</v>
          </cell>
          <cell r="E20" t="str">
            <v>IA413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44</v>
          </cell>
          <cell r="M20" t="str">
            <v>C</v>
          </cell>
          <cell r="N20">
            <v>4</v>
          </cell>
        </row>
        <row r="21">
          <cell r="A21">
            <v>1</v>
          </cell>
          <cell r="C21" t="str">
            <v>Sisteme de așteptare și aplicații</v>
          </cell>
          <cell r="D21" t="str">
            <v>Queuing Systems and Applications</v>
          </cell>
          <cell r="E21" t="str">
            <v>IA414</v>
          </cell>
          <cell r="F21" t="str">
            <v>DO</v>
          </cell>
          <cell r="G21" t="str">
            <v>DS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44</v>
          </cell>
          <cell r="M21" t="str">
            <v>C</v>
          </cell>
          <cell r="N21">
            <v>4</v>
          </cell>
        </row>
        <row r="22">
          <cell r="A22">
            <v>2</v>
          </cell>
          <cell r="C22" t="str">
            <v>Sisteme adaptive și robuste</v>
          </cell>
          <cell r="D22" t="str">
            <v>Adaptive and Robust Control</v>
          </cell>
          <cell r="E22" t="str">
            <v>A415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Controlul la distanță al proceselor</v>
          </cell>
          <cell r="D23" t="str">
            <v>Process Remote Control</v>
          </cell>
          <cell r="E23" t="str">
            <v>A416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69</v>
          </cell>
          <cell r="M23" t="str">
            <v>E</v>
          </cell>
          <cell r="N23">
            <v>5</v>
          </cell>
        </row>
        <row r="24">
          <cell r="A24">
            <v>2</v>
          </cell>
          <cell r="C24" t="str">
            <v>Strategii de planificare a roboţilor mobili</v>
          </cell>
          <cell r="D24" t="str">
            <v>Strategies for Planning and Control of Mobile Robots</v>
          </cell>
          <cell r="E24" t="str">
            <v>A417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69</v>
          </cell>
          <cell r="M24" t="str">
            <v>E</v>
          </cell>
          <cell r="N24">
            <v>5</v>
          </cell>
        </row>
        <row r="25">
          <cell r="A25">
            <v>2</v>
          </cell>
          <cell r="C25" t="str">
            <v>Rețele neuronale și logică fuzzy</v>
          </cell>
          <cell r="D25" t="str">
            <v>Neural Networks and Fuzzy Logic</v>
          </cell>
          <cell r="E25" t="str">
            <v>IA418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69</v>
          </cell>
          <cell r="M25" t="str">
            <v>E</v>
          </cell>
          <cell r="N25">
            <v>5</v>
          </cell>
        </row>
        <row r="26">
          <cell r="A26">
            <v>2</v>
          </cell>
          <cell r="C26" t="str">
            <v>Sisteme de inteligență artificială distribuite</v>
          </cell>
          <cell r="D26" t="str">
            <v>Distributed Artificial Intelligence Systems</v>
          </cell>
          <cell r="E26" t="str">
            <v>IA419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69</v>
          </cell>
          <cell r="M26" t="str">
            <v>E</v>
          </cell>
          <cell r="N26">
            <v>5</v>
          </cell>
        </row>
        <row r="27">
          <cell r="A27">
            <v>2</v>
          </cell>
          <cell r="C27" t="str">
            <v>Programarea aplicațiilor internet</v>
          </cell>
          <cell r="D27" t="str">
            <v>Internet Applications Programming</v>
          </cell>
          <cell r="E27" t="str">
            <v>IA420</v>
          </cell>
          <cell r="F27" t="str">
            <v>DO</v>
          </cell>
          <cell r="G27" t="str">
            <v>DS</v>
          </cell>
          <cell r="H27">
            <v>2</v>
          </cell>
          <cell r="I27">
            <v>0</v>
          </cell>
          <cell r="J27">
            <v>2</v>
          </cell>
          <cell r="K27">
            <v>0</v>
          </cell>
          <cell r="L27">
            <v>69</v>
          </cell>
          <cell r="M27" t="str">
            <v>E</v>
          </cell>
          <cell r="N27">
            <v>5</v>
          </cell>
        </row>
        <row r="28">
          <cell r="A28">
            <v>2</v>
          </cell>
          <cell r="C28" t="str">
            <v>Ingineria reglării automate - proiect</v>
          </cell>
          <cell r="D28" t="str">
            <v>Control Engineering – project work</v>
          </cell>
          <cell r="E28" t="str">
            <v>AIA421</v>
          </cell>
          <cell r="F28" t="str">
            <v>DO</v>
          </cell>
          <cell r="G28" t="str">
            <v>DD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47</v>
          </cell>
          <cell r="M28" t="str">
            <v>C</v>
          </cell>
          <cell r="N28">
            <v>3</v>
          </cell>
        </row>
        <row r="29">
          <cell r="A29">
            <v>2</v>
          </cell>
          <cell r="C29" t="str">
            <v>Programarea aplicațiilor de timp real - proiect</v>
          </cell>
          <cell r="D29" t="str">
            <v>Real-Time Application Programming – project work</v>
          </cell>
          <cell r="E29" t="str">
            <v>AIA422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47</v>
          </cell>
          <cell r="M29" t="str">
            <v>C</v>
          </cell>
          <cell r="N29">
            <v>3</v>
          </cell>
        </row>
        <row r="30">
          <cell r="A30">
            <v>2</v>
          </cell>
          <cell r="C30" t="str">
            <v>Sisteme bazate pe cunoaștere - proiect</v>
          </cell>
          <cell r="D30" t="str">
            <v>Knowledge Based Systems – project work</v>
          </cell>
          <cell r="E30" t="str">
            <v>AIA423</v>
          </cell>
          <cell r="F30" t="str">
            <v>DO</v>
          </cell>
          <cell r="G30" t="str">
            <v>DS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47</v>
          </cell>
          <cell r="M30" t="str">
            <v>C</v>
          </cell>
          <cell r="N30">
            <v>3</v>
          </cell>
        </row>
        <row r="31">
          <cell r="A31">
            <v>1</v>
          </cell>
          <cell r="C31" t="str">
            <v>Educație antreprenorială - Afaceri digitale I</v>
          </cell>
          <cell r="D31" t="str">
            <v>Antrepreneurship Education - Digital Business I</v>
          </cell>
          <cell r="E31" t="str">
            <v>AIA424</v>
          </cell>
          <cell r="F31" t="str">
            <v>DL</v>
          </cell>
          <cell r="G31" t="str">
            <v>DC</v>
          </cell>
          <cell r="H31">
            <v>1</v>
          </cell>
          <cell r="I31">
            <v>0</v>
          </cell>
          <cell r="J31">
            <v>2</v>
          </cell>
          <cell r="K31">
            <v>0</v>
          </cell>
          <cell r="L31">
            <v>83</v>
          </cell>
          <cell r="M31" t="str">
            <v>C</v>
          </cell>
          <cell r="N31">
            <v>5</v>
          </cell>
        </row>
        <row r="32">
          <cell r="A32">
            <v>2</v>
          </cell>
          <cell r="C32" t="str">
            <v>Educație antreprenorială - Afaceri digitale II</v>
          </cell>
          <cell r="D32" t="str">
            <v>Antrepreneurship Education - Digital Business II</v>
          </cell>
          <cell r="E32" t="str">
            <v>AIA425</v>
          </cell>
          <cell r="F32" t="str">
            <v>DL</v>
          </cell>
          <cell r="G32" t="str">
            <v>DC</v>
          </cell>
          <cell r="H32">
            <v>2</v>
          </cell>
          <cell r="I32">
            <v>0</v>
          </cell>
          <cell r="J32">
            <v>0</v>
          </cell>
          <cell r="K32">
            <v>1</v>
          </cell>
          <cell r="L32">
            <v>33</v>
          </cell>
          <cell r="M32" t="str">
            <v>C</v>
          </cell>
          <cell r="N32">
            <v>3</v>
          </cell>
        </row>
        <row r="35">
          <cell r="C35">
            <v>45915</v>
          </cell>
        </row>
        <row r="36">
          <cell r="C36">
            <v>45918</v>
          </cell>
        </row>
        <row r="37">
          <cell r="C37" t="str">
            <v>Conf.dr.ing. Mihai POSTOLACHE</v>
          </cell>
        </row>
        <row r="38">
          <cell r="C3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2FAC-55D7-4BE3-A55E-EA7C1ACBB5A6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INDEX([1]Date!D8:D32, MATCH(E12,[1]Date!C8:C32,0),0)</f>
        <v>Robot Control Systems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INDEX([1]Date!E8:E32, MATCH(E12,[1]Date!C8:C32,0),0)</f>
        <v>A409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INDEX([1]Date!G8:G32, MATCH(E12,[1]Date!C8:C32,0),0)</f>
        <v>DS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20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21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22</v>
      </c>
      <c r="B23" s="10"/>
      <c r="C23" s="27">
        <f>[1]Date!B4</f>
        <v>4</v>
      </c>
      <c r="D23" s="28" t="s">
        <v>23</v>
      </c>
      <c r="E23" s="27">
        <f t="array" aca="1" ref="E23" ca="1">INDEX([1]Date!A8:A32, MATCH(E12,[1]Date!C8:C32,0),0)</f>
        <v>1</v>
      </c>
      <c r="F23" s="29" t="s">
        <v>24</v>
      </c>
      <c r="G23" s="8"/>
      <c r="H23" s="10"/>
      <c r="I23" s="22" t="str">
        <f t="array" aca="1" ref="I23" ca="1">INDEX([1]Date!M8:M32, MATCH(E12,[1]Date!C8:C32,0),0)</f>
        <v>C</v>
      </c>
      <c r="J23" s="29" t="s">
        <v>25</v>
      </c>
      <c r="K23" s="8"/>
      <c r="L23" s="10"/>
      <c r="M23" s="27" t="str">
        <f t="array" aca="1" ref="M23" ca="1">INDEX([1]Date!F8:F32, MATCH(E12,[1]Date!C8:C32,0),0)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27</v>
      </c>
      <c r="B26" s="10"/>
      <c r="C26" s="31">
        <f ca="1">SUM(E26+G26+I26+K26)</f>
        <v>4</v>
      </c>
      <c r="D26" s="28" t="s">
        <v>28</v>
      </c>
      <c r="E26" s="27">
        <f t="array" aca="1" ref="E26" ca="1">INDEX([1]Date!H8:H32, MATCH(E12,[1]Date!C8:C32,0),0)</f>
        <v>2</v>
      </c>
      <c r="F26" s="28" t="s">
        <v>29</v>
      </c>
      <c r="G26" s="27">
        <f t="array" aca="1" ref="G26" ca="1">INDEX([1]Date!I8:I32, MATCH(E12,[1]Date!C8:C32,0),0)</f>
        <v>0</v>
      </c>
      <c r="H26" s="28" t="s">
        <v>30</v>
      </c>
      <c r="I26" s="31">
        <f t="array" aca="1" ref="I26" ca="1">INDEX([1]Date!J8:J32, MATCH(E12,[1]Date!C8:C32,0),0)</f>
        <v>2</v>
      </c>
      <c r="J26" s="28" t="s">
        <v>31</v>
      </c>
      <c r="K26" s="27">
        <f t="array" aca="1" ref="K26" ca="1">INDEX([1]Date!K8:K32, MATCH(E12,[1]Date!C8:C32,0),0)</f>
        <v>0</v>
      </c>
      <c r="L26" s="7" t="s">
        <v>32</v>
      </c>
      <c r="M26" s="10"/>
      <c r="N26" s="30"/>
    </row>
    <row r="27" spans="1:14" ht="31" x14ac:dyDescent="0.35">
      <c r="A27" s="7" t="s">
        <v>33</v>
      </c>
      <c r="B27" s="10"/>
      <c r="C27" s="27">
        <f ca="1">C26*14</f>
        <v>56</v>
      </c>
      <c r="D27" s="28" t="s">
        <v>34</v>
      </c>
      <c r="E27" s="27">
        <f ca="1">E26*14</f>
        <v>28</v>
      </c>
      <c r="F27" s="28" t="s">
        <v>35</v>
      </c>
      <c r="G27" s="27">
        <f ca="1">G26*14</f>
        <v>0</v>
      </c>
      <c r="H27" s="28" t="s">
        <v>36</v>
      </c>
      <c r="I27" s="27">
        <f ca="1">I26*14</f>
        <v>28</v>
      </c>
      <c r="J27" s="28" t="s">
        <v>37</v>
      </c>
      <c r="K27" s="27">
        <f ca="1">K26*14</f>
        <v>0</v>
      </c>
      <c r="L27" s="28" t="s">
        <v>38</v>
      </c>
      <c r="M27" s="27">
        <v>0</v>
      </c>
      <c r="N27" s="5"/>
    </row>
    <row r="28" spans="1:14" ht="15.5" x14ac:dyDescent="0.35">
      <c r="A28" s="7" t="s">
        <v>39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40</v>
      </c>
      <c r="N28" s="5"/>
    </row>
    <row r="29" spans="1:14" ht="15.5" x14ac:dyDescent="0.35">
      <c r="A29" s="7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24</v>
      </c>
      <c r="N29" s="5"/>
    </row>
    <row r="30" spans="1:14" ht="15.5" x14ac:dyDescent="0.35">
      <c r="A30" s="7" t="s">
        <v>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10</v>
      </c>
      <c r="N30" s="5"/>
    </row>
    <row r="31" spans="1:14" ht="15.5" x14ac:dyDescent="0.35">
      <c r="A31" s="7" t="s">
        <v>43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10</v>
      </c>
      <c r="N31" s="5"/>
    </row>
    <row r="32" spans="1:14" ht="15.5" x14ac:dyDescent="0.35">
      <c r="A32" s="7" t="s">
        <v>44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IF(INDEX([1]Date!M8:M32, MATCH(E12,[1]Date!C8:C32,0),0)="E",3,0)</f>
        <v>0</v>
      </c>
      <c r="N32" s="5"/>
    </row>
    <row r="33" spans="1:14" ht="15.5" x14ac:dyDescent="0.35">
      <c r="A33" s="7" t="s">
        <v>45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46</v>
      </c>
      <c r="B34" s="10"/>
      <c r="C34" s="27">
        <f t="array" aca="1" ref="C34" ca="1">INDEX([1]Date!L8:L32, MATCH(E12,[1]Date!C8:C32,0),0)</f>
        <v>44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47</v>
      </c>
      <c r="B35" s="10"/>
      <c r="C35" s="27">
        <f ca="1">C27+C34</f>
        <v>100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48</v>
      </c>
      <c r="B36" s="10"/>
      <c r="C36" s="27">
        <f t="array" aca="1" ref="C36" ca="1">INDEX([1]Date!N8:N32, MATCH(E12,[1]Date!C8:C32,0),0)</f>
        <v>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50</v>
      </c>
      <c r="B39" s="10"/>
      <c r="C39" s="9" t="s">
        <v>51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52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54</v>
      </c>
      <c r="B43" s="10"/>
      <c r="C43" s="23"/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55</v>
      </c>
      <c r="B44" s="10"/>
      <c r="C44" s="23"/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57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59</v>
      </c>
      <c r="B50" s="34" t="s">
        <v>60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62</v>
      </c>
      <c r="B52" s="34" t="s">
        <v>60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63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64</v>
      </c>
      <c r="B54" s="34" t="s">
        <v>60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69</v>
      </c>
      <c r="B61" s="8"/>
      <c r="C61" s="8"/>
      <c r="D61" s="8"/>
      <c r="E61" s="8"/>
      <c r="F61" s="8"/>
      <c r="G61" s="10"/>
      <c r="H61" s="38" t="s">
        <v>70</v>
      </c>
      <c r="I61" s="8"/>
      <c r="J61" s="8"/>
      <c r="K61" s="10"/>
      <c r="L61" s="38" t="s">
        <v>71</v>
      </c>
      <c r="M61" s="10"/>
      <c r="N61" s="30"/>
    </row>
    <row r="62" spans="1:14" ht="15.5" x14ac:dyDescent="0.35">
      <c r="A62" s="39" t="s">
        <v>72</v>
      </c>
      <c r="B62" s="23" t="s">
        <v>73</v>
      </c>
      <c r="C62" s="8"/>
      <c r="D62" s="8"/>
      <c r="E62" s="8"/>
      <c r="F62" s="8"/>
      <c r="G62" s="10"/>
      <c r="H62" s="40" t="s">
        <v>74</v>
      </c>
      <c r="I62" s="14"/>
      <c r="J62" s="14"/>
      <c r="K62" s="15"/>
      <c r="L62" s="41" t="s">
        <v>75</v>
      </c>
      <c r="M62" s="10"/>
      <c r="N62" s="5"/>
    </row>
    <row r="63" spans="1:14" ht="15.5" x14ac:dyDescent="0.35">
      <c r="A63" s="39" t="s">
        <v>76</v>
      </c>
      <c r="B63" s="23" t="s">
        <v>77</v>
      </c>
      <c r="C63" s="8"/>
      <c r="D63" s="8"/>
      <c r="E63" s="8"/>
      <c r="F63" s="8"/>
      <c r="G63" s="10"/>
      <c r="H63" s="25"/>
      <c r="I63" s="2"/>
      <c r="J63" s="2"/>
      <c r="K63" s="26"/>
      <c r="L63" s="41" t="s">
        <v>75</v>
      </c>
      <c r="M63" s="10"/>
      <c r="N63" s="5"/>
    </row>
    <row r="64" spans="1:14" ht="15.5" x14ac:dyDescent="0.35">
      <c r="A64" s="39" t="s">
        <v>78</v>
      </c>
      <c r="B64" s="23" t="s">
        <v>79</v>
      </c>
      <c r="C64" s="8"/>
      <c r="D64" s="8"/>
      <c r="E64" s="8"/>
      <c r="F64" s="8"/>
      <c r="G64" s="10"/>
      <c r="H64" s="25"/>
      <c r="I64" s="2"/>
      <c r="J64" s="2"/>
      <c r="K64" s="26"/>
      <c r="L64" s="41" t="s">
        <v>75</v>
      </c>
      <c r="M64" s="10"/>
      <c r="N64" s="5"/>
    </row>
    <row r="65" spans="1:14" ht="15.5" x14ac:dyDescent="0.35">
      <c r="A65" s="39" t="s">
        <v>80</v>
      </c>
      <c r="B65" s="23" t="s">
        <v>81</v>
      </c>
      <c r="C65" s="8"/>
      <c r="D65" s="8"/>
      <c r="E65" s="8"/>
      <c r="F65" s="8"/>
      <c r="G65" s="10"/>
      <c r="H65" s="25"/>
      <c r="I65" s="2"/>
      <c r="J65" s="2"/>
      <c r="K65" s="26"/>
      <c r="L65" s="41" t="s">
        <v>75</v>
      </c>
      <c r="M65" s="10"/>
      <c r="N65" s="5"/>
    </row>
    <row r="66" spans="1:14" ht="15.5" x14ac:dyDescent="0.35">
      <c r="A66" s="39" t="s">
        <v>82</v>
      </c>
      <c r="B66" s="23" t="s">
        <v>83</v>
      </c>
      <c r="C66" s="8"/>
      <c r="D66" s="8"/>
      <c r="E66" s="8"/>
      <c r="F66" s="8"/>
      <c r="G66" s="10"/>
      <c r="H66" s="25"/>
      <c r="I66" s="2"/>
      <c r="J66" s="2"/>
      <c r="K66" s="26"/>
      <c r="L66" s="41" t="s">
        <v>75</v>
      </c>
      <c r="M66" s="10"/>
      <c r="N66" s="5"/>
    </row>
    <row r="67" spans="1:14" ht="15.5" x14ac:dyDescent="0.35">
      <c r="A67" s="39" t="s">
        <v>84</v>
      </c>
      <c r="B67" s="23" t="s">
        <v>85</v>
      </c>
      <c r="C67" s="8"/>
      <c r="D67" s="8"/>
      <c r="E67" s="8"/>
      <c r="F67" s="8"/>
      <c r="G67" s="10"/>
      <c r="H67" s="25"/>
      <c r="I67" s="2"/>
      <c r="J67" s="2"/>
      <c r="K67" s="26"/>
      <c r="L67" s="41" t="s">
        <v>75</v>
      </c>
      <c r="M67" s="10"/>
      <c r="N67" s="5"/>
    </row>
    <row r="68" spans="1:14" ht="15.5" x14ac:dyDescent="0.35">
      <c r="A68" s="39" t="s">
        <v>86</v>
      </c>
      <c r="B68" s="23" t="s">
        <v>87</v>
      </c>
      <c r="C68" s="8"/>
      <c r="D68" s="8"/>
      <c r="E68" s="8"/>
      <c r="F68" s="8"/>
      <c r="G68" s="10"/>
      <c r="H68" s="25"/>
      <c r="I68" s="2"/>
      <c r="J68" s="2"/>
      <c r="K68" s="26"/>
      <c r="L68" s="41" t="s">
        <v>88</v>
      </c>
      <c r="M68" s="10"/>
      <c r="N68" s="5"/>
    </row>
    <row r="69" spans="1:14" ht="15.5" x14ac:dyDescent="0.35">
      <c r="A69" s="39" t="s">
        <v>89</v>
      </c>
      <c r="B69" s="23" t="s">
        <v>90</v>
      </c>
      <c r="C69" s="8"/>
      <c r="D69" s="8"/>
      <c r="E69" s="8"/>
      <c r="F69" s="8"/>
      <c r="G69" s="10"/>
      <c r="H69" s="25"/>
      <c r="I69" s="2"/>
      <c r="J69" s="2"/>
      <c r="K69" s="26"/>
      <c r="L69" s="41" t="s">
        <v>88</v>
      </c>
      <c r="M69" s="10"/>
      <c r="N69" s="5"/>
    </row>
    <row r="70" spans="1:14" ht="15.5" x14ac:dyDescent="0.35">
      <c r="A70" s="39" t="s">
        <v>91</v>
      </c>
      <c r="B70" s="23" t="s">
        <v>92</v>
      </c>
      <c r="C70" s="8"/>
      <c r="D70" s="8"/>
      <c r="E70" s="8"/>
      <c r="F70" s="8"/>
      <c r="G70" s="10"/>
      <c r="H70" s="25"/>
      <c r="I70" s="2"/>
      <c r="J70" s="2"/>
      <c r="K70" s="26"/>
      <c r="L70" s="41" t="s">
        <v>88</v>
      </c>
      <c r="M70" s="10"/>
      <c r="N70" s="5"/>
    </row>
    <row r="71" spans="1:14" ht="15.5" x14ac:dyDescent="0.35">
      <c r="A71" s="39" t="s">
        <v>93</v>
      </c>
      <c r="B71" s="23" t="s">
        <v>94</v>
      </c>
      <c r="C71" s="8"/>
      <c r="D71" s="8"/>
      <c r="E71" s="8"/>
      <c r="F71" s="8"/>
      <c r="G71" s="10"/>
      <c r="H71" s="25"/>
      <c r="I71" s="2"/>
      <c r="J71" s="2"/>
      <c r="K71" s="26"/>
      <c r="L71" s="41" t="s">
        <v>75</v>
      </c>
      <c r="M71" s="10"/>
      <c r="N71" s="5"/>
    </row>
    <row r="72" spans="1:14" ht="15.5" x14ac:dyDescent="0.35">
      <c r="A72" s="39" t="s">
        <v>95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39" t="s">
        <v>96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39" t="s">
        <v>97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39" t="s">
        <v>98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84.75" customHeight="1" x14ac:dyDescent="0.35">
      <c r="A76" s="37" t="s">
        <v>99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100</v>
      </c>
      <c r="B77" s="8"/>
      <c r="C77" s="8"/>
      <c r="D77" s="8"/>
      <c r="E77" s="8"/>
      <c r="F77" s="8"/>
      <c r="G77" s="10"/>
      <c r="H77" s="38" t="s">
        <v>101</v>
      </c>
      <c r="I77" s="8"/>
      <c r="J77" s="8"/>
      <c r="K77" s="10"/>
      <c r="L77" s="38" t="s">
        <v>71</v>
      </c>
      <c r="M77" s="10"/>
      <c r="N77" s="30"/>
    </row>
    <row r="78" spans="1:14" ht="15.5" hidden="1" x14ac:dyDescent="0.35">
      <c r="A78" s="39" t="s">
        <v>72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76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78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80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82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84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86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89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91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93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95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96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97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98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8" t="s">
        <v>102</v>
      </c>
      <c r="B92" s="8"/>
      <c r="C92" s="8"/>
      <c r="D92" s="8"/>
      <c r="E92" s="8"/>
      <c r="F92" s="8"/>
      <c r="G92" s="10"/>
      <c r="H92" s="38" t="s">
        <v>101</v>
      </c>
      <c r="I92" s="8"/>
      <c r="J92" s="8"/>
      <c r="K92" s="10"/>
      <c r="L92" s="38" t="s">
        <v>71</v>
      </c>
      <c r="M92" s="10"/>
      <c r="N92" s="30"/>
    </row>
    <row r="93" spans="1:14" ht="15.5" x14ac:dyDescent="0.35">
      <c r="A93" s="39" t="s">
        <v>72</v>
      </c>
      <c r="B93" s="23" t="s">
        <v>103</v>
      </c>
      <c r="C93" s="8"/>
      <c r="D93" s="8"/>
      <c r="E93" s="8"/>
      <c r="F93" s="8"/>
      <c r="G93" s="10"/>
      <c r="H93" s="40"/>
      <c r="I93" s="14"/>
      <c r="J93" s="14"/>
      <c r="K93" s="15"/>
      <c r="L93" s="41" t="s">
        <v>75</v>
      </c>
      <c r="M93" s="10"/>
      <c r="N93" s="5"/>
    </row>
    <row r="94" spans="1:14" ht="15.5" x14ac:dyDescent="0.35">
      <c r="A94" s="39" t="s">
        <v>76</v>
      </c>
      <c r="B94" s="23" t="s">
        <v>104</v>
      </c>
      <c r="C94" s="8"/>
      <c r="D94" s="8"/>
      <c r="E94" s="8"/>
      <c r="F94" s="8"/>
      <c r="G94" s="10"/>
      <c r="H94" s="25"/>
      <c r="I94" s="2"/>
      <c r="J94" s="2"/>
      <c r="K94" s="26"/>
      <c r="L94" s="41" t="s">
        <v>75</v>
      </c>
      <c r="M94" s="10"/>
      <c r="N94" s="5"/>
    </row>
    <row r="95" spans="1:14" ht="15.5" x14ac:dyDescent="0.35">
      <c r="A95" s="39" t="s">
        <v>78</v>
      </c>
      <c r="B95" s="23" t="s">
        <v>105</v>
      </c>
      <c r="C95" s="8"/>
      <c r="D95" s="8"/>
      <c r="E95" s="8"/>
      <c r="F95" s="8"/>
      <c r="G95" s="10"/>
      <c r="H95" s="25"/>
      <c r="I95" s="2"/>
      <c r="J95" s="2"/>
      <c r="K95" s="26"/>
      <c r="L95" s="41" t="s">
        <v>75</v>
      </c>
      <c r="M95" s="10"/>
      <c r="N95" s="5"/>
    </row>
    <row r="96" spans="1:14" ht="15.5" x14ac:dyDescent="0.35">
      <c r="A96" s="39" t="s">
        <v>80</v>
      </c>
      <c r="B96" s="23" t="s">
        <v>106</v>
      </c>
      <c r="C96" s="8"/>
      <c r="D96" s="8"/>
      <c r="E96" s="8"/>
      <c r="F96" s="8"/>
      <c r="G96" s="10"/>
      <c r="H96" s="25"/>
      <c r="I96" s="2"/>
      <c r="J96" s="2"/>
      <c r="K96" s="26"/>
      <c r="L96" s="41" t="s">
        <v>75</v>
      </c>
      <c r="M96" s="10"/>
      <c r="N96" s="5"/>
    </row>
    <row r="97" spans="1:14" ht="15.5" x14ac:dyDescent="0.35">
      <c r="A97" s="39" t="s">
        <v>82</v>
      </c>
      <c r="B97" s="23" t="s">
        <v>107</v>
      </c>
      <c r="C97" s="8"/>
      <c r="D97" s="8"/>
      <c r="E97" s="8"/>
      <c r="F97" s="8"/>
      <c r="G97" s="10"/>
      <c r="H97" s="25"/>
      <c r="I97" s="2"/>
      <c r="J97" s="2"/>
      <c r="K97" s="26"/>
      <c r="L97" s="41" t="s">
        <v>75</v>
      </c>
      <c r="M97" s="10"/>
      <c r="N97" s="5"/>
    </row>
    <row r="98" spans="1:14" ht="15.5" x14ac:dyDescent="0.35">
      <c r="A98" s="39" t="s">
        <v>84</v>
      </c>
      <c r="B98" s="23" t="s">
        <v>108</v>
      </c>
      <c r="C98" s="8"/>
      <c r="D98" s="8"/>
      <c r="E98" s="8"/>
      <c r="F98" s="8"/>
      <c r="G98" s="10"/>
      <c r="H98" s="25"/>
      <c r="I98" s="2"/>
      <c r="J98" s="2"/>
      <c r="K98" s="26"/>
      <c r="L98" s="41" t="s">
        <v>75</v>
      </c>
      <c r="M98" s="10"/>
      <c r="N98" s="5"/>
    </row>
    <row r="99" spans="1:14" ht="15.5" x14ac:dyDescent="0.35">
      <c r="A99" s="39" t="s">
        <v>86</v>
      </c>
      <c r="B99" s="23" t="s">
        <v>109</v>
      </c>
      <c r="C99" s="8"/>
      <c r="D99" s="8"/>
      <c r="E99" s="8"/>
      <c r="F99" s="8"/>
      <c r="G99" s="10"/>
      <c r="H99" s="25"/>
      <c r="I99" s="2"/>
      <c r="J99" s="2"/>
      <c r="K99" s="26"/>
      <c r="L99" s="41" t="s">
        <v>75</v>
      </c>
      <c r="M99" s="10"/>
      <c r="N99" s="5"/>
    </row>
    <row r="100" spans="1:14" ht="15.5" x14ac:dyDescent="0.35">
      <c r="A100" s="39" t="s">
        <v>89</v>
      </c>
      <c r="B100" s="23" t="s">
        <v>110</v>
      </c>
      <c r="C100" s="8"/>
      <c r="D100" s="8"/>
      <c r="E100" s="8"/>
      <c r="F100" s="8"/>
      <c r="G100" s="10"/>
      <c r="H100" s="25"/>
      <c r="I100" s="2"/>
      <c r="J100" s="2"/>
      <c r="K100" s="26"/>
      <c r="L100" s="41" t="s">
        <v>75</v>
      </c>
      <c r="M100" s="10"/>
      <c r="N100" s="5"/>
    </row>
    <row r="101" spans="1:14" ht="15.5" x14ac:dyDescent="0.35">
      <c r="A101" s="39" t="s">
        <v>91</v>
      </c>
      <c r="B101" s="23" t="s">
        <v>111</v>
      </c>
      <c r="C101" s="8"/>
      <c r="D101" s="8"/>
      <c r="E101" s="8"/>
      <c r="F101" s="8"/>
      <c r="G101" s="10"/>
      <c r="H101" s="25"/>
      <c r="I101" s="2"/>
      <c r="J101" s="2"/>
      <c r="K101" s="26"/>
      <c r="L101" s="41" t="s">
        <v>75</v>
      </c>
      <c r="M101" s="10"/>
      <c r="N101" s="5"/>
    </row>
    <row r="102" spans="1:14" ht="15.5" x14ac:dyDescent="0.35">
      <c r="A102" s="39" t="s">
        <v>93</v>
      </c>
      <c r="B102" s="23" t="s">
        <v>112</v>
      </c>
      <c r="C102" s="8"/>
      <c r="D102" s="8"/>
      <c r="E102" s="8"/>
      <c r="F102" s="8"/>
      <c r="G102" s="10"/>
      <c r="H102" s="25"/>
      <c r="I102" s="2"/>
      <c r="J102" s="2"/>
      <c r="K102" s="26"/>
      <c r="L102" s="41" t="s">
        <v>75</v>
      </c>
      <c r="M102" s="10"/>
      <c r="N102" s="5"/>
    </row>
    <row r="103" spans="1:14" ht="15.5" x14ac:dyDescent="0.35">
      <c r="A103" s="39" t="s">
        <v>95</v>
      </c>
      <c r="B103" s="23" t="s">
        <v>113</v>
      </c>
      <c r="C103" s="8"/>
      <c r="D103" s="8"/>
      <c r="E103" s="8"/>
      <c r="F103" s="8"/>
      <c r="G103" s="10"/>
      <c r="H103" s="25"/>
      <c r="I103" s="2"/>
      <c r="J103" s="2"/>
      <c r="K103" s="26"/>
      <c r="L103" s="41" t="s">
        <v>75</v>
      </c>
      <c r="M103" s="10"/>
      <c r="N103" s="5"/>
    </row>
    <row r="104" spans="1:14" ht="15.5" x14ac:dyDescent="0.35">
      <c r="A104" s="39" t="s">
        <v>96</v>
      </c>
      <c r="B104" s="23" t="s">
        <v>114</v>
      </c>
      <c r="C104" s="8"/>
      <c r="D104" s="8"/>
      <c r="E104" s="8"/>
      <c r="F104" s="8"/>
      <c r="G104" s="10"/>
      <c r="H104" s="25"/>
      <c r="I104" s="2"/>
      <c r="J104" s="2"/>
      <c r="K104" s="26"/>
      <c r="L104" s="41" t="s">
        <v>75</v>
      </c>
      <c r="M104" s="10"/>
      <c r="N104" s="5"/>
    </row>
    <row r="105" spans="1:14" ht="15.5" x14ac:dyDescent="0.35">
      <c r="A105" s="39" t="s">
        <v>97</v>
      </c>
      <c r="B105" s="23" t="s">
        <v>115</v>
      </c>
      <c r="C105" s="8"/>
      <c r="D105" s="8"/>
      <c r="E105" s="8"/>
      <c r="F105" s="8"/>
      <c r="G105" s="10"/>
      <c r="H105" s="25"/>
      <c r="I105" s="2"/>
      <c r="J105" s="2"/>
      <c r="K105" s="26"/>
      <c r="L105" s="41" t="s">
        <v>75</v>
      </c>
      <c r="M105" s="10"/>
      <c r="N105" s="5"/>
    </row>
    <row r="106" spans="1:14" ht="15.5" x14ac:dyDescent="0.35">
      <c r="A106" s="39" t="s">
        <v>98</v>
      </c>
      <c r="B106" s="23" t="s">
        <v>116</v>
      </c>
      <c r="C106" s="8"/>
      <c r="D106" s="8"/>
      <c r="E106" s="8"/>
      <c r="F106" s="8"/>
      <c r="G106" s="10"/>
      <c r="H106" s="24"/>
      <c r="I106" s="18"/>
      <c r="J106" s="18"/>
      <c r="K106" s="19"/>
      <c r="L106" s="41" t="s">
        <v>75</v>
      </c>
      <c r="M106" s="10"/>
      <c r="N106" s="5"/>
    </row>
    <row r="107" spans="1:14" ht="24" hidden="1" customHeight="1" x14ac:dyDescent="0.35">
      <c r="A107" s="38" t="s">
        <v>117</v>
      </c>
      <c r="B107" s="8"/>
      <c r="C107" s="8"/>
      <c r="D107" s="8"/>
      <c r="E107" s="8"/>
      <c r="F107" s="8"/>
      <c r="G107" s="10"/>
      <c r="H107" s="38" t="s">
        <v>101</v>
      </c>
      <c r="I107" s="8"/>
      <c r="J107" s="8"/>
      <c r="K107" s="10"/>
      <c r="L107" s="38" t="s">
        <v>71</v>
      </c>
      <c r="M107" s="10"/>
      <c r="N107" s="30"/>
    </row>
    <row r="108" spans="1:14" ht="15.5" hidden="1" x14ac:dyDescent="0.35">
      <c r="A108" s="39" t="s">
        <v>72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76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78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80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82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84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86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89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91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93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95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96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97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98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118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119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120</v>
      </c>
      <c r="B125" s="43" t="s">
        <v>121</v>
      </c>
      <c r="C125" s="8"/>
      <c r="D125" s="8"/>
      <c r="E125" s="8"/>
      <c r="F125" s="8"/>
      <c r="G125" s="10"/>
      <c r="H125" s="43" t="s">
        <v>122</v>
      </c>
      <c r="I125" s="8"/>
      <c r="J125" s="8"/>
      <c r="K125" s="10"/>
      <c r="L125" s="44" t="s">
        <v>123</v>
      </c>
      <c r="M125" s="10"/>
      <c r="N125" s="5"/>
    </row>
    <row r="126" spans="1:14" ht="32.25" customHeight="1" x14ac:dyDescent="0.35">
      <c r="A126" s="45" t="s">
        <v>124</v>
      </c>
      <c r="B126" s="46" t="s">
        <v>125</v>
      </c>
      <c r="C126" s="14"/>
      <c r="D126" s="14"/>
      <c r="E126" s="14"/>
      <c r="F126" s="14"/>
      <c r="G126" s="15"/>
      <c r="H126" s="47" t="s">
        <v>126</v>
      </c>
      <c r="I126" s="14"/>
      <c r="J126" s="14"/>
      <c r="K126" s="48" t="s">
        <v>127</v>
      </c>
      <c r="L126" s="49">
        <f>1-SUM(L129:M131)</f>
        <v>0.5</v>
      </c>
      <c r="M126" s="15"/>
      <c r="N126" s="5"/>
    </row>
    <row r="127" spans="1:14" ht="27" customHeight="1" x14ac:dyDescent="0.35">
      <c r="A127" s="50"/>
      <c r="B127" s="25"/>
      <c r="C127" s="2"/>
      <c r="D127" s="2"/>
      <c r="E127" s="2"/>
      <c r="F127" s="2"/>
      <c r="G127" s="26"/>
      <c r="H127" s="25"/>
      <c r="I127" s="2"/>
      <c r="J127" s="2"/>
      <c r="K127" s="50"/>
      <c r="L127" s="25"/>
      <c r="M127" s="26"/>
      <c r="N127" s="5"/>
    </row>
    <row r="128" spans="1:14" ht="36.75" customHeight="1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8"/>
      <c r="K128" s="35"/>
      <c r="L128" s="24"/>
      <c r="M128" s="19"/>
      <c r="N128" s="5"/>
    </row>
    <row r="129" spans="1:14" ht="68.25" hidden="1" customHeight="1" x14ac:dyDescent="0.35">
      <c r="A129" s="42" t="s">
        <v>128</v>
      </c>
      <c r="B129" s="51" t="s">
        <v>129</v>
      </c>
      <c r="C129" s="8"/>
      <c r="D129" s="8"/>
      <c r="E129" s="8"/>
      <c r="F129" s="8"/>
      <c r="G129" s="10"/>
      <c r="H129" s="51" t="s">
        <v>130</v>
      </c>
      <c r="I129" s="8"/>
      <c r="J129" s="8"/>
      <c r="K129" s="10"/>
      <c r="L129" s="52"/>
      <c r="M129" s="10"/>
      <c r="N129" s="5"/>
    </row>
    <row r="130" spans="1:14" ht="46.5" x14ac:dyDescent="0.35">
      <c r="A130" s="42" t="s">
        <v>131</v>
      </c>
      <c r="B130" s="51" t="s">
        <v>132</v>
      </c>
      <c r="C130" s="8"/>
      <c r="D130" s="8"/>
      <c r="E130" s="8"/>
      <c r="F130" s="8"/>
      <c r="G130" s="10"/>
      <c r="H130" s="51" t="s">
        <v>133</v>
      </c>
      <c r="I130" s="8"/>
      <c r="J130" s="8"/>
      <c r="K130" s="10"/>
      <c r="L130" s="52">
        <v>0.5</v>
      </c>
      <c r="M130" s="10"/>
      <c r="N130" s="5"/>
    </row>
    <row r="131" spans="1:14" ht="31" hidden="1" x14ac:dyDescent="0.35">
      <c r="A131" s="42" t="s">
        <v>134</v>
      </c>
      <c r="B131" s="53" t="s">
        <v>135</v>
      </c>
      <c r="C131" s="8"/>
      <c r="D131" s="8"/>
      <c r="E131" s="8"/>
      <c r="F131" s="8"/>
      <c r="G131" s="10"/>
      <c r="H131" s="51" t="s">
        <v>136</v>
      </c>
      <c r="I131" s="8"/>
      <c r="J131" s="8"/>
      <c r="K131" s="10"/>
      <c r="L131" s="52"/>
      <c r="M131" s="10"/>
      <c r="N131" s="5"/>
    </row>
    <row r="132" spans="1:14" ht="15.5" x14ac:dyDescent="0.35">
      <c r="A132" s="43" t="s">
        <v>137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4" t="s">
        <v>138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5" t="s">
        <v>139</v>
      </c>
      <c r="B135" s="10"/>
      <c r="C135" s="56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5" t="s">
        <v>140</v>
      </c>
      <c r="B137" s="10"/>
      <c r="C137" s="9" t="str">
        <f>E15</f>
        <v>Prof.dr.ing. Adrian Burlacu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7" t="s">
        <v>141</v>
      </c>
      <c r="B139" s="15"/>
      <c r="C139" s="9" t="str">
        <f t="shared" ref="C139:C141" si="0">E17</f>
        <v>Asist.drd.ing. Alexandru Florian Brașoveanu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Ing. Adelina-Nicoleta Cobuz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5" t="s">
        <v>142</v>
      </c>
      <c r="B143" s="10"/>
      <c r="C143" s="58">
        <f>[1]Date!C35</f>
        <v>45915</v>
      </c>
      <c r="D143" s="10"/>
      <c r="E143" s="55" t="s">
        <v>143</v>
      </c>
      <c r="F143" s="8"/>
      <c r="G143" s="10"/>
      <c r="H143" s="59" t="str">
        <f>[1]Date!C37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0"/>
      <c r="B144" s="60"/>
      <c r="C144" s="61"/>
      <c r="D144" s="61"/>
      <c r="E144" s="60"/>
      <c r="F144" s="60"/>
      <c r="G144" s="60"/>
      <c r="H144" s="61"/>
      <c r="I144" s="61"/>
      <c r="J144" s="61"/>
      <c r="K144" s="61"/>
      <c r="L144" s="61"/>
      <c r="M144" s="61"/>
      <c r="N144" s="5"/>
    </row>
    <row r="145" spans="1:14" ht="28.5" customHeight="1" x14ac:dyDescent="0.35">
      <c r="A145" s="55" t="s">
        <v>144</v>
      </c>
      <c r="B145" s="10"/>
      <c r="C145" s="58">
        <f>[1]Date!C36</f>
        <v>45918</v>
      </c>
      <c r="D145" s="10"/>
      <c r="E145" s="55" t="s">
        <v>145</v>
      </c>
      <c r="F145" s="8"/>
      <c r="G145" s="10"/>
      <c r="H145" s="59" t="str">
        <f>[1]Date!C38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2026-03-01T09:15:25Z</dcterms:created>
  <dcterms:modified xsi:type="dcterms:W3CDTF">2026-03-01T09:15:28Z</dcterms:modified>
</cp:coreProperties>
</file>