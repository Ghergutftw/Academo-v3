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A3A04C6F-43F5-4303-917F-F1CEE7BC553D}" xr6:coauthVersionLast="47" xr6:coauthVersionMax="47" xr10:uidLastSave="{00000000-0000-0000-0000-000000000000}"/>
  <bookViews>
    <workbookView xWindow="-110" yWindow="-110" windowWidth="25820" windowHeight="15500" xr2:uid="{7D745E5B-1122-4BE6-BFBC-70DD809F3B3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36" i="1" a="1"/>
  <c r="C36" i="1" s="1"/>
  <c r="C23" i="1"/>
  <c r="C9" i="1"/>
  <c r="C8" i="1"/>
  <c r="C7" i="1"/>
  <c r="A2" i="1"/>
  <c r="M14" i="1" a="1"/>
  <c r="M14" i="1" s="1"/>
  <c r="K26" i="1" a="1"/>
  <c r="K26" i="1" s="1"/>
  <c r="K27" i="1" s="1"/>
  <c r="E13" i="1" l="1" a="1"/>
  <c r="E13" i="1" s="1"/>
  <c r="G26" i="1" a="1"/>
  <c r="G26" i="1" s="1"/>
  <c r="G27" i="1" s="1"/>
  <c r="E14" i="1" a="1"/>
  <c r="E14" i="1" s="1"/>
  <c r="I26" i="1" a="1"/>
  <c r="I26" i="1" s="1"/>
  <c r="I27" i="1" s="1"/>
  <c r="E23" i="1" a="1"/>
  <c r="E23" i="1" s="1"/>
  <c r="I23" i="1" a="1"/>
  <c r="I23" i="1" s="1"/>
  <c r="M23" i="1" a="1"/>
  <c r="M23" i="1" s="1"/>
  <c r="M32" i="1" a="1"/>
  <c r="M32" i="1" s="1"/>
  <c r="E26" i="1" a="1"/>
  <c r="E26" i="1" s="1"/>
  <c r="C34" i="1" a="1"/>
  <c r="C34" i="1" s="1"/>
  <c r="M33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2F4D902D-A622-405A-AD40-6C5501BA8658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<sst xmlns="http://schemas.openxmlformats.org/spreadsheetml/2006/main" count="213" uniqueCount="150">
  <si>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</si>
  <si>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</si>
  <si>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</si>
  <si>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</si>
  <si>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</si>
  <si>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</si>
  <si>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</si>
  <si>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</si>
  <si>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</si>
  <si>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</si>
  <si>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</si>
  <si>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</si>
  <si>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</si>
  <si>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Ingineria sistemelor de programe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</si>
  <si>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</si>
  <si>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</si>
  <si>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</si>
  <si>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</si>
  <si>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Șef lucrări dr.ing. Silviu Florin Ostafi</t>
  </si>
  <si>
    <t>2.3 Titularul / titularii activităţilor de aplicaţii (S, L, P, Pr)</t>
  </si>
  <si>
    <t>Asist.drd.Ing.  Aura Ganciu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</si>
  <si>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</si>
  <si>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</si>
  <si>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</si>
  <si>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</si>
  <si>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</si>
  <si>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</si>
  <si>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</si>
  <si>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</si>
  <si>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</si>
  <si>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</si>
  <si>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</si>
  <si>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</si>
  <si>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</si>
  <si>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</si>
  <si>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</si>
  <si>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</si>
  <si>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</si>
  <si>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</si>
  <si>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</si>
  <si>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</si>
  <si>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</si>
  <si>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</si>
  <si>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</si>
  <si>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</si>
  <si>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</si>
  <si>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</si>
  <si>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</si>
  <si>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</si>
  <si>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</si>
  <si>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</si>
  <si>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</si>
  <si>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Programarea calculatoarelor II, AIA205 - Principiile de bază ale POO, Moștenire, polimorfism, Design patterns</t>
  </si>
  <si>
    <t>5. Condiţii</t>
  </si>
  <si>
    <t>5.1 de desfăşurare a cursului</t>
  </si>
  <si>
    <t>Cursul se desfășoară într-o sală echipată cu videoproiector</t>
  </si>
  <si>
    <t>5.2 de desfăşurare a seminarului / laboratorului / proiectului</t>
  </si>
  <si>
    <t>Laboratorul se desfășoară într-o sală echipată cu rețea de calculatoare și videoproiector</t>
  </si>
  <si>
    <t>6. Obiectivul general al disciplinei</t>
  </si>
  <si>
    <t>Prezentarea unei abordări sistematice în dezvoltarea sistemelor de programe: aspecte legate modelare, analiză, proiectare, implementare, testare şi estimarea costurilor</t>
  </si>
  <si>
    <t>7. Rezultatele învățării</t>
  </si>
  <si>
    <t>Cunoștințe</t>
  </si>
  <si>
    <t>Studentul / Absolventul:</t>
  </si>
  <si>
    <t>- Explică modelele de dezvoltare software și caracteristicile acestora în diferite contexte de proiect
- Indică etapele procesului de inginerie a cerințelor și tipurile de cerințe software
- Identifică diagramele UML utilizate în modelarea funcțională, statică și dinamică a sistemelor software
- Distinge între conceptele de proiectare arhitecturală și detaliată în cadrul ciclului de viață al unui sistem software
- Descrie metodele de testare software, tehnicile de estimare a costurilor și efortului de dezvoltare, tehnicile utilizate în întreţinerea sistemelor software</t>
  </si>
  <si>
    <t>Aptitudini</t>
  </si>
  <si>
    <t>- Construiește modele UML relevante pentru descrierea funcționalităților și comportamentului unui sistem software
- Structurează un sistem software folosind principii de proiectare modulară și arhitecturi standard
- Aplică tehnici de extragere, documentare și validare a cerințelor într-un proiect software
- Identifică cazuri de testare pentru validarea funcționalității sistemelor software
- Analizează tehnici de estimare pentru planificarea costurilor și duratei unui proiect software</t>
  </si>
  <si>
    <t>Responsabilitate și autonomie</t>
  </si>
  <si>
    <t>- Demonstrează responsabilitate în respectarea termenelor și standardelor de calitate în cadrul proiectelor software
- Urmărește principiile etice ale profesiei în redactarea documentației, evaluarea cerințelor și furnizarea de soluții
- Apreciază importanța colaborării în echipă în toate etapele procesului de dezvoltare software
- Manifestă inițiativă în investigarea și documentarea unor soluții tehnice alternative în cadrul proiectelor software</t>
  </si>
  <si>
    <t xml:space="preserve">8. Metode de predare </t>
  </si>
  <si>
    <t xml:space="preserve">Prezentarea cu videoproiectorul  a materialelor de curs în format Power Point
Stimularea unui dialog permanent cu studenţii, ca mecanism de fixare a informaţiilor transmise în cadrul prelegerii
Realizarea de legături cu alte discipline de la ciclul de licență
</t>
  </si>
  <si>
    <t>9. Conţinuturi</t>
  </si>
  <si>
    <t>9.1. Curs</t>
  </si>
  <si>
    <t>Metode de predare</t>
  </si>
  <si>
    <t>Timp alocat</t>
  </si>
  <si>
    <t>1</t>
  </si>
  <si>
    <t>Introducere. Modele de dezvoltare a sistemelor de programe: modelul cascadă, prototipizarea, modelul incremental, modelul în spirală, modelul RUP</t>
  </si>
  <si>
    <t xml:space="preserve">Prezentarea cu videoproiectorul  a materialelor de curs în format Power Point
Stimularea unui dialog permanent cu studenţii, ca mecanism de fixare a informaţiilor transmise în cadrul prelegerii
Realizarea de legături cu alte discipline de la ciclul de licență
Observații:
- Cursul se actualizează periodic
- Notele de curs sunt disponibile în format electronic la adresa edu.tuiasi.ro
</t>
  </si>
  <si>
    <t>2 ore</t>
  </si>
  <si>
    <t>2</t>
  </si>
  <si>
    <t>Ingineria cerinţelor: procese, extragerea cerinţelor, documentul cerinţelor utilizatorilor, metode de specificare a cerinţelor software</t>
  </si>
  <si>
    <t>3</t>
  </si>
  <si>
    <t>Modelarea şi analiza sistemelor software utilizând UML. Modelarea funcţionalităţilor: Diagrama cazurilor de utilizare (identificare actori, identificare cazuri de utilizare, documentare cazuri de utilizare, relații de dependență și generalizare, specificarea cerințelor non-funcționale, pachete), Diagrama de activități (noduri, tranziții, bucle, bare de sincronizare, swimlanes)</t>
  </si>
  <si>
    <t>4</t>
  </si>
  <si>
    <t>Modelarea şi analiza sistemelor software utilizând UML. Modelarea statică: Diagrama de clase (relații de asociere, relaţii de agregare şi compoziţie, relaţia de generalizare), Modelarea statică a domeniului problemei, Modelarea statică a contextului problemei. Modelarea claselor externe</t>
  </si>
  <si>
    <t>5</t>
  </si>
  <si>
    <t>Modelarea şi analiza sistemelor software utilizând UML. Modelarea statică: Structurarea claselor şi obiectelor</t>
  </si>
  <si>
    <t>6</t>
  </si>
  <si>
    <t>Modelarea şi analiza sistemelor software utilizând UML. Modelarea intercațiunilor dinamice: diagrama de comunicare, diagrama de secvență. Modelarea interacţiunilor independente de stare. Diagrama de stări. Modelarea interacţiunilor dinamice dependente de stare</t>
  </si>
  <si>
    <t>7</t>
  </si>
  <si>
    <t>Modelarea şi analiza sistemelor software utilizând UML. Studiu de caz: Sistem bancar cu reţea de ATM-uri</t>
  </si>
  <si>
    <t>8</t>
  </si>
  <si>
    <t>Exprimarea constrangerilor in OCL: invarianți, pre-condiţii şi post-condiţii, tipuri și valori de bază, obiecte și proprietăți, valori precedente în post-condiţii, operaţii asupra colecţiilor</t>
  </si>
  <si>
    <t>9</t>
  </si>
  <si>
    <t>Proiectarea sistemelor software. Proiectarea arhitecturală. Perspectiva structurală a arhitecturii software. Diagrama de plasare. Pattern-uri arhitecturale. Proiectarea interfeţelor. Proiectarea subsistemelor software. Proiectarea arhitecturilor orientate obiect</t>
  </si>
  <si>
    <t>10</t>
  </si>
  <si>
    <t>Proiectarea sistemelor software. Proiectarea arhitecturilor client/server. Proiectarea arhitecturilor orientate pe servicii</t>
  </si>
  <si>
    <t>11</t>
  </si>
  <si>
    <t>Proiectarea sistemelor software. Studiu de caz: Sistem bancar cu reţea de ATM-uri</t>
  </si>
  <si>
    <t>12</t>
  </si>
  <si>
    <t>Testarea sistemelor software. Tipuri de teste software. Testarea funcţională (tabele de decizie, grafuri cauză-efect, testare la limită, testarea exhaustivă), Testarea structurală (la nivel de instrucţiune, la nivel de ramură, la nivel de cale) Testarea regresivă , Testarea la integrare</t>
  </si>
  <si>
    <t>13</t>
  </si>
  <si>
    <t>Estimarea costurilor sistemelor software. Modele bazate pe analiza punctelor funcţionale, Modelul COCOMO, Metoda Delphi</t>
  </si>
  <si>
    <t>14</t>
  </si>
  <si>
    <t>Întreținerea sistemelor software. Activităţile fazei de întreţinere. Modele de întreţinere. Mentenabilitatea sistemelor software. Tehnici şi instrumente utilizate în întreţinerea sistemelor software. Reînnoirea sistemelor software</t>
  </si>
  <si>
    <t xml:space="preserve">Bibliografie curs:
1. F. Ostafi, Ingineria sistemelor de programe - Note de curs, edu.tuiasi.ro
2. S. L. Pfleeger, (1998), “Software engineering. Theory and practice”, Prentice Hall
3. J. F. Peters, W. Pedrycz, (2000), “Software engineering. An engineering Approach”, J.Wiley&amp;Sons
Hassan Gomaa, (2011), „Software Modeling and Design: UML, Use Cases, Patterns, And Software Architectures”, Cambridge University Press, 1 edition
4. J. Rumbaugh, I. Jacobson, G. Booch, (2005), „The Unified Modeling Language Reference manual, 2nd  Edition”, Addison Wesley
5. S. Bennet, S. McRobb, R. Farmer, (2002) “Object-Oriented Systems Analysis and Design Using UML, (2th ed)”, McGraw-Hill
</t>
  </si>
  <si>
    <t>9.2a Seminar</t>
  </si>
  <si>
    <t>Metode de lucru</t>
  </si>
  <si>
    <t>9.2b Laborator</t>
  </si>
  <si>
    <t>Modele de dezvoltare</t>
  </si>
  <si>
    <t xml:space="preserve">Prezentarea pe scurt a aspectelor teoretice care sunt însoțite de numeroase exemple – materiale în format PDF
Propunerea de probleme spre rezolvare
Observații:
- Materialele sunt disponibile în format electronic la adresa edu.tuiasi.ro
- Se utilizează instrumente de modelare ce nu necesită achiziţionarea de licențe
</t>
  </si>
  <si>
    <t>Ingineria cerintelor</t>
  </si>
  <si>
    <t>Modelarea funcționalităților. Diagrama cazurilor de utilizare</t>
  </si>
  <si>
    <t>Modelarea functionalitatilor. Diagrama de activitati</t>
  </si>
  <si>
    <t>Modelarea statica I. Diagrama de clase. Modelarea statică a domeniului problemei. Modelarea statică a contextului problemei. Modelarea claselor externe</t>
  </si>
  <si>
    <t>Modelarea statica II.Structurarea claselor și obiectelor</t>
  </si>
  <si>
    <t>Modelarea interacțiunilor dinamice. Diagrame de interacţiuni. Modelarea interacțiunilor independente de stare</t>
  </si>
  <si>
    <t>Modelarea interacțiunilor dinamice dependente de stare. Diagrama de stări</t>
  </si>
  <si>
    <t>Exprimarea constrângerilor în OCL - I</t>
  </si>
  <si>
    <t>Exprimarea constrângerilor în OCL - II</t>
  </si>
  <si>
    <t>Proiectarea sistemelor software</t>
  </si>
  <si>
    <t>Testarea sistemelor software</t>
  </si>
  <si>
    <t>Estimarea costurilor sistemelor software</t>
  </si>
  <si>
    <t>Studiu de caz - problema liftului</t>
  </si>
  <si>
    <t>9.2c Proiect</t>
  </si>
  <si>
    <r>
      <rPr>
        <sz val="12"/>
        <rFont val="Arial"/>
      </rPr>
      <t xml:space="preserve">Bibliografie aplicaţii (seminar / laborator / proiect):
1. F. Ostafi, Ingineria sistemelor de programe - Referate de laborator, </t>
    </r>
    <r>
      <rPr>
        <u/>
        <sz val="12"/>
        <color rgb="FF1155CC"/>
        <rFont val="Arial"/>
      </rPr>
      <t>edu.tuiasi.ro</t>
    </r>
    <r>
      <rPr>
        <sz val="12"/>
        <rFont val="Arial"/>
      </rPr>
      <t xml:space="preserve">
2. J. F. Peters, W. Pedrycz, (2000), “Software engineering. An engineering Approach”, J.Wiley&amp;Sons.
3. Hassan Gomaa, (2011), „Software Modeling and Design: UML, Use Cases, Patterns, And Software Architectures”, Cambridge University Press, 1 edition.
4. J. Rumbaugh, I. Jacobson, G. Booch, (2005), „The Unified Modeling Language Reference manual, 2nd Ed.”, Addison Wesley.
5. S. Bennet, S. McRobb, R. Farmer, (2002) “Object-Oriented Systems Analysis and Design Using UML, (2th ed)”, McGraw-Hill.
</t>
    </r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</si>
  <si>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</si>
  <si>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</si>
  <si>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</si>
  <si>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</si>
  <si>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</si>
  <si>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</si>
  <si>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Coerenţa logică, fluenţa, forţa de argumentare. 
Capacitatea de analiză, de interpretare personală, originalitatea, creativitatea. 
Gradul de asimilare a limbajului de specialitate şi capacitatea de comunicare.
Capacitatea de a valorifica abilităţile dobândite.
Capacitatea de a prelucra datele și problemele enunțate.</t>
  </si>
  <si>
    <t>- test de evaluare sumativ (verificare finală) pe platforma Moodle, fără acces la documentaţie (teorie și probleme)</t>
  </si>
  <si>
    <t>100%</t>
  </si>
  <si>
    <t>10.5a Seminar</t>
  </si>
  <si>
    <t>Capacitatea de aplicare în practică a cunoştinţelor învăţate. Capacitatea de analiză, de interpretare personală, originalitatea, creativitatea.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</si>
  <si>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</si>
  <si>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</si>
  <si>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 xml:space="preserve">- realizarea lucrărilor de laborator (toate lucrările de laborator trebuie efectuate, admiţându-se recuperarea doar a unei lucrări de laborator restante);
</t>
  </si>
  <si>
    <t>10.5c Proiect</t>
  </si>
  <si>
    <t>Participarea la activitatea de proicetare, capacitatea de documentare, aplicarea cunoștințelor în activitatea de proiectare.</t>
  </si>
  <si>
    <t>10.6 Condiții de promovare</t>
  </si>
  <si>
    <t>Rezultatul evaluării finale la o disciplină rezultă prin considerarea punctajelor și ponderilor alocate fiecărei activităţi din cadrul disciplinei. Se vor acorda note întregi de la 10 la 1, nota 5 certificând dobândirea rezultatelor învăţării minimale aferente unei discipline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</si>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</sst>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u/>
      <sz val="12"/>
      <color rgb="FF0000FF"/>
      <name val="Arial"/>
    </font>
    <font>
      <sz val="12"/>
      <name val="Arial"/>
    </font>
    <font>
      <u/>
      <sz val="12"/>
      <color rgb="FF1155CC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top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13" xfId="0" applyNumberFormat="1" applyFont="1" applyFill="1" applyBorder="1" applyAlignment="1">
      <alignment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0" borderId="1" xfId="0" applyNumberFormat="1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3.xlsx" TargetMode="External"/><Relationship Id="rId1" Type="http://schemas.openxmlformats.org/officeDocument/2006/relationships/externalLinkPath" Target="/Users/Madalin/Downloads/FD%20AIA%20-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TS"/>
      <sheetName val="SMP"/>
      <sheetName val="SAE"/>
      <sheetName val="BD"/>
      <sheetName val="ROB"/>
      <sheetName val="SED"/>
      <sheetName val="IS"/>
      <sheetName val="AC"/>
      <sheetName val="LE III"/>
      <sheetName val="PD"/>
      <sheetName val="PS"/>
      <sheetName val="MAE"/>
      <sheetName val="EHP"/>
      <sheetName val="ISP"/>
      <sheetName val="PIP"/>
      <sheetName val="SVA"/>
      <sheetName val="SAIP"/>
      <sheetName val="PNS"/>
      <sheetName val="MAP"/>
      <sheetName val="SAE-Pr"/>
      <sheetName val="SAIP-Pr"/>
      <sheetName val="PIP-Pr"/>
      <sheetName val="EA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3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Teoria sistemelor</v>
          </cell>
          <cell r="D8" t="str">
            <v>Systems Theory</v>
          </cell>
          <cell r="E8" t="str">
            <v>AIA301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Sisteme cu microprocesoare</v>
          </cell>
          <cell r="D9" t="str">
            <v>Microprocessor Based Systems</v>
          </cell>
          <cell r="E9" t="str">
            <v>AIA302</v>
          </cell>
          <cell r="F9" t="str">
            <v>DI</v>
          </cell>
          <cell r="G9" t="str">
            <v>DD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69</v>
          </cell>
          <cell r="M9" t="str">
            <v>C</v>
          </cell>
          <cell r="N9">
            <v>5</v>
          </cell>
        </row>
        <row r="10">
          <cell r="A10">
            <v>1</v>
          </cell>
          <cell r="C10" t="str">
            <v>Sisteme automate cu eșantionare</v>
          </cell>
          <cell r="D10" t="str">
            <v>Sampled Data Control Systems</v>
          </cell>
          <cell r="E10" t="str">
            <v>AIA303</v>
          </cell>
          <cell r="F10" t="str">
            <v>DI</v>
          </cell>
          <cell r="G10" t="str">
            <v>DD</v>
          </cell>
          <cell r="H10">
            <v>2</v>
          </cell>
          <cell r="I10">
            <v>0</v>
          </cell>
          <cell r="J10">
            <v>2</v>
          </cell>
          <cell r="K10">
            <v>0</v>
          </cell>
          <cell r="L10">
            <v>44</v>
          </cell>
          <cell r="M10" t="str">
            <v>C</v>
          </cell>
          <cell r="N10">
            <v>4</v>
          </cell>
        </row>
        <row r="11">
          <cell r="A11">
            <v>1</v>
          </cell>
          <cell r="C11" t="str">
            <v>Baze de date</v>
          </cell>
          <cell r="D11" t="str">
            <v>Database Systems</v>
          </cell>
          <cell r="E11" t="str">
            <v>AIA304</v>
          </cell>
          <cell r="F11" t="str">
            <v>DI</v>
          </cell>
          <cell r="G11" t="str">
            <v>DD</v>
          </cell>
          <cell r="H11">
            <v>2</v>
          </cell>
          <cell r="I11">
            <v>0</v>
          </cell>
          <cell r="J11">
            <v>2</v>
          </cell>
          <cell r="K11">
            <v>0</v>
          </cell>
          <cell r="L11">
            <v>69</v>
          </cell>
          <cell r="M11" t="str">
            <v>E</v>
          </cell>
          <cell r="N11">
            <v>5</v>
          </cell>
        </row>
        <row r="12">
          <cell r="A12">
            <v>2</v>
          </cell>
          <cell r="C12" t="str">
            <v>Robotică</v>
          </cell>
          <cell r="D12" t="str">
            <v>Robotics</v>
          </cell>
          <cell r="E12" t="str">
            <v>AIA305</v>
          </cell>
          <cell r="F12" t="str">
            <v>DI</v>
          </cell>
          <cell r="G12" t="str">
            <v>DD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44</v>
          </cell>
          <cell r="M12" t="str">
            <v>E</v>
          </cell>
          <cell r="N12">
            <v>4</v>
          </cell>
        </row>
        <row r="13">
          <cell r="A13">
            <v>2</v>
          </cell>
          <cell r="C13" t="str">
            <v>Sisteme cu evenimente discrete</v>
          </cell>
          <cell r="D13" t="str">
            <v>Discrete Event Systems</v>
          </cell>
          <cell r="E13" t="str">
            <v>AIA306</v>
          </cell>
          <cell r="F13" t="str">
            <v>DI</v>
          </cell>
          <cell r="G13" t="str">
            <v>DD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19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Identificarea sistemelor</v>
          </cell>
          <cell r="D14" t="str">
            <v>Systems Identification</v>
          </cell>
          <cell r="E14" t="str">
            <v>AIA307</v>
          </cell>
          <cell r="F14" t="str">
            <v>DI</v>
          </cell>
          <cell r="G14" t="str">
            <v>DD</v>
          </cell>
          <cell r="H14">
            <v>2</v>
          </cell>
          <cell r="I14">
            <v>0</v>
          </cell>
          <cell r="J14">
            <v>2</v>
          </cell>
          <cell r="K14">
            <v>0</v>
          </cell>
          <cell r="L14">
            <v>44</v>
          </cell>
          <cell r="M14" t="str">
            <v>E</v>
          </cell>
          <cell r="N14">
            <v>4</v>
          </cell>
        </row>
        <row r="15">
          <cell r="A15">
            <v>2</v>
          </cell>
          <cell r="C15" t="str">
            <v>Arhitecturi de calculatoare</v>
          </cell>
          <cell r="D15" t="str">
            <v>Computer Architectures</v>
          </cell>
          <cell r="E15" t="str">
            <v>AIA308</v>
          </cell>
          <cell r="F15" t="str">
            <v>DI</v>
          </cell>
          <cell r="G15" t="str">
            <v>DD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19</v>
          </cell>
          <cell r="M15" t="str">
            <v>C</v>
          </cell>
          <cell r="N15">
            <v>3</v>
          </cell>
        </row>
        <row r="16">
          <cell r="A16">
            <v>1</v>
          </cell>
          <cell r="C16" t="str">
            <v>Limba engleză III</v>
          </cell>
          <cell r="D16" t="str">
            <v>The English Language III</v>
          </cell>
          <cell r="E16" t="str">
            <v>AIA309</v>
          </cell>
          <cell r="F16" t="str">
            <v>DI</v>
          </cell>
          <cell r="G16" t="str">
            <v>DC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22</v>
          </cell>
          <cell r="M16" t="str">
            <v>C</v>
          </cell>
          <cell r="N16">
            <v>2</v>
          </cell>
        </row>
        <row r="17">
          <cell r="A17">
            <v>2</v>
          </cell>
          <cell r="C17" t="str">
            <v>Practică de domeniu</v>
          </cell>
          <cell r="D17" t="str">
            <v>Practical Training in Systems Engineering</v>
          </cell>
          <cell r="E17" t="str">
            <v>AIA310</v>
          </cell>
          <cell r="F17" t="str">
            <v>DI</v>
          </cell>
          <cell r="G17" t="str">
            <v>DD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</v>
          </cell>
          <cell r="M17" t="str">
            <v>C</v>
          </cell>
          <cell r="N17">
            <v>4</v>
          </cell>
        </row>
        <row r="18">
          <cell r="A18">
            <v>2</v>
          </cell>
          <cell r="C18" t="str">
            <v>Practică de specialitate</v>
          </cell>
          <cell r="D18" t="str">
            <v>Practical Training in Automatic Control and Applied Informatics</v>
          </cell>
          <cell r="E18" t="str">
            <v>AIA311</v>
          </cell>
          <cell r="F18" t="str">
            <v>DI</v>
          </cell>
          <cell r="G18" t="str">
            <v>DS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Mașini și acționări electrice</v>
          </cell>
          <cell r="D19" t="str">
            <v>Electrical Machines and Drive Systems</v>
          </cell>
          <cell r="E19" t="str">
            <v>A312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69</v>
          </cell>
          <cell r="M19" t="str">
            <v>E</v>
          </cell>
          <cell r="N19">
            <v>5</v>
          </cell>
        </row>
        <row r="20">
          <cell r="A20">
            <v>1</v>
          </cell>
          <cell r="C20" t="str">
            <v>Echipamente hidropneumatice</v>
          </cell>
          <cell r="D20" t="str">
            <v>Hydraulic and Pneumatic Control Systems</v>
          </cell>
          <cell r="E20" t="str">
            <v>A313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69</v>
          </cell>
          <cell r="M20" t="str">
            <v>E</v>
          </cell>
          <cell r="N20">
            <v>5</v>
          </cell>
        </row>
        <row r="21">
          <cell r="A21">
            <v>1</v>
          </cell>
          <cell r="C21" t="str">
            <v>Ingineria sistemelor de programe</v>
          </cell>
          <cell r="D21" t="str">
            <v>Software Engineering</v>
          </cell>
          <cell r="E21" t="str">
            <v>IA314</v>
          </cell>
          <cell r="F21" t="str">
            <v>DO</v>
          </cell>
          <cell r="G21" t="str">
            <v>DD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69</v>
          </cell>
          <cell r="M21" t="str">
            <v>E</v>
          </cell>
          <cell r="N21">
            <v>5</v>
          </cell>
        </row>
        <row r="33">
          <cell r="C33">
            <v>45915</v>
          </cell>
        </row>
        <row r="34">
          <cell r="C34">
            <v>45918</v>
          </cell>
        </row>
        <row r="35">
          <cell r="C35" t="str">
            <v>Conf.dr.ing. Mihai POSTOLACHE</v>
          </cell>
        </row>
        <row r="36">
          <cell r="C36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edu.tuiasi.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CA9F-35CC-4F22-84C2-C78AA62D32EB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INDEX([1]Date!D8:D21, MATCH(E12,[1]Date!C8:C21,0),0)</f>
        <v>Software Engineering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INDEX([1]Date!E8:E21, MATCH(E12,[1]Date!C8:C21,0),0)</f>
        <v>IA314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INDEX([1]Date!G8:G21, MATCH(E12,[1]Date!C8:C21,0),0)</f>
        <v>DD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8"/>
      <c r="G15" s="8"/>
      <c r="H15" s="8"/>
      <c r="I15" s="8"/>
      <c r="J15" s="8"/>
      <c r="K15" s="8"/>
      <c r="L15" s="8"/>
      <c r="M15" s="10"/>
      <c r="N15" s="5"/>
    </row>
    <row r="16" spans="1:14" ht="15.5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18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 t="s">
        <v>20</v>
      </c>
      <c r="F18" s="8"/>
      <c r="G18" s="8"/>
      <c r="H18" s="8"/>
      <c r="I18" s="8"/>
      <c r="J18" s="8"/>
      <c r="K18" s="8"/>
      <c r="L18" s="8"/>
      <c r="M18" s="10"/>
      <c r="N18" s="5"/>
    </row>
    <row r="19" spans="1:14" ht="15.5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21</v>
      </c>
      <c r="B23" s="10"/>
      <c r="C23" s="27">
        <f>[1]Date!B4</f>
        <v>3</v>
      </c>
      <c r="D23" s="28" t="s">
        <v>22</v>
      </c>
      <c r="E23" s="27">
        <f t="array" aca="1" ref="E23" ca="1">INDEX([1]Date!A8:A21, MATCH(E12,[1]Date!C8:C21,0),0)</f>
        <v>1</v>
      </c>
      <c r="F23" s="29" t="s">
        <v>23</v>
      </c>
      <c r="G23" s="8"/>
      <c r="H23" s="10"/>
      <c r="I23" s="22" t="str">
        <f t="array" aca="1" ref="I23" ca="1">INDEX([1]Date!M8:M21, MATCH(E12,[1]Date!C8:C21,0),0)</f>
        <v>E</v>
      </c>
      <c r="J23" s="29" t="s">
        <v>24</v>
      </c>
      <c r="K23" s="8"/>
      <c r="L23" s="10"/>
      <c r="M23" s="27" t="str">
        <f t="array" aca="1" ref="M23" ca="1">INDEX([1]Date!F8:F21, MATCH(E12,[1]Date!C8:C21,0),0)</f>
        <v>DO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26</v>
      </c>
      <c r="B26" s="10"/>
      <c r="C26" s="31">
        <f ca="1">SUM(E26+G26+I26+K26)</f>
        <v>4</v>
      </c>
      <c r="D26" s="28" t="s">
        <v>27</v>
      </c>
      <c r="E26" s="27">
        <f t="array" aca="1" ref="E26" ca="1">INDEX([1]Date!H8:H21, MATCH(E12,[1]Date!C8:C21,0),0)</f>
        <v>2</v>
      </c>
      <c r="F26" s="28" t="s">
        <v>28</v>
      </c>
      <c r="G26" s="27">
        <f t="array" aca="1" ref="G26" ca="1">INDEX([1]Date!I8:I21, MATCH(E12,[1]Date!C8:C21,0),0)</f>
        <v>0</v>
      </c>
      <c r="H26" s="28" t="s">
        <v>29</v>
      </c>
      <c r="I26" s="31">
        <f t="array" aca="1" ref="I26" ca="1">INDEX([1]Date!J8:J21, MATCH(E12,[1]Date!C8:C21,0),0)</f>
        <v>2</v>
      </c>
      <c r="J26" s="28" t="s">
        <v>30</v>
      </c>
      <c r="K26" s="27">
        <f t="array" aca="1" ref="K26" ca="1">INDEX([1]Date!K8:K21, MATCH(E12,[1]Date!C8:C21,0),0)</f>
        <v>0</v>
      </c>
      <c r="L26" s="7" t="s">
        <v>31</v>
      </c>
      <c r="M26" s="10"/>
      <c r="N26" s="30"/>
    </row>
    <row r="27" spans="1:14" ht="31" x14ac:dyDescent="0.35">
      <c r="A27" s="7" t="s">
        <v>32</v>
      </c>
      <c r="B27" s="10"/>
      <c r="C27" s="27">
        <f ca="1">C26*14</f>
        <v>56</v>
      </c>
      <c r="D27" s="28" t="s">
        <v>33</v>
      </c>
      <c r="E27" s="27">
        <f ca="1">E26*14</f>
        <v>28</v>
      </c>
      <c r="F27" s="28" t="s">
        <v>34</v>
      </c>
      <c r="G27" s="27">
        <f ca="1">G26*14</f>
        <v>0</v>
      </c>
      <c r="H27" s="28" t="s">
        <v>35</v>
      </c>
      <c r="I27" s="27">
        <f ca="1">I26*14</f>
        <v>28</v>
      </c>
      <c r="J27" s="28" t="s">
        <v>36</v>
      </c>
      <c r="K27" s="27">
        <f ca="1">K26*14</f>
        <v>0</v>
      </c>
      <c r="L27" s="28" t="s">
        <v>37</v>
      </c>
      <c r="M27" s="27">
        <v>0</v>
      </c>
      <c r="N27" s="5"/>
    </row>
    <row r="28" spans="1:14" ht="15.5" x14ac:dyDescent="0.35">
      <c r="A28" s="7" t="s">
        <v>38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39</v>
      </c>
      <c r="N28" s="5"/>
    </row>
    <row r="29" spans="1:14" ht="15.5" x14ac:dyDescent="0.35">
      <c r="A29" s="7" t="s">
        <v>40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>
        <v>28</v>
      </c>
      <c r="N29" s="5"/>
    </row>
    <row r="30" spans="1:14" ht="15.5" x14ac:dyDescent="0.35">
      <c r="A30" s="7" t="s">
        <v>41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22</v>
      </c>
      <c r="N30" s="5"/>
    </row>
    <row r="31" spans="1:14" ht="15.5" x14ac:dyDescent="0.35">
      <c r="A31" s="7" t="s">
        <v>42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19</v>
      </c>
      <c r="N31" s="5"/>
    </row>
    <row r="32" spans="1:14" ht="15.5" x14ac:dyDescent="0.35">
      <c r="A32" s="7" t="s">
        <v>43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IF(INDEX([1]Date!M8:M21, MATCH(E12,[1]Date!C8:C21,0),0)="E",3,0)</f>
        <v>3</v>
      </c>
      <c r="N32" s="5"/>
    </row>
    <row r="33" spans="1:14" ht="15.5" x14ac:dyDescent="0.35">
      <c r="A33" s="7" t="s">
        <v>44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45</v>
      </c>
      <c r="B34" s="10"/>
      <c r="C34" s="27">
        <f t="array" aca="1" ref="C34" ca="1">INDEX([1]Date!L8:L21, MATCH(E12,[1]Date!C8:C21,0),0)</f>
        <v>69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46</v>
      </c>
      <c r="B35" s="10"/>
      <c r="C35" s="27">
        <f ca="1">C27+C34</f>
        <v>125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47</v>
      </c>
      <c r="B36" s="10"/>
      <c r="C36" s="27">
        <f t="array" aca="1" ref="C36" ca="1">INDEX([1]Date!N8:N21, MATCH(E12,[1]Date!C8:C21,0),0)</f>
        <v>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49</v>
      </c>
      <c r="B39" s="10"/>
      <c r="C39" s="9" t="s">
        <v>50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51</v>
      </c>
      <c r="B40" s="10"/>
      <c r="C40" s="23" t="s">
        <v>52</v>
      </c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54</v>
      </c>
      <c r="B43" s="10"/>
      <c r="C43" s="23" t="s">
        <v>55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56</v>
      </c>
      <c r="B44" s="10"/>
      <c r="C44" s="23" t="s">
        <v>57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62.25" customHeight="1" x14ac:dyDescent="0.35">
      <c r="A47" s="23" t="s">
        <v>59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60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3" t="s">
        <v>61</v>
      </c>
      <c r="B50" s="34" t="s">
        <v>62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5.5" x14ac:dyDescent="0.35">
      <c r="A51" s="35"/>
      <c r="B51" s="36" t="s">
        <v>63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3" t="s">
        <v>64</v>
      </c>
      <c r="B52" s="34" t="s">
        <v>62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5.5" x14ac:dyDescent="0.35">
      <c r="A53" s="35"/>
      <c r="B53" s="36" t="s">
        <v>65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3" t="s">
        <v>66</v>
      </c>
      <c r="B54" s="34" t="s">
        <v>62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5"/>
      <c r="B55" s="37" t="s">
        <v>67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53.25" customHeight="1" x14ac:dyDescent="0.35">
      <c r="A58" s="23" t="s">
        <v>69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70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customHeight="1" x14ac:dyDescent="0.35">
      <c r="A61" s="38" t="s">
        <v>71</v>
      </c>
      <c r="B61" s="8"/>
      <c r="C61" s="8"/>
      <c r="D61" s="8"/>
      <c r="E61" s="8"/>
      <c r="F61" s="8"/>
      <c r="G61" s="10"/>
      <c r="H61" s="38" t="s">
        <v>72</v>
      </c>
      <c r="I61" s="8"/>
      <c r="J61" s="8"/>
      <c r="K61" s="10"/>
      <c r="L61" s="38" t="s">
        <v>73</v>
      </c>
      <c r="M61" s="10"/>
      <c r="N61" s="30"/>
    </row>
    <row r="62" spans="1:14" ht="15.5" x14ac:dyDescent="0.35">
      <c r="A62" s="39" t="s">
        <v>74</v>
      </c>
      <c r="B62" s="23" t="s">
        <v>75</v>
      </c>
      <c r="C62" s="8"/>
      <c r="D62" s="8"/>
      <c r="E62" s="8"/>
      <c r="F62" s="8"/>
      <c r="G62" s="10"/>
      <c r="H62" s="40" t="s">
        <v>76</v>
      </c>
      <c r="I62" s="14"/>
      <c r="J62" s="14"/>
      <c r="K62" s="15"/>
      <c r="L62" s="41" t="s">
        <v>77</v>
      </c>
      <c r="M62" s="10"/>
      <c r="N62" s="5"/>
    </row>
    <row r="63" spans="1:14" ht="15.5" x14ac:dyDescent="0.35">
      <c r="A63" s="39" t="s">
        <v>78</v>
      </c>
      <c r="B63" s="23" t="s">
        <v>79</v>
      </c>
      <c r="C63" s="8"/>
      <c r="D63" s="8"/>
      <c r="E63" s="8"/>
      <c r="F63" s="8"/>
      <c r="G63" s="10"/>
      <c r="H63" s="25"/>
      <c r="I63" s="2"/>
      <c r="J63" s="2"/>
      <c r="K63" s="26"/>
      <c r="L63" s="41" t="s">
        <v>77</v>
      </c>
      <c r="M63" s="10"/>
      <c r="N63" s="5"/>
    </row>
    <row r="64" spans="1:14" ht="15.5" x14ac:dyDescent="0.35">
      <c r="A64" s="39" t="s">
        <v>80</v>
      </c>
      <c r="B64" s="23" t="s">
        <v>81</v>
      </c>
      <c r="C64" s="8"/>
      <c r="D64" s="8"/>
      <c r="E64" s="8"/>
      <c r="F64" s="8"/>
      <c r="G64" s="10"/>
      <c r="H64" s="25"/>
      <c r="I64" s="2"/>
      <c r="J64" s="2"/>
      <c r="K64" s="26"/>
      <c r="L64" s="41" t="s">
        <v>77</v>
      </c>
      <c r="M64" s="10"/>
      <c r="N64" s="5"/>
    </row>
    <row r="65" spans="1:14" ht="15.5" x14ac:dyDescent="0.35">
      <c r="A65" s="39" t="s">
        <v>82</v>
      </c>
      <c r="B65" s="23" t="s">
        <v>83</v>
      </c>
      <c r="C65" s="8"/>
      <c r="D65" s="8"/>
      <c r="E65" s="8"/>
      <c r="F65" s="8"/>
      <c r="G65" s="10"/>
      <c r="H65" s="25"/>
      <c r="I65" s="2"/>
      <c r="J65" s="2"/>
      <c r="K65" s="26"/>
      <c r="L65" s="41" t="s">
        <v>77</v>
      </c>
      <c r="M65" s="10"/>
      <c r="N65" s="5"/>
    </row>
    <row r="66" spans="1:14" ht="15.5" x14ac:dyDescent="0.35">
      <c r="A66" s="39" t="s">
        <v>84</v>
      </c>
      <c r="B66" s="23" t="s">
        <v>85</v>
      </c>
      <c r="C66" s="8"/>
      <c r="D66" s="8"/>
      <c r="E66" s="8"/>
      <c r="F66" s="8"/>
      <c r="G66" s="10"/>
      <c r="H66" s="25"/>
      <c r="I66" s="2"/>
      <c r="J66" s="2"/>
      <c r="K66" s="26"/>
      <c r="L66" s="41" t="s">
        <v>77</v>
      </c>
      <c r="M66" s="10"/>
      <c r="N66" s="5"/>
    </row>
    <row r="67" spans="1:14" ht="15.5" x14ac:dyDescent="0.35">
      <c r="A67" s="39" t="s">
        <v>86</v>
      </c>
      <c r="B67" s="23" t="s">
        <v>87</v>
      </c>
      <c r="C67" s="8"/>
      <c r="D67" s="8"/>
      <c r="E67" s="8"/>
      <c r="F67" s="8"/>
      <c r="G67" s="10"/>
      <c r="H67" s="25"/>
      <c r="I67" s="2"/>
      <c r="J67" s="2"/>
      <c r="K67" s="26"/>
      <c r="L67" s="41" t="s">
        <v>77</v>
      </c>
      <c r="M67" s="10"/>
      <c r="N67" s="5"/>
    </row>
    <row r="68" spans="1:14" ht="15.5" x14ac:dyDescent="0.35">
      <c r="A68" s="39" t="s">
        <v>88</v>
      </c>
      <c r="B68" s="23" t="s">
        <v>89</v>
      </c>
      <c r="C68" s="8"/>
      <c r="D68" s="8"/>
      <c r="E68" s="8"/>
      <c r="F68" s="8"/>
      <c r="G68" s="10"/>
      <c r="H68" s="25"/>
      <c r="I68" s="2"/>
      <c r="J68" s="2"/>
      <c r="K68" s="26"/>
      <c r="L68" s="41" t="s">
        <v>77</v>
      </c>
      <c r="M68" s="10"/>
      <c r="N68" s="5"/>
    </row>
    <row r="69" spans="1:14" ht="15.5" x14ac:dyDescent="0.35">
      <c r="A69" s="39" t="s">
        <v>90</v>
      </c>
      <c r="B69" s="23" t="s">
        <v>91</v>
      </c>
      <c r="C69" s="8"/>
      <c r="D69" s="8"/>
      <c r="E69" s="8"/>
      <c r="F69" s="8"/>
      <c r="G69" s="10"/>
      <c r="H69" s="25"/>
      <c r="I69" s="2"/>
      <c r="J69" s="2"/>
      <c r="K69" s="26"/>
      <c r="L69" s="41" t="s">
        <v>77</v>
      </c>
      <c r="M69" s="10"/>
      <c r="N69" s="5"/>
    </row>
    <row r="70" spans="1:14" ht="15.5" x14ac:dyDescent="0.35">
      <c r="A70" s="39" t="s">
        <v>92</v>
      </c>
      <c r="B70" s="23" t="s">
        <v>93</v>
      </c>
      <c r="C70" s="8"/>
      <c r="D70" s="8"/>
      <c r="E70" s="8"/>
      <c r="F70" s="8"/>
      <c r="G70" s="10"/>
      <c r="H70" s="25"/>
      <c r="I70" s="2"/>
      <c r="J70" s="2"/>
      <c r="K70" s="26"/>
      <c r="L70" s="41" t="s">
        <v>77</v>
      </c>
      <c r="M70" s="10"/>
      <c r="N70" s="5"/>
    </row>
    <row r="71" spans="1:14" ht="15.5" x14ac:dyDescent="0.35">
      <c r="A71" s="39" t="s">
        <v>94</v>
      </c>
      <c r="B71" s="23" t="s">
        <v>95</v>
      </c>
      <c r="C71" s="8"/>
      <c r="D71" s="8"/>
      <c r="E71" s="8"/>
      <c r="F71" s="8"/>
      <c r="G71" s="10"/>
      <c r="H71" s="25"/>
      <c r="I71" s="2"/>
      <c r="J71" s="2"/>
      <c r="K71" s="26"/>
      <c r="L71" s="41" t="s">
        <v>77</v>
      </c>
      <c r="M71" s="10"/>
      <c r="N71" s="5"/>
    </row>
    <row r="72" spans="1:14" ht="15.5" x14ac:dyDescent="0.35">
      <c r="A72" s="39" t="s">
        <v>96</v>
      </c>
      <c r="B72" s="23" t="s">
        <v>97</v>
      </c>
      <c r="C72" s="8"/>
      <c r="D72" s="8"/>
      <c r="E72" s="8"/>
      <c r="F72" s="8"/>
      <c r="G72" s="10"/>
      <c r="H72" s="25"/>
      <c r="I72" s="2"/>
      <c r="J72" s="2"/>
      <c r="K72" s="26"/>
      <c r="L72" s="41" t="s">
        <v>77</v>
      </c>
      <c r="M72" s="10"/>
      <c r="N72" s="5"/>
    </row>
    <row r="73" spans="1:14" ht="15.5" x14ac:dyDescent="0.35">
      <c r="A73" s="39" t="s">
        <v>98</v>
      </c>
      <c r="B73" s="23" t="s">
        <v>99</v>
      </c>
      <c r="C73" s="8"/>
      <c r="D73" s="8"/>
      <c r="E73" s="8"/>
      <c r="F73" s="8"/>
      <c r="G73" s="10"/>
      <c r="H73" s="25"/>
      <c r="I73" s="2"/>
      <c r="J73" s="2"/>
      <c r="K73" s="26"/>
      <c r="L73" s="41" t="s">
        <v>77</v>
      </c>
      <c r="M73" s="10"/>
      <c r="N73" s="5"/>
    </row>
    <row r="74" spans="1:14" ht="15.5" x14ac:dyDescent="0.35">
      <c r="A74" s="39" t="s">
        <v>100</v>
      </c>
      <c r="B74" s="23" t="s">
        <v>101</v>
      </c>
      <c r="C74" s="8"/>
      <c r="D74" s="8"/>
      <c r="E74" s="8"/>
      <c r="F74" s="8"/>
      <c r="G74" s="10"/>
      <c r="H74" s="25"/>
      <c r="I74" s="2"/>
      <c r="J74" s="2"/>
      <c r="K74" s="26"/>
      <c r="L74" s="41" t="s">
        <v>77</v>
      </c>
      <c r="M74" s="10"/>
      <c r="N74" s="5"/>
    </row>
    <row r="75" spans="1:14" ht="15.5" x14ac:dyDescent="0.35">
      <c r="A75" s="39" t="s">
        <v>102</v>
      </c>
      <c r="B75" s="23" t="s">
        <v>103</v>
      </c>
      <c r="C75" s="8"/>
      <c r="D75" s="8"/>
      <c r="E75" s="8"/>
      <c r="F75" s="8"/>
      <c r="G75" s="10"/>
      <c r="H75" s="24"/>
      <c r="I75" s="18"/>
      <c r="J75" s="18"/>
      <c r="K75" s="19"/>
      <c r="L75" s="41" t="s">
        <v>77</v>
      </c>
      <c r="M75" s="10"/>
      <c r="N75" s="5"/>
    </row>
    <row r="76" spans="1:14" ht="15.5" x14ac:dyDescent="0.35">
      <c r="A76" s="37" t="s">
        <v>104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8" t="s">
        <v>105</v>
      </c>
      <c r="B77" s="8"/>
      <c r="C77" s="8"/>
      <c r="D77" s="8"/>
      <c r="E77" s="8"/>
      <c r="F77" s="8"/>
      <c r="G77" s="10"/>
      <c r="H77" s="38" t="s">
        <v>106</v>
      </c>
      <c r="I77" s="8"/>
      <c r="J77" s="8"/>
      <c r="K77" s="10"/>
      <c r="L77" s="38" t="s">
        <v>73</v>
      </c>
      <c r="M77" s="10"/>
      <c r="N77" s="30"/>
    </row>
    <row r="78" spans="1:14" ht="15.5" hidden="1" x14ac:dyDescent="0.35">
      <c r="A78" s="39"/>
      <c r="B78" s="23"/>
      <c r="C78" s="8"/>
      <c r="D78" s="8"/>
      <c r="E78" s="8"/>
      <c r="F78" s="8"/>
      <c r="G78" s="10"/>
      <c r="H78" s="40"/>
      <c r="I78" s="14"/>
      <c r="J78" s="14"/>
      <c r="K78" s="15"/>
      <c r="L78" s="23"/>
      <c r="M78" s="10"/>
      <c r="N78" s="5"/>
    </row>
    <row r="79" spans="1:14" ht="15.5" hidden="1" x14ac:dyDescent="0.35">
      <c r="A79" s="39"/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39"/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39"/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39"/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39"/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39"/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39"/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39"/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39"/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39"/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39"/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39"/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39"/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customHeight="1" x14ac:dyDescent="0.35">
      <c r="A92" s="38" t="s">
        <v>107</v>
      </c>
      <c r="B92" s="8"/>
      <c r="C92" s="8"/>
      <c r="D92" s="8"/>
      <c r="E92" s="8"/>
      <c r="F92" s="8"/>
      <c r="G92" s="10"/>
      <c r="H92" s="38" t="s">
        <v>106</v>
      </c>
      <c r="I92" s="8"/>
      <c r="J92" s="8"/>
      <c r="K92" s="10"/>
      <c r="L92" s="38" t="s">
        <v>73</v>
      </c>
      <c r="M92" s="10"/>
      <c r="N92" s="30"/>
    </row>
    <row r="93" spans="1:14" ht="15.5" x14ac:dyDescent="0.35">
      <c r="A93" s="39" t="s">
        <v>74</v>
      </c>
      <c r="B93" s="23" t="s">
        <v>108</v>
      </c>
      <c r="C93" s="8"/>
      <c r="D93" s="8"/>
      <c r="E93" s="8"/>
      <c r="F93" s="8"/>
      <c r="G93" s="10"/>
      <c r="H93" s="40" t="s">
        <v>109</v>
      </c>
      <c r="I93" s="14"/>
      <c r="J93" s="14"/>
      <c r="K93" s="15"/>
      <c r="L93" s="41" t="s">
        <v>77</v>
      </c>
      <c r="M93" s="10"/>
      <c r="N93" s="5"/>
    </row>
    <row r="94" spans="1:14" ht="15.5" x14ac:dyDescent="0.35">
      <c r="A94" s="39" t="s">
        <v>78</v>
      </c>
      <c r="B94" s="23" t="s">
        <v>110</v>
      </c>
      <c r="C94" s="8"/>
      <c r="D94" s="8"/>
      <c r="E94" s="8"/>
      <c r="F94" s="8"/>
      <c r="G94" s="10"/>
      <c r="H94" s="25"/>
      <c r="I94" s="2"/>
      <c r="J94" s="2"/>
      <c r="K94" s="26"/>
      <c r="L94" s="41" t="s">
        <v>77</v>
      </c>
      <c r="M94" s="10"/>
      <c r="N94" s="5"/>
    </row>
    <row r="95" spans="1:14" ht="15.5" x14ac:dyDescent="0.35">
      <c r="A95" s="39" t="s">
        <v>80</v>
      </c>
      <c r="B95" s="23" t="s">
        <v>111</v>
      </c>
      <c r="C95" s="8"/>
      <c r="D95" s="8"/>
      <c r="E95" s="8"/>
      <c r="F95" s="8"/>
      <c r="G95" s="10"/>
      <c r="H95" s="25"/>
      <c r="I95" s="2"/>
      <c r="J95" s="2"/>
      <c r="K95" s="26"/>
      <c r="L95" s="41" t="s">
        <v>77</v>
      </c>
      <c r="M95" s="10"/>
      <c r="N95" s="5"/>
    </row>
    <row r="96" spans="1:14" ht="15.5" x14ac:dyDescent="0.35">
      <c r="A96" s="39" t="s">
        <v>82</v>
      </c>
      <c r="B96" s="23" t="s">
        <v>112</v>
      </c>
      <c r="C96" s="8"/>
      <c r="D96" s="8"/>
      <c r="E96" s="8"/>
      <c r="F96" s="8"/>
      <c r="G96" s="10"/>
      <c r="H96" s="25"/>
      <c r="I96" s="2"/>
      <c r="J96" s="2"/>
      <c r="K96" s="26"/>
      <c r="L96" s="41" t="s">
        <v>77</v>
      </c>
      <c r="M96" s="10"/>
      <c r="N96" s="5"/>
    </row>
    <row r="97" spans="1:14" ht="15.5" x14ac:dyDescent="0.35">
      <c r="A97" s="39" t="s">
        <v>84</v>
      </c>
      <c r="B97" s="23" t="s">
        <v>113</v>
      </c>
      <c r="C97" s="8"/>
      <c r="D97" s="8"/>
      <c r="E97" s="8"/>
      <c r="F97" s="8"/>
      <c r="G97" s="10"/>
      <c r="H97" s="25"/>
      <c r="I97" s="2"/>
      <c r="J97" s="2"/>
      <c r="K97" s="26"/>
      <c r="L97" s="41" t="s">
        <v>77</v>
      </c>
      <c r="M97" s="10"/>
      <c r="N97" s="5"/>
    </row>
    <row r="98" spans="1:14" ht="15.5" x14ac:dyDescent="0.35">
      <c r="A98" s="39" t="s">
        <v>86</v>
      </c>
      <c r="B98" s="23" t="s">
        <v>114</v>
      </c>
      <c r="C98" s="8"/>
      <c r="D98" s="8"/>
      <c r="E98" s="8"/>
      <c r="F98" s="8"/>
      <c r="G98" s="10"/>
      <c r="H98" s="25"/>
      <c r="I98" s="2"/>
      <c r="J98" s="2"/>
      <c r="K98" s="26"/>
      <c r="L98" s="41" t="s">
        <v>77</v>
      </c>
      <c r="M98" s="10"/>
      <c r="N98" s="5"/>
    </row>
    <row r="99" spans="1:14" ht="15.5" x14ac:dyDescent="0.35">
      <c r="A99" s="39" t="s">
        <v>88</v>
      </c>
      <c r="B99" s="23" t="s">
        <v>115</v>
      </c>
      <c r="C99" s="8"/>
      <c r="D99" s="8"/>
      <c r="E99" s="8"/>
      <c r="F99" s="8"/>
      <c r="G99" s="10"/>
      <c r="H99" s="25"/>
      <c r="I99" s="2"/>
      <c r="J99" s="2"/>
      <c r="K99" s="26"/>
      <c r="L99" s="41" t="s">
        <v>77</v>
      </c>
      <c r="M99" s="10"/>
      <c r="N99" s="5"/>
    </row>
    <row r="100" spans="1:14" ht="15.5" x14ac:dyDescent="0.35">
      <c r="A100" s="39" t="s">
        <v>90</v>
      </c>
      <c r="B100" s="23" t="s">
        <v>116</v>
      </c>
      <c r="C100" s="8"/>
      <c r="D100" s="8"/>
      <c r="E100" s="8"/>
      <c r="F100" s="8"/>
      <c r="G100" s="10"/>
      <c r="H100" s="25"/>
      <c r="I100" s="2"/>
      <c r="J100" s="2"/>
      <c r="K100" s="26"/>
      <c r="L100" s="41" t="s">
        <v>77</v>
      </c>
      <c r="M100" s="10"/>
      <c r="N100" s="5"/>
    </row>
    <row r="101" spans="1:14" ht="15.5" x14ac:dyDescent="0.35">
      <c r="A101" s="39" t="s">
        <v>92</v>
      </c>
      <c r="B101" s="23" t="s">
        <v>117</v>
      </c>
      <c r="C101" s="8"/>
      <c r="D101" s="8"/>
      <c r="E101" s="8"/>
      <c r="F101" s="8"/>
      <c r="G101" s="10"/>
      <c r="H101" s="25"/>
      <c r="I101" s="2"/>
      <c r="J101" s="2"/>
      <c r="K101" s="26"/>
      <c r="L101" s="41" t="s">
        <v>77</v>
      </c>
      <c r="M101" s="10"/>
      <c r="N101" s="5"/>
    </row>
    <row r="102" spans="1:14" ht="15.5" x14ac:dyDescent="0.35">
      <c r="A102" s="39" t="s">
        <v>94</v>
      </c>
      <c r="B102" s="23" t="s">
        <v>118</v>
      </c>
      <c r="C102" s="8"/>
      <c r="D102" s="8"/>
      <c r="E102" s="8"/>
      <c r="F102" s="8"/>
      <c r="G102" s="10"/>
      <c r="H102" s="25"/>
      <c r="I102" s="2"/>
      <c r="J102" s="2"/>
      <c r="K102" s="26"/>
      <c r="L102" s="41" t="s">
        <v>77</v>
      </c>
      <c r="M102" s="10"/>
      <c r="N102" s="5"/>
    </row>
    <row r="103" spans="1:14" ht="15.5" x14ac:dyDescent="0.35">
      <c r="A103" s="39" t="s">
        <v>96</v>
      </c>
      <c r="B103" s="23" t="s">
        <v>119</v>
      </c>
      <c r="C103" s="8"/>
      <c r="D103" s="8"/>
      <c r="E103" s="8"/>
      <c r="F103" s="8"/>
      <c r="G103" s="10"/>
      <c r="H103" s="25"/>
      <c r="I103" s="2"/>
      <c r="J103" s="2"/>
      <c r="K103" s="26"/>
      <c r="L103" s="41" t="s">
        <v>77</v>
      </c>
      <c r="M103" s="10"/>
      <c r="N103" s="5"/>
    </row>
    <row r="104" spans="1:14" ht="15.5" x14ac:dyDescent="0.35">
      <c r="A104" s="39" t="s">
        <v>98</v>
      </c>
      <c r="B104" s="23" t="s">
        <v>120</v>
      </c>
      <c r="C104" s="8"/>
      <c r="D104" s="8"/>
      <c r="E104" s="8"/>
      <c r="F104" s="8"/>
      <c r="G104" s="10"/>
      <c r="H104" s="25"/>
      <c r="I104" s="2"/>
      <c r="J104" s="2"/>
      <c r="K104" s="26"/>
      <c r="L104" s="41" t="s">
        <v>77</v>
      </c>
      <c r="M104" s="10"/>
      <c r="N104" s="5"/>
    </row>
    <row r="105" spans="1:14" ht="15.5" x14ac:dyDescent="0.35">
      <c r="A105" s="39" t="s">
        <v>100</v>
      </c>
      <c r="B105" s="23" t="s">
        <v>121</v>
      </c>
      <c r="C105" s="8"/>
      <c r="D105" s="8"/>
      <c r="E105" s="8"/>
      <c r="F105" s="8"/>
      <c r="G105" s="10"/>
      <c r="H105" s="25"/>
      <c r="I105" s="2"/>
      <c r="J105" s="2"/>
      <c r="K105" s="26"/>
      <c r="L105" s="41" t="s">
        <v>77</v>
      </c>
      <c r="M105" s="10"/>
      <c r="N105" s="5"/>
    </row>
    <row r="106" spans="1:14" ht="15.5" x14ac:dyDescent="0.35">
      <c r="A106" s="39" t="s">
        <v>102</v>
      </c>
      <c r="B106" s="23" t="s">
        <v>122</v>
      </c>
      <c r="C106" s="8"/>
      <c r="D106" s="8"/>
      <c r="E106" s="8"/>
      <c r="F106" s="8"/>
      <c r="G106" s="10"/>
      <c r="H106" s="24"/>
      <c r="I106" s="18"/>
      <c r="J106" s="18"/>
      <c r="K106" s="19"/>
      <c r="L106" s="41" t="s">
        <v>77</v>
      </c>
      <c r="M106" s="10"/>
      <c r="N106" s="5"/>
    </row>
    <row r="107" spans="1:14" ht="24" hidden="1" customHeight="1" x14ac:dyDescent="0.35">
      <c r="A107" s="38" t="s">
        <v>123</v>
      </c>
      <c r="B107" s="8"/>
      <c r="C107" s="8"/>
      <c r="D107" s="8"/>
      <c r="E107" s="8"/>
      <c r="F107" s="8"/>
      <c r="G107" s="10"/>
      <c r="H107" s="38" t="s">
        <v>106</v>
      </c>
      <c r="I107" s="8"/>
      <c r="J107" s="8"/>
      <c r="K107" s="10"/>
      <c r="L107" s="38" t="s">
        <v>73</v>
      </c>
      <c r="M107" s="10"/>
      <c r="N107" s="30"/>
    </row>
    <row r="108" spans="1:14" ht="15.5" hidden="1" x14ac:dyDescent="0.35">
      <c r="A108" s="39" t="s">
        <v>74</v>
      </c>
      <c r="B108" s="23"/>
      <c r="C108" s="8"/>
      <c r="D108" s="8"/>
      <c r="E108" s="8"/>
      <c r="F108" s="8"/>
      <c r="G108" s="10"/>
      <c r="H108" s="40"/>
      <c r="I108" s="14"/>
      <c r="J108" s="14"/>
      <c r="K108" s="15"/>
      <c r="L108" s="23"/>
      <c r="M108" s="10"/>
      <c r="N108" s="5"/>
    </row>
    <row r="109" spans="1:14" ht="15.5" hidden="1" x14ac:dyDescent="0.35">
      <c r="A109" s="39" t="s">
        <v>78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39" t="s">
        <v>80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39" t="s">
        <v>82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39" t="s">
        <v>84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39" t="s">
        <v>86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39" t="s">
        <v>88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39" t="s">
        <v>90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39" t="s">
        <v>92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39" t="s">
        <v>94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39" t="s">
        <v>96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39" t="s">
        <v>98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39" t="s">
        <v>100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39" t="s">
        <v>102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15.5" customHeight="1" x14ac:dyDescent="0.35">
      <c r="A122" s="42" t="s">
        <v>124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125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3" t="s">
        <v>126</v>
      </c>
      <c r="B125" s="44" t="s">
        <v>127</v>
      </c>
      <c r="C125" s="8"/>
      <c r="D125" s="8"/>
      <c r="E125" s="8"/>
      <c r="F125" s="8"/>
      <c r="G125" s="10"/>
      <c r="H125" s="44" t="s">
        <v>128</v>
      </c>
      <c r="I125" s="8"/>
      <c r="J125" s="8"/>
      <c r="K125" s="10"/>
      <c r="L125" s="45" t="s">
        <v>129</v>
      </c>
      <c r="M125" s="10"/>
      <c r="N125" s="5"/>
    </row>
    <row r="126" spans="1:14" ht="15.5" x14ac:dyDescent="0.35">
      <c r="A126" s="46" t="s">
        <v>130</v>
      </c>
      <c r="B126" s="47" t="s">
        <v>131</v>
      </c>
      <c r="C126" s="14"/>
      <c r="D126" s="14"/>
      <c r="E126" s="14"/>
      <c r="F126" s="14"/>
      <c r="G126" s="15"/>
      <c r="H126" s="48" t="s">
        <v>132</v>
      </c>
      <c r="I126" s="14"/>
      <c r="J126" s="14"/>
      <c r="K126" s="49" t="s">
        <v>133</v>
      </c>
      <c r="L126" s="50">
        <f>1-SUM(L129:M131)</f>
        <v>0.6</v>
      </c>
      <c r="M126" s="15"/>
      <c r="N126" s="5"/>
    </row>
    <row r="127" spans="1:14" ht="15.5" x14ac:dyDescent="0.35">
      <c r="A127" s="51"/>
      <c r="B127" s="25"/>
      <c r="C127" s="2"/>
      <c r="D127" s="2"/>
      <c r="E127" s="2"/>
      <c r="F127" s="2"/>
      <c r="G127" s="26"/>
      <c r="H127" s="25"/>
      <c r="I127" s="2"/>
      <c r="J127" s="2"/>
      <c r="K127" s="51"/>
      <c r="L127" s="25"/>
      <c r="M127" s="26"/>
      <c r="N127" s="5"/>
    </row>
    <row r="128" spans="1:14" ht="28.5" customHeight="1" x14ac:dyDescent="0.35">
      <c r="A128" s="35"/>
      <c r="B128" s="24"/>
      <c r="C128" s="18"/>
      <c r="D128" s="18"/>
      <c r="E128" s="18"/>
      <c r="F128" s="18"/>
      <c r="G128" s="19"/>
      <c r="H128" s="24"/>
      <c r="I128" s="18"/>
      <c r="J128" s="18"/>
      <c r="K128" s="35"/>
      <c r="L128" s="24"/>
      <c r="M128" s="19"/>
      <c r="N128" s="5"/>
    </row>
    <row r="129" spans="1:14" ht="68.25" hidden="1" customHeight="1" x14ac:dyDescent="0.35">
      <c r="A129" s="43" t="s">
        <v>134</v>
      </c>
      <c r="B129" s="52" t="s">
        <v>135</v>
      </c>
      <c r="C129" s="8"/>
      <c r="D129" s="8"/>
      <c r="E129" s="8"/>
      <c r="F129" s="8"/>
      <c r="G129" s="10"/>
      <c r="H129" s="53"/>
      <c r="I129" s="8"/>
      <c r="J129" s="8"/>
      <c r="K129" s="10"/>
      <c r="L129" s="54"/>
      <c r="M129" s="10"/>
      <c r="N129" s="5"/>
    </row>
    <row r="130" spans="1:14" ht="46.5" x14ac:dyDescent="0.35">
      <c r="A130" s="43" t="s">
        <v>136</v>
      </c>
      <c r="B130" s="52" t="s">
        <v>137</v>
      </c>
      <c r="C130" s="8"/>
      <c r="D130" s="8"/>
      <c r="E130" s="8"/>
      <c r="F130" s="8"/>
      <c r="G130" s="10"/>
      <c r="H130" s="53" t="s">
        <v>138</v>
      </c>
      <c r="I130" s="8"/>
      <c r="J130" s="8"/>
      <c r="K130" s="10"/>
      <c r="L130" s="54">
        <v>0.4</v>
      </c>
      <c r="M130" s="10"/>
      <c r="N130" s="5"/>
    </row>
    <row r="131" spans="1:14" ht="31" hidden="1" x14ac:dyDescent="0.35">
      <c r="A131" s="43" t="s">
        <v>139</v>
      </c>
      <c r="B131" s="52" t="s">
        <v>140</v>
      </c>
      <c r="C131" s="8"/>
      <c r="D131" s="8"/>
      <c r="E131" s="8"/>
      <c r="F131" s="8"/>
      <c r="G131" s="10"/>
      <c r="H131" s="53"/>
      <c r="I131" s="8"/>
      <c r="J131" s="8"/>
      <c r="K131" s="10"/>
      <c r="L131" s="54"/>
      <c r="M131" s="10"/>
      <c r="N131" s="5"/>
    </row>
    <row r="132" spans="1:14" ht="15.5" x14ac:dyDescent="0.35">
      <c r="A132" s="44" t="s">
        <v>141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2" t="s">
        <v>142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5" t="s">
        <v>143</v>
      </c>
      <c r="B135" s="10"/>
      <c r="C135" s="56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5" t="s">
        <v>144</v>
      </c>
      <c r="B137" s="10"/>
      <c r="C137" s="9" t="str">
        <f>E15</f>
        <v>Șef lucrări dr.ing. Silviu Florin Ostafi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7" t="s">
        <v>145</v>
      </c>
      <c r="B139" s="15"/>
      <c r="C139" s="9" t="str">
        <f t="shared" ref="C139:C141" si="0">E17</f>
        <v>Șef lucrări dr.ing. Silviu Florin Ostafi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customHeight="1" x14ac:dyDescent="0.35">
      <c r="A140" s="25"/>
      <c r="B140" s="26"/>
      <c r="C140" s="9" t="str">
        <f t="shared" si="0"/>
        <v>Asist.drd.Ing.  Aura Ganciu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5" t="s">
        <v>146</v>
      </c>
      <c r="B143" s="10"/>
      <c r="C143" s="58">
        <f>[1]Date!C33</f>
        <v>45915</v>
      </c>
      <c r="D143" s="10"/>
      <c r="E143" s="55" t="s">
        <v>147</v>
      </c>
      <c r="F143" s="8"/>
      <c r="G143" s="10"/>
      <c r="H143" s="59" t="str">
        <f>[1]Date!C35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0"/>
      <c r="B144" s="60"/>
      <c r="C144" s="61"/>
      <c r="D144" s="61"/>
      <c r="E144" s="60"/>
      <c r="F144" s="60"/>
      <c r="G144" s="60"/>
      <c r="H144" s="61"/>
      <c r="I144" s="61"/>
      <c r="J144" s="61"/>
      <c r="K144" s="61"/>
      <c r="L144" s="61"/>
      <c r="M144" s="61"/>
      <c r="N144" s="5"/>
    </row>
    <row r="145" spans="1:14" ht="28.5" customHeight="1" x14ac:dyDescent="0.35">
      <c r="A145" s="55" t="s">
        <v>148</v>
      </c>
      <c r="B145" s="10"/>
      <c r="C145" s="58">
        <f>[1]Date!C34</f>
        <v>45918</v>
      </c>
      <c r="D145" s="10"/>
      <c r="E145" s="55" t="s">
        <v>149</v>
      </c>
      <c r="F145" s="8"/>
      <c r="G145" s="10"/>
      <c r="H145" s="59" t="str">
        <f>[1]Date!C36</f>
        <v>Prof.univ.dr.ing. Adrian BURLACU</v>
      </c>
      <c r="I145" s="8"/>
      <c r="J145" s="8"/>
      <c r="K145" s="8"/>
      <c r="L145" s="8"/>
      <c r="M145" s="10"/>
      <c r="N145" s="5"/>
    </row>
  </sheetData>
  <mergeCells count="254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8"/>
    <mergeCell ref="K126:K128"/>
    <mergeCell ref="L126:M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hyperlinks>
    <hyperlink ref="A122" r:id="rId1" xr:uid="{C987A2F6-B8E4-4308-AED6-8374C26A8C03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2026-03-01T08:55:57Z</dcterms:created>
  <dcterms:modified xsi:type="dcterms:W3CDTF">2026-03-01T08:56:01Z</dcterms:modified>
</cp:coreProperties>
</file>