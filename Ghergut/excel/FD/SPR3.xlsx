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wamp64\www\licenta\excel\FD\"/>
    </mc:Choice>
  </mc:AlternateContent>
  <xr:revisionPtr revIDLastSave="0" documentId="8_{D2A20AD7-D455-495C-8024-4E7B5656104A}" xr6:coauthVersionLast="47" xr6:coauthVersionMax="47" xr10:uidLastSave="{00000000-0000-0000-0000-000000000000}"/>
  <bookViews>
    <workbookView xWindow="-110" yWindow="-110" windowWidth="25820" windowHeight="15500" xr2:uid="{EF5D9610-63CC-49FA-93F2-F6BE617205FA}"/>
  </bookViews>
  <sheets>
    <sheet name="Sheet1"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5" i="1" l="1"/>
  <c r="C145" i="1"/>
  <c r="H143" i="1"/>
  <c r="C143" i="1"/>
  <c r="H141" i="1"/>
  <c r="C141" i="1"/>
  <c r="H140" i="1"/>
  <c r="C140" i="1"/>
  <c r="H139" i="1"/>
  <c r="C139" i="1"/>
  <c r="H137" i="1"/>
  <c r="C137" i="1"/>
  <c r="L126" i="1"/>
  <c r="C23" i="1"/>
  <c r="C9" i="1"/>
  <c r="C8" i="1"/>
  <c r="C7" i="1"/>
  <c r="A2" i="1"/>
  <c r="E26" i="1" l="1" a="1"/>
  <c r="E26" i="1" s="1"/>
  <c r="G26" i="1" a="1"/>
  <c r="G26" i="1" s="1"/>
  <c r="G27" i="1" s="1"/>
  <c r="C34" i="1" a="1"/>
  <c r="C34" i="1" s="1"/>
  <c r="M33" i="1" s="1"/>
  <c r="M14" i="1" a="1"/>
  <c r="M14" i="1" s="1"/>
  <c r="M23" i="1" a="1"/>
  <c r="M23" i="1" s="1"/>
  <c r="I26" i="1" a="1"/>
  <c r="I26" i="1" s="1"/>
  <c r="I27" i="1" s="1"/>
  <c r="M32" i="1" a="1"/>
  <c r="M32" i="1" s="1"/>
  <c r="K26" i="1" a="1"/>
  <c r="K26" i="1" s="1"/>
  <c r="K27" i="1" s="1"/>
  <c r="E14" i="1" a="1"/>
  <c r="E14" i="1" s="1"/>
  <c r="E13" i="1" a="1"/>
  <c r="E13" i="1" s="1"/>
  <c r="E23" i="1" a="1"/>
  <c r="E23" i="1" s="1"/>
  <c r="I23" i="1" a="1"/>
  <c r="I23" i="1" s="1"/>
  <c r="C36" i="1" a="1"/>
  <c r="C36" i="1" s="1"/>
  <c r="C26" i="1" l="1"/>
  <c r="C27" i="1" s="1"/>
  <c r="C35" i="1" s="1"/>
  <c r="E27"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26" authorId="0" shapeId="0" xr:uid="{0AB1CD72-9678-47F7-B5FF-044DF98E8C7B}">
      <text>
        <r>
          <rPr>
            <sz val="10"/>
            <color rgb="FF000000"/>
            <rFont val="Aptos Narrow"/>
            <scheme val="minor"/>
          </rPr>
          <t>Pondere din nota de la E / V</t>
        </r>
      </text>
    </comment>
  </commentList>
</comments>
</file>

<file path=xl/sharedStrings.xml><?xml version="1.0" encoding="utf-8"?>
<sst xmlns="http://schemas.openxmlformats.org/spreadsheetml/2006/main" count="193" uniqueCount="130">
  <si>
    <t>FIȘA DISCIPLINEI</t>
  </si>
  <si>
    <t>1. Date despre program</t>
  </si>
  <si>
    <t>1.1 Instituţia de învăţământ superior</t>
  </si>
  <si>
    <t>Universitatea Tehnică „Gheorghe Asachi” din Iaşi</t>
  </si>
  <si>
    <t>1.2 Facultatea</t>
  </si>
  <si>
    <t>Automatică și Calculatoare</t>
  </si>
  <si>
    <t>1.3 Departamentul</t>
  </si>
  <si>
    <t>Automatică și Informatică Aplicată</t>
  </si>
  <si>
    <t>1.4 Domeniul de studii</t>
  </si>
  <si>
    <t>1.5 Ciclul de studii</t>
  </si>
  <si>
    <t>1.6. Programul de studii</t>
  </si>
  <si>
    <t>2. Date despre disciplină</t>
  </si>
  <si>
    <t xml:space="preserve">2.1.1 Denumirea disciplinei – (în limba română) </t>
  </si>
  <si>
    <t>Sport III</t>
  </si>
  <si>
    <t>(în limba engleză, conform Suplimentului la diplomă)</t>
  </si>
  <si>
    <t>2.1.2. Codul disciplinei</t>
  </si>
  <si>
    <t xml:space="preserve">2.1.3. Categoria formativă </t>
  </si>
  <si>
    <t>2.2 Titularul / titularii activităţilor de curs</t>
  </si>
  <si>
    <t>2.3 Titularul / titularii activităţilor de aplicaţii (S, L, P, Pr)</t>
  </si>
  <si>
    <t>Conf.univ.dr. Catalina Mihaela Stirbu</t>
  </si>
  <si>
    <t>2.4 Anul de studii</t>
  </si>
  <si>
    <t>2.5 Semestrul</t>
  </si>
  <si>
    <t>2.6 Tipul de evaluare</t>
  </si>
  <si>
    <t>2.7 Opționalitate</t>
  </si>
  <si>
    <r>
      <rPr>
        <b/>
        <sz val="12"/>
        <color theme="1"/>
        <rFont val="Arial"/>
      </rPr>
      <t>3. Timpul total estimat al activităţilor zilnice</t>
    </r>
    <r>
      <rPr>
        <sz val="12"/>
        <color theme="1"/>
        <rFont val="Arial"/>
      </rPr>
      <t xml:space="preserve"> (ore pe semestru)</t>
    </r>
  </si>
  <si>
    <t>3.1 Număr de ore pe săptămână</t>
  </si>
  <si>
    <t>3.2 curs</t>
  </si>
  <si>
    <t>3.3a sem.</t>
  </si>
  <si>
    <t>3.3b laborator</t>
  </si>
  <si>
    <t>3.3c proiect</t>
  </si>
  <si>
    <t>3.3.d practică</t>
  </si>
  <si>
    <t>3.4 Total ore din planul de învăţământ</t>
  </si>
  <si>
    <t>3.5 curs</t>
  </si>
  <si>
    <t>3.6a sem.</t>
  </si>
  <si>
    <t>3.6b laborator</t>
  </si>
  <si>
    <t>3.6c proiect</t>
  </si>
  <si>
    <t>3.6.d</t>
  </si>
  <si>
    <t>Distribuţia fondului de timp</t>
  </si>
  <si>
    <t>Nr. ore</t>
  </si>
  <si>
    <t>Studiul după manual, suport de curs, bibliografie şi notiţe</t>
  </si>
  <si>
    <t>Documentare suplimentară în bibliotecă, pe platformele electronice de specialitate şi pe teren</t>
  </si>
  <si>
    <t>Pregătire seminarii/ laboratoare/ proiecte, teme, referate şi portofolii</t>
  </si>
  <si>
    <t>Examinări</t>
  </si>
  <si>
    <t>Alte activităţi:</t>
  </si>
  <si>
    <t>3.7 Total ore studiu individual</t>
  </si>
  <si>
    <t>3.8 Total ore pe semestru</t>
  </si>
  <si>
    <t>3.9 Numărul de credite</t>
  </si>
  <si>
    <r>
      <rPr>
        <b/>
        <sz val="12"/>
        <color theme="1"/>
        <rFont val="Arial"/>
      </rPr>
      <t>4. Precondiţii</t>
    </r>
    <r>
      <rPr>
        <sz val="12"/>
        <color theme="1"/>
        <rFont val="Arial"/>
      </rPr>
      <t xml:space="preserve"> (acolo unde este cazul)</t>
    </r>
  </si>
  <si>
    <t>4.1 de curriculum</t>
  </si>
  <si>
    <t>-</t>
  </si>
  <si>
    <t>4.2 de rezultate ale învățării</t>
  </si>
  <si>
    <t>5. Condiţii</t>
  </si>
  <si>
    <t>5.1 de desfăşurare a cursului</t>
  </si>
  <si>
    <t>5.2 de desfăşurare a seminarului / laboratorului / proiectului</t>
  </si>
  <si>
    <t xml:space="preserve">•        Teren  sintetic de fotbal, handbal, baschet, volei;
•        Sală de tenis de masă, sală de gimnastică, sală de forță, materiale specifice desfășurării activității
</t>
  </si>
  <si>
    <t>6. Obiectivul general al disciplinei</t>
  </si>
  <si>
    <t>La această disciplină veți afla cunoștințe fundamentale și de specialitate din domeniul Educației Fizice și Sportului, care sa vă ajute în practicarea, în mod independent, a exercițiul fizic, în vederea măririi capacității de efort fizic și intelectual, dezvoltării armonioase a organismului, optimizării stării de sănătate, prevenirii deficienţelor fizice globale şi segmentare, formarea şi menţinerea atitudinilor corecte ale corpului.
Pentru realizarea acestui obiectiv, disciplina Educație Fizică se va axa pe însușirea și consolidarea unor elemente și procedee tehnice de bază în atletism, gimnastică, jocuri sportive, fitness și aplicarea lor în jocuri bilaterale sau activități individuale. De asemenea, pentru a pune în practică aceste cunoștințe este necesară învățarea noțiunilor de regulament de desfășurare a diferitelor competiții sportive.</t>
  </si>
  <si>
    <t>7. Rezultatele învățării</t>
  </si>
  <si>
    <t>Cunoștințe</t>
  </si>
  <si>
    <t>Studentul / Absolventul:</t>
  </si>
  <si>
    <t xml:space="preserve"> - să acumuleze cunoştințe generale privind educaţia fizică şi evidenţierea conţinutului său
specific;
- să acumuleze cunoştinţe privind efectele activităţilor motrice asupra organismului;
- să acumuleze noţiuni referitoare la particularităţile lecţiei de educaţie fizică la nivelul
învăţământului superior de neprofil;
- să aplice cunoştinţele cu caracter formativ, din domeniul educaţiei fizice şi sportului, la
nivelul activităţilor cotidiene.
</t>
  </si>
  <si>
    <t>Aptitudini</t>
  </si>
  <si>
    <t xml:space="preserve">-  să stabilească obiectivele şi a sarcinile specifice activităţilor desfăşurate;
- să-și dezvolte capacitatea de practicare sistematică şi independentă a exerciţiilor fizice;
- să valorifice comunicarea în sport ca modalitate de integrare socială;
- să-și dezvolte capacitatea de a înţelege, opera şi extinde activitatea motrică în timpul
liber şi recreere;
- să-și dezvolte capacitatea de a valorifica efectele pozitive ale educaţiei fizice asupra
personalităţii şi calităţii vieţii;
- să conceapă şi să aplice programe de exerciţii fizice adaptate obiectivelor activităţii
desfăşurate;
- să coordoneze, să se integreze şi să participe la activităţile sportive;
- să identifice soluţii privind optimizarea timpului liber;
- să mobilizeze resursele umane în acţiuni de voluntariat;
- să cunoască modalităţile de evaluare specifice educaţiei fizice.
  </t>
  </si>
  <si>
    <t>Responsabilitate și autonomie</t>
  </si>
  <si>
    <t xml:space="preserve">-  să se integreze şi să participe la activităţile sportive, promovând valorile fair-play-ului;
 - să dezvolte relaţii principiale şi constructive cu partenerii sociali;
 - să se adapteze, în condiţii optime şi de o manieră eficientă, la situaţii noi;
 - să dezvolte atitudini pro-active, gândire pozitivă şi relaţii interpersonale;
 - să conştientizeze importanţa practicării exerciţiilor fizice în vederea menţinerii unei stări
  optime de sănătate, creşterii rezistenţei organismului şi sporirii capacităţii de muncă fizică şi intelectuală. </t>
  </si>
  <si>
    <t xml:space="preserve">8. Metode de predare </t>
  </si>
  <si>
    <t xml:space="preserve">În cadrul procesului de predare, explicația reprezintă o metodă didactică fundamentală, care trebuie să fie clară, logic structurată, concisă și adecvată contextului de predare. Demonstrația facilitează formarea unei reprezentări corecte și precise a conținuturilor motrice ce urmează a fi însușite, fiind realizată fie de către profesorul de educație fizică, fie de un student cu experiență, implicat activ în activitatea practică. 
Exersarea constituie metoda principală prin care se finalizează procesul de învățare motrică, având ca obiective formarea și consolidarea deprinderilor și priceperilor motrice, dezvoltarea și educarea calităților motrice, optimizarea dezvoltării fizice, formarea capacității de autoorganizare, precum și dezvoltarea autonomiei și independenței în practicarea exercițiilor fizice.
</t>
  </si>
  <si>
    <t>9. Conţinuturi</t>
  </si>
  <si>
    <t>9.1. Curs</t>
  </si>
  <si>
    <t>Metode de predare</t>
  </si>
  <si>
    <t>Timp alocat</t>
  </si>
  <si>
    <t>1</t>
  </si>
  <si>
    <t>2</t>
  </si>
  <si>
    <t>3</t>
  </si>
  <si>
    <t>4</t>
  </si>
  <si>
    <t>5</t>
  </si>
  <si>
    <t>6</t>
  </si>
  <si>
    <t>7</t>
  </si>
  <si>
    <t>8</t>
  </si>
  <si>
    <t>9</t>
  </si>
  <si>
    <t>10</t>
  </si>
  <si>
    <t>11</t>
  </si>
  <si>
    <t>12</t>
  </si>
  <si>
    <t>13</t>
  </si>
  <si>
    <t>14</t>
  </si>
  <si>
    <t xml:space="preserve">Bibliografie curs:
1. 
2. 
3. 
...
</t>
  </si>
  <si>
    <t>9.2a Seminar</t>
  </si>
  <si>
    <t>Metode de lucru</t>
  </si>
  <si>
    <t xml:space="preserve">      Atletism
o        Elemente din școala alergării
o        Tehnica pasului lansat și a startului din picioare
o        Pasul alergător de semifond
o        Alergare pe teren variat ( jogging )
</t>
  </si>
  <si>
    <t>2 ore</t>
  </si>
  <si>
    <t xml:space="preserve">Gimnastica de baza
•        Exerciții de front și formații, variante de mers și alergare, exerciții simple pe sol
•        Exerciții sub formă de joc și elemente dinamice simple din gimnastica acrobatică (rostogoliri, răsturnări etc.)
</t>
  </si>
  <si>
    <t xml:space="preserve">Gimnastica de baza, aerobica si artistica
•        Trasee aplicative combinate cu elemente de echilibru, escaladare, transport
•        Pași de dans clasic, modern și popular pe muzică adecvată
</t>
  </si>
  <si>
    <t xml:space="preserve">Jocuri sportive: baschet
•        Poziții fundamentale, așezare și deplasare în teren - initiere
•        Prindere și pasare a mingii de pe loc și din alergare - initiere
•        Exerciții de finalizare a acțiunilor tehnice și tehnico-tactice elementare, exerciții de marcaj și demarcaj-initiere
•        Participarea globala la jocuri pe terenuri reduse și normale cu diferire efective.
</t>
  </si>
  <si>
    <t xml:space="preserve">Jocuri sportive: baschet
•        Poziții fundamentale, așezare și deplasare în teren - consolidare
•        Prindere și pasare a mingii de pe loc și din alergare - consolidare
•        Exerciții de finalizare a acțiunilor tehnice și tehnico-tactice elementare, exerciții de marcaj și demarcaj-consolidare
•        Participarea globala la jocuri pe terenuri reduse și normale cu diferire efective.
</t>
  </si>
  <si>
    <t xml:space="preserve">Jocuri sportive:handbal
•        Poziții fundamentale, așezare și deplasare în teren-initiere
•        Prindere și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</si>
  <si>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sportive:handbal
•        Poziții fundamentale, așezare și deplasare în teren-consolidare
•        Prindere și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</si>
  <si>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fotbal
•        Poziții fundamentale, așezare și deplasare în teren-initiere
•         Exerciții de lovire si ,pasare a mingii de pe loc și din alergare-initiere
•        Exerciții de finalizare a acțiunilor tehnice și tehnico-tactice elementare, exerciții de marcaj și demarcaj-initiere
•        Participarea globala la jocuri pe terenuri reduse și normale cu diferire efective.
</t>
  </si>
  <si>
    <t xml:space="preserve">Jocuri sportive: fotbal
•        Poziții fundamentale, așezare și deplasare în teren-consolidare
•         Exerciții de lovire si ,pasare a mingii de pe loc și din alergare-consolidare
•        Exerciții de finalizare a acțiunilor tehnice și tehnico-tactice elementare, exerciții de marcaj și demarcaj-consolidare
•        Participarea globala la jocuri pe terenuri reduse și normale cu diferire efective.
</t>
  </si>
  <si>
    <t xml:space="preserve">Jocuri sportive: volei
•        Poziții fundamentale, așezare și deplasare în teren-initiere
•        Exercitii pentru lovitura de atac, serviciu, exerciții pentru preluare și pasare a mingii-initiere 
•        Participarea globala la jocuri pe terenuri reduse și normale cu diferire efective.
</t>
  </si>
  <si>
    <t xml:space="preserve">Jocuri sportive: volei
•        Poziții fundamentale, așezare și deplasare în teren-consolidare
•        Exercitii pentru lovitura de atac, serviciu, exerciții pentru preluare și pasare a mingii-consolidare 
•        Participarea globala la jocuri pe terenuri reduse și normale cu diferire efective.
</t>
  </si>
  <si>
    <t xml:space="preserve">Disciplina sportiva:  tenis de masa
•        Poziții fundamentale, așezare și deplasare-initiere
•        Exercitii pentru serviciu, pentru lovire din deplasare si de pe loc-initiere
•        Joc bilateral cu aplicarea notiunilor invatate
•        Participare competitii organizate
</t>
  </si>
  <si>
    <t xml:space="preserve">
  Îmbunătățirea calităților motrice de baza și specifice unor ramuri sportive, prin folosirea unor mijloace de culturism, atletism, fitness.
•        Creșterea forței și a masei musculare prin folosirea adecvată și individualizată a greutăților,
•        Exerciții de ajustare a formelor și de transformare a grăsimilor în masa activa.
•        Îmbunătățirea formelor de manifestare ale vitezei (reacție, repetiție, deplasare, execuție prin exerciții specifice)
•        Ameliorarea indicilor de coordonare generală și îndemânare specifică diferitelor ramuri sportive
•        Creșterea mobilității și supleții la nivelul diferitelor segmente
•        Creșterea rezistenței la alergare
</t>
  </si>
  <si>
    <t xml:space="preserve">- Competitii si jocuri bilaterale la nivel de grupa si an </t>
  </si>
  <si>
    <t>9.2b Laborator</t>
  </si>
  <si>
    <t>9.2c Proiect</t>
  </si>
  <si>
    <t xml:space="preserve">Bibliografie aplicaţii (seminar / laborator / proiect):
1. Brata Maria,1996,  Metodica educaţiei fizice şi sportului, vol. I, Universitatea Oradea, 
2. Cârstea Gh.,1993, Teoria şi Metodica Educaţiei fizice şi sportulu , Editura Universul, Bucureşti, 
3. Dragnea A. şi col.,2006, Eduaţie fizică şi sport – teorie si didactica, Editura FEST, Bucureşti, 
4.Dragnea, A., Bota, A., 1999, Teoria activităţilor motrice, Editura Didactica şi Pedagogica, R.A., Bucureşti
5.Gaiţă D.,Merghes P.; 2002, Primul pas – Principii practice ale antrenamentului fizic în bolile cardiovasculare; Ed Mirton, Timisoara
6. Hanţiu I., 2011, Teoria educaţiei fizice şi sportului, Editura Universităţii din Oradea, 
7.Ionescu, A., Mazilu ,V. 1971, Exerciţiul fizic în slujba sănătăţii, Editura Stadion, Bucuresti
8.Ionescu I.V.1995, Fotbal, Ed. Helicon, Bucuresti
9.Maroti, Ş., 2008 Baschet, volumul I, Editura Universităţii din Oradea, Oradea
10.Maroti ,Ş., 2009 Baschet. Volumul II, Editura Universităţii din Oradea, Oradea. 
11.Merghes P,Ţeghiu A., 2006; Gimnastica medicală pentru prevenirea şi corectarea deficienţelor fizice; Ed Mirton, Timisoara 
12.Morun P.;1996, Curs practic de educaţie fizică şi sport. 
13.Preda O.;1995, Volei la studenţi; Ed.Mirton, Timisoaraa
14. Siclovan I.,1979, Teoria educaţiei fizice şi sportului, Editura Sport - Turism, Bucureşti
15.Teghiu A., Merghes P, 2009, Deficientele Fizice-ghid practic” Ed. Eurostampa Timisoara 
16.Ulmeanu, Constantin ,1996, Noţiuni de fiziologie cu aplicaţii la exerciţiile fizice, Editura UCFS, Bucuresti
17.www.frb.ro, 2025, Regulamentul oficial al jocului de baschet, F.R. Baschet
18.www.frf.ro, 2025, Regulamentul oficial al jocului de fotbal, F.R. Fotbal 
19.www.frh.ro, 2025, Regulamentul oficial al jocului de handbal, F.R. Handbal
20. www.frv.ro, 2025, Regulamentul oficial al jocului de volei, F.R.Volei
</t>
  </si>
  <si>
    <t>10. Evaluare</t>
  </si>
  <si>
    <t>Tip activitate</t>
  </si>
  <si>
    <t>10.1 Criterii de evaluare</t>
  </si>
  <si>
    <t>10.2 Metode de evaluare</t>
  </si>
  <si>
    <t>10.3 Pondere din nota finală [%]</t>
  </si>
  <si>
    <t>10.4 Examen / Verificare</t>
  </si>
  <si>
    <t>Abilitătile fizice dezvoltate și capacitatea de comunicare.
Capacitatea de a valorifica abilităţile dobândite.</t>
  </si>
  <si>
    <t xml:space="preserve"> - prezența este obligatorie, indiferent de nivelul de condiție fizică, conținutul este adaptat pe nivele de performanță,
- este admisă o singură absență nerecuperată,
- evaluarea participării la activitate
- test de evaluare formativ, (verificări pe parcursul semestrului)
- observarea sistematică și îndrumare activă.
</t>
  </si>
  <si>
    <t>100%</t>
  </si>
  <si>
    <t>10.5a Seminar</t>
  </si>
  <si>
    <t>Capacitatea de aplicare în practică a cunoştinţelor învăţate. Capacitatea de analiză, de interpretare personală, originalitatea, creativitatea.</t>
  </si>
  <si>
    <t>10.5b Laborator</t>
  </si>
  <si>
    <t>Activitatea de laborator – Capacitatea de lucra în echipă, Capacitatea de aplicare în practică, în contexte diferite, a cunoştinţelor învăţate.
Capacitatea de analiză, de interpretare personală, originalitatea, creativitatea.</t>
  </si>
  <si>
    <t>10.5c Proiect</t>
  </si>
  <si>
    <t>Participarea la activitatea de proicetare, capacitatea de documentare, aplicarea cunoștințelor în activitatea de proiectare.</t>
  </si>
  <si>
    <t>10.6 Condiții de promovare</t>
  </si>
  <si>
    <t>Rezultatul evaluării finale rezultă prin considerarea punctajelor și ponderilor alocate fiecărei activităţi din cadrul disciplinei. Se vor acorda note întregi de la 10 la 1, nota 5 certificând dobândirea rezultatelor învăţării minimale aferente disciplinei şi acordarea creditelor de studii aferente acesteia.</t>
  </si>
  <si>
    <t>Data completării:</t>
  </si>
  <si>
    <t>Titular/ titulari de curs:</t>
  </si>
  <si>
    <t>Titular/ titulari de aplicații:</t>
  </si>
  <si>
    <t>Data avizării în departament:</t>
  </si>
  <si>
    <t>Director de departament:</t>
  </si>
  <si>
    <t>Data aprobării în Consiliul Facultății:</t>
  </si>
  <si>
    <t>Decan: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</si>
</sst>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9" x14ac:knownFonts="1">
    <font>
      <sz val="11"/>
      <color theme="1"/>
      <name val="Aptos Narrow"/>
      <family val="2"/>
      <scheme val="minor"/>
    </font>
    <font>
      <b/>
      <sz val="14"/>
      <color theme="1"/>
      <name val="Arial"/>
    </font>
    <font>
      <sz val="12"/>
      <color theme="1"/>
      <name val="Arial"/>
    </font>
    <font>
      <b/>
      <sz val="12"/>
      <color theme="1"/>
      <name val="Arial"/>
    </font>
    <font>
      <sz val="10"/>
      <name val="Arial"/>
    </font>
    <font>
      <sz val="12"/>
      <color rgb="FF000000"/>
      <name val="Arial"/>
    </font>
    <font>
      <i/>
      <sz val="12"/>
      <color theme="1"/>
      <name val="Arial"/>
    </font>
    <font>
      <sz val="10"/>
      <color theme="1"/>
      <name val="Arial"/>
    </font>
    <font>
      <sz val="10"/>
      <color rgb="FF000000"/>
      <name val="Aptos Narrow"/>
      <scheme val="minor"/>
    </font>
  </fonts>
  <fills count="4">
    <fill>
      <patternFill patternType="none"/>
    </fill>
    <fill>
      <patternFill patternType="gray125"/>
    </fill>
    <fill>
      <patternFill patternType="solid">
        <fgColor rgb="FFEFEFEF"/>
        <bgColor rgb="FFEFEFEF"/>
      </patternFill>
    </fill>
    <fill>
      <patternFill patternType="solid">
        <fgColor rgb="FFD9EAD3"/>
        <bgColor rgb="FFD9EAD3"/>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s>
  <cellStyleXfs count="1">
    <xf numFmtId="0" fontId="0" fillId="0" borderId="0"/>
  </cellStyleXfs>
  <cellXfs count="67">
    <xf numFmtId="0" fontId="0" fillId="0" borderId="0" xfId="0"/>
    <xf numFmtId="0" fontId="1" fillId="0" borderId="0" xfId="0" applyFont="1" applyAlignment="1">
      <alignment horizontal="center" vertical="center" wrapText="1"/>
    </xf>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xf numFmtId="0" fontId="2" fillId="2" borderId="1" xfId="0" applyFont="1" applyFill="1" applyBorder="1" applyAlignment="1">
      <alignment vertical="center" wrapText="1"/>
    </xf>
    <xf numFmtId="0" fontId="4" fillId="0" borderId="2" xfId="0" applyFont="1" applyBorder="1"/>
    <xf numFmtId="0" fontId="2" fillId="0" borderId="1" xfId="0" applyFont="1" applyBorder="1" applyAlignment="1">
      <alignment vertical="center" wrapText="1"/>
    </xf>
    <xf numFmtId="0" fontId="4" fillId="0" borderId="3" xfId="0" applyFont="1" applyBorder="1"/>
    <xf numFmtId="0" fontId="5" fillId="2" borderId="1" xfId="0" applyFont="1" applyFill="1" applyBorder="1" applyAlignment="1">
      <alignment vertical="center" wrapText="1"/>
    </xf>
    <xf numFmtId="0" fontId="2" fillId="0" borderId="0" xfId="0" applyFont="1" applyAlignment="1">
      <alignment vertical="center" wrapText="1"/>
    </xf>
    <xf numFmtId="0" fontId="2" fillId="2" borderId="4" xfId="0" applyFont="1" applyFill="1" applyBorder="1" applyAlignment="1">
      <alignment vertical="center" wrapText="1"/>
    </xf>
    <xf numFmtId="0" fontId="4" fillId="0" borderId="5" xfId="0" applyFont="1" applyBorder="1"/>
    <xf numFmtId="0" fontId="4" fillId="0" borderId="6" xfId="0" applyFont="1" applyBorder="1"/>
    <xf numFmtId="0" fontId="2" fillId="0" borderId="4" xfId="0" applyFont="1" applyBorder="1" applyAlignment="1">
      <alignment horizontal="center" vertical="center" wrapText="1"/>
    </xf>
    <xf numFmtId="0" fontId="2" fillId="2" borderId="7" xfId="0" applyFont="1" applyFill="1" applyBorder="1" applyAlignment="1">
      <alignment vertical="center" wrapText="1"/>
    </xf>
    <xf numFmtId="0" fontId="4" fillId="0" borderId="8" xfId="0" applyFont="1" applyBorder="1"/>
    <xf numFmtId="0" fontId="4" fillId="0" borderId="9" xfId="0" applyFont="1" applyBorder="1"/>
    <xf numFmtId="0" fontId="6" fillId="0" borderId="7" xfId="0" applyFont="1" applyBorder="1" applyAlignment="1">
      <alignment horizontal="center" vertical="center" wrapText="1"/>
    </xf>
    <xf numFmtId="0" fontId="2" fillId="0" borderId="7" xfId="0" applyFont="1" applyBorder="1" applyAlignment="1">
      <alignment horizontal="center" vertical="center" wrapText="1"/>
    </xf>
    <xf numFmtId="0" fontId="2" fillId="0" borderId="3" xfId="0" applyFont="1" applyBorder="1" applyAlignment="1">
      <alignment horizontal="center" vertical="center" wrapText="1"/>
    </xf>
    <xf numFmtId="0" fontId="2" fillId="3" borderId="1" xfId="0" applyFont="1" applyFill="1" applyBorder="1" applyAlignment="1">
      <alignment vertical="center" wrapText="1"/>
    </xf>
    <xf numFmtId="0" fontId="4" fillId="0" borderId="7" xfId="0" applyFont="1" applyBorder="1"/>
    <xf numFmtId="0" fontId="4" fillId="0" borderId="10" xfId="0" applyFont="1" applyBorder="1"/>
    <xf numFmtId="0" fontId="4" fillId="0" borderId="11" xfId="0" applyFont="1" applyBorder="1"/>
    <xf numFmtId="0" fontId="2" fillId="0" borderId="12" xfId="0" applyFont="1" applyBorder="1" applyAlignment="1">
      <alignment horizontal="center" vertical="center" wrapText="1"/>
    </xf>
    <xf numFmtId="0" fontId="2" fillId="2" borderId="12" xfId="0" applyFont="1" applyFill="1" applyBorder="1" applyAlignment="1">
      <alignment vertical="center" wrapText="1"/>
    </xf>
    <xf numFmtId="0" fontId="2" fillId="2" borderId="1" xfId="0" applyFont="1" applyFill="1" applyBorder="1" applyAlignment="1">
      <alignment horizontal="right" vertical="center" wrapText="1"/>
    </xf>
    <xf numFmtId="0" fontId="3" fillId="0" borderId="0" xfId="0" applyFont="1" applyAlignment="1">
      <alignment vertical="center" wrapText="1"/>
    </xf>
    <xf numFmtId="1" fontId="2" fillId="0" borderId="12" xfId="0" applyNumberFormat="1" applyFont="1" applyBorder="1" applyAlignment="1">
      <alignment horizontal="center" vertical="center" wrapText="1"/>
    </xf>
    <xf numFmtId="0" fontId="2" fillId="3" borderId="12" xfId="0" applyFont="1" applyFill="1" applyBorder="1" applyAlignment="1">
      <alignment horizontal="center" vertical="center" wrapText="1"/>
    </xf>
    <xf numFmtId="0" fontId="2" fillId="3" borderId="1" xfId="0" applyFont="1" applyFill="1" applyBorder="1"/>
    <xf numFmtId="0" fontId="2" fillId="3" borderId="1" xfId="0" applyFont="1" applyFill="1" applyBorder="1" applyAlignment="1">
      <alignment vertical="top" wrapText="1"/>
    </xf>
    <xf numFmtId="0" fontId="3" fillId="2" borderId="13" xfId="0" applyFont="1" applyFill="1" applyBorder="1" applyAlignment="1">
      <alignment horizontal="center" vertical="center" textRotation="90" wrapText="1"/>
    </xf>
    <xf numFmtId="0" fontId="2" fillId="2" borderId="1" xfId="0" applyFont="1" applyFill="1" applyBorder="1" applyAlignment="1">
      <alignment horizontal="left" vertical="top" wrapText="1"/>
    </xf>
    <xf numFmtId="0" fontId="4" fillId="0" borderId="14" xfId="0" applyFont="1" applyBorder="1"/>
    <xf numFmtId="0" fontId="3" fillId="2" borderId="1" xfId="0" applyFont="1" applyFill="1" applyBorder="1" applyAlignment="1">
      <alignment horizontal="center" vertical="center" wrapText="1"/>
    </xf>
    <xf numFmtId="49" fontId="2" fillId="3" borderId="12" xfId="0" applyNumberFormat="1" applyFont="1" applyFill="1" applyBorder="1" applyAlignment="1">
      <alignment horizontal="center" vertical="center" wrapText="1"/>
    </xf>
    <xf numFmtId="0" fontId="2" fillId="3" borderId="4" xfId="0" applyFont="1" applyFill="1" applyBorder="1" applyAlignment="1">
      <alignment vertical="center" wrapText="1"/>
    </xf>
    <xf numFmtId="0" fontId="2" fillId="3" borderId="1" xfId="0" applyFont="1" applyFill="1" applyBorder="1" applyAlignment="1">
      <alignment wrapText="1"/>
    </xf>
    <xf numFmtId="0" fontId="2" fillId="3" borderId="1" xfId="0" applyFont="1" applyFill="1" applyBorder="1" applyAlignment="1">
      <alignment horizontal="center" vertical="center" wrapText="1"/>
    </xf>
    <xf numFmtId="49" fontId="2" fillId="3" borderId="1" xfId="0" applyNumberFormat="1" applyFont="1" applyFill="1" applyBorder="1" applyAlignment="1">
      <alignment vertical="top" wrapText="1"/>
    </xf>
    <xf numFmtId="49" fontId="3" fillId="2" borderId="12" xfId="0" applyNumberFormat="1" applyFont="1" applyFill="1" applyBorder="1" applyAlignment="1">
      <alignment horizontal="center" vertical="center" wrapText="1"/>
    </xf>
    <xf numFmtId="49" fontId="3" fillId="2" borderId="1" xfId="0" applyNumberFormat="1" applyFont="1" applyFill="1" applyBorder="1" applyAlignment="1">
      <alignment vertical="center" wrapText="1"/>
    </xf>
    <xf numFmtId="49" fontId="3" fillId="2" borderId="1" xfId="0" applyNumberFormat="1" applyFont="1" applyFill="1" applyBorder="1" applyAlignment="1">
      <alignment horizontal="center" vertical="center" wrapText="1"/>
    </xf>
    <xf numFmtId="49" fontId="3" fillId="2" borderId="13" xfId="0" applyNumberFormat="1" applyFont="1" applyFill="1" applyBorder="1" applyAlignment="1">
      <alignment horizontal="center" vertical="center" wrapText="1"/>
    </xf>
    <xf numFmtId="49" fontId="2" fillId="3" borderId="4" xfId="0" applyNumberFormat="1" applyFont="1" applyFill="1" applyBorder="1" applyAlignment="1">
      <alignment vertical="center" wrapText="1"/>
    </xf>
    <xf numFmtId="49" fontId="2" fillId="3" borderId="13" xfId="0" applyNumberFormat="1"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7" fillId="0" borderId="0" xfId="0" applyFont="1"/>
    <xf numFmtId="0" fontId="4" fillId="0" borderId="15" xfId="0" applyFont="1" applyBorder="1"/>
    <xf numFmtId="49" fontId="2" fillId="3" borderId="1" xfId="0" applyNumberFormat="1" applyFont="1" applyFill="1" applyBorder="1" applyAlignment="1">
      <alignment vertical="center" wrapText="1"/>
    </xf>
    <xf numFmtId="9" fontId="2" fillId="3" borderId="1" xfId="0" applyNumberFormat="1" applyFont="1" applyFill="1" applyBorder="1" applyAlignment="1">
      <alignment horizontal="center" vertical="center" wrapText="1"/>
    </xf>
    <xf numFmtId="49" fontId="2" fillId="0" borderId="1" xfId="0" applyNumberFormat="1" applyFont="1" applyBorder="1" applyAlignment="1">
      <alignment vertical="center" wrapText="1"/>
    </xf>
    <xf numFmtId="49" fontId="2" fillId="3" borderId="2" xfId="0" applyNumberFormat="1" applyFont="1" applyFill="1" applyBorder="1" applyAlignment="1">
      <alignment vertical="top" wrapText="1"/>
    </xf>
    <xf numFmtId="49" fontId="2" fillId="3" borderId="2" xfId="0" applyNumberFormat="1" applyFont="1" applyFill="1" applyBorder="1" applyAlignment="1">
      <alignment vertical="center" wrapText="1"/>
    </xf>
    <xf numFmtId="49" fontId="2" fillId="3" borderId="3" xfId="0" applyNumberFormat="1" applyFont="1" applyFill="1" applyBorder="1" applyAlignment="1">
      <alignment vertical="center" wrapText="1"/>
    </xf>
    <xf numFmtId="49" fontId="2" fillId="0" borderId="1" xfId="0" applyNumberFormat="1" applyFont="1" applyBorder="1" applyAlignment="1">
      <alignment wrapText="1"/>
    </xf>
    <xf numFmtId="0" fontId="3" fillId="2" borderId="1" xfId="0" applyFont="1" applyFill="1" applyBorder="1" applyAlignment="1">
      <alignment horizontal="right" vertical="center" wrapText="1"/>
    </xf>
    <xf numFmtId="164" fontId="2" fillId="3" borderId="1" xfId="0" applyNumberFormat="1" applyFont="1" applyFill="1" applyBorder="1" applyAlignment="1">
      <alignment horizontal="left" vertical="center" wrapText="1"/>
    </xf>
    <xf numFmtId="0" fontId="3" fillId="2" borderId="4" xfId="0" applyFont="1" applyFill="1" applyBorder="1" applyAlignment="1">
      <alignment horizontal="right" vertical="center" wrapText="1"/>
    </xf>
    <xf numFmtId="164" fontId="2"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right" vertical="center" wrapText="1"/>
    </xf>
    <xf numFmtId="0" fontId="2"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Madalin\Downloads\FD%20AIA%20-%202.xlsx" TargetMode="External"/><Relationship Id="rId1" Type="http://schemas.openxmlformats.org/officeDocument/2006/relationships/externalLinkPath" Target="/Users/Madalin/Downloads/FD%20AIA%20-%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MN"/>
      <sheetName val="ASDN"/>
      <sheetName val="MS"/>
      <sheetName val="ED"/>
      <sheetName val="SDA"/>
      <sheetName val="MSF"/>
      <sheetName val="IA"/>
      <sheetName val="BD"/>
      <sheetName val="AM"/>
      <sheetName val="TO"/>
      <sheetName val="SPD"/>
      <sheetName val="MT"/>
      <sheetName val="LE I"/>
      <sheetName val="LE II"/>
      <sheetName val="SP III"/>
      <sheetName val="CI"/>
      <sheetName val="EI"/>
      <sheetName val="D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
          <cell r="C1" t="str">
            <v>Anul universitar: 2025-2026</v>
          </cell>
        </row>
        <row r="2">
          <cell r="B2" t="str">
            <v>Ingineria sistemelor</v>
          </cell>
        </row>
        <row r="3">
          <cell r="B3" t="str">
            <v>Licență</v>
          </cell>
        </row>
        <row r="4">
          <cell r="B4">
            <v>2</v>
          </cell>
        </row>
        <row r="5">
          <cell r="C5" t="str">
            <v>Automatică și Informatică Aplicată</v>
          </cell>
        </row>
        <row r="8">
          <cell r="A8">
            <v>1</v>
          </cell>
          <cell r="C8" t="str">
            <v>Metode numerice</v>
          </cell>
          <cell r="D8" t="str">
            <v>Numerical Methods</v>
          </cell>
          <cell r="E8" t="str">
            <v>AIA201</v>
          </cell>
          <cell r="F8" t="str">
            <v>DI</v>
          </cell>
          <cell r="G8" t="str">
            <v>DF</v>
          </cell>
          <cell r="H8">
            <v>2</v>
          </cell>
          <cell r="I8">
            <v>0</v>
          </cell>
          <cell r="J8">
            <v>2</v>
          </cell>
          <cell r="K8">
            <v>0</v>
          </cell>
          <cell r="L8">
            <v>69</v>
          </cell>
          <cell r="M8" t="str">
            <v>E</v>
          </cell>
          <cell r="N8">
            <v>5</v>
          </cell>
        </row>
        <row r="9">
          <cell r="A9">
            <v>1</v>
          </cell>
          <cell r="C9" t="str">
            <v>Analiza și sinteza dispozitivelor numerice</v>
          </cell>
          <cell r="D9" t="str">
            <v>Analysis and Synthesis of Digital Devices</v>
          </cell>
          <cell r="E9" t="str">
            <v>AIA202</v>
          </cell>
          <cell r="F9" t="str">
            <v>DI</v>
          </cell>
          <cell r="G9" t="str">
            <v>DD</v>
          </cell>
          <cell r="H9">
            <v>2</v>
          </cell>
          <cell r="I9">
            <v>0</v>
          </cell>
          <cell r="J9">
            <v>2</v>
          </cell>
          <cell r="K9">
            <v>0</v>
          </cell>
          <cell r="L9">
            <v>69</v>
          </cell>
          <cell r="M9" t="str">
            <v>E</v>
          </cell>
          <cell r="N9">
            <v>5</v>
          </cell>
        </row>
        <row r="10">
          <cell r="A10">
            <v>1</v>
          </cell>
          <cell r="C10" t="str">
            <v>Matematici speciale</v>
          </cell>
          <cell r="D10" t="str">
            <v>Advanced Mathematics</v>
          </cell>
          <cell r="E10" t="str">
            <v>AIA203</v>
          </cell>
          <cell r="F10" t="str">
            <v>DI</v>
          </cell>
          <cell r="G10" t="str">
            <v>DF</v>
          </cell>
          <cell r="H10">
            <v>2</v>
          </cell>
          <cell r="I10">
            <v>2</v>
          </cell>
          <cell r="J10">
            <v>0</v>
          </cell>
          <cell r="K10">
            <v>0</v>
          </cell>
          <cell r="L10">
            <v>44</v>
          </cell>
          <cell r="M10" t="str">
            <v>C</v>
          </cell>
          <cell r="N10">
            <v>4</v>
          </cell>
        </row>
        <row r="11">
          <cell r="A11">
            <v>1</v>
          </cell>
          <cell r="C11" t="str">
            <v>Electronică digitală</v>
          </cell>
          <cell r="D11" t="str">
            <v>Digital Electronics</v>
          </cell>
          <cell r="E11" t="str">
            <v>AIA204</v>
          </cell>
          <cell r="F11" t="str">
            <v>DI</v>
          </cell>
          <cell r="G11" t="str">
            <v>DD</v>
          </cell>
          <cell r="H11">
            <v>2</v>
          </cell>
          <cell r="I11">
            <v>0</v>
          </cell>
          <cell r="J11">
            <v>2</v>
          </cell>
          <cell r="K11">
            <v>0</v>
          </cell>
          <cell r="L11">
            <v>44</v>
          </cell>
          <cell r="M11" t="str">
            <v>C</v>
          </cell>
          <cell r="N11">
            <v>4</v>
          </cell>
        </row>
        <row r="12">
          <cell r="A12">
            <v>1</v>
          </cell>
          <cell r="C12" t="str">
            <v>Structuri de date și algoritmi</v>
          </cell>
          <cell r="D12" t="str">
            <v>Data Structures and Algorithms</v>
          </cell>
          <cell r="E12" t="str">
            <v>AIA205</v>
          </cell>
          <cell r="F12" t="str">
            <v>DI</v>
          </cell>
          <cell r="G12" t="str">
            <v>DD</v>
          </cell>
          <cell r="H12">
            <v>2</v>
          </cell>
          <cell r="I12">
            <v>0</v>
          </cell>
          <cell r="J12">
            <v>2</v>
          </cell>
          <cell r="K12">
            <v>0</v>
          </cell>
          <cell r="L12">
            <v>69</v>
          </cell>
          <cell r="M12" t="str">
            <v>E</v>
          </cell>
          <cell r="N12">
            <v>5</v>
          </cell>
        </row>
        <row r="13">
          <cell r="A13">
            <v>1</v>
          </cell>
          <cell r="C13" t="str">
            <v>Modelarea sistemelor fizice</v>
          </cell>
          <cell r="D13" t="str">
            <v>Modelling of Physical Systems</v>
          </cell>
          <cell r="E13" t="str">
            <v>AIA206</v>
          </cell>
          <cell r="F13" t="str">
            <v>DI</v>
          </cell>
          <cell r="G13" t="str">
            <v>DD</v>
          </cell>
          <cell r="H13">
            <v>2</v>
          </cell>
          <cell r="I13">
            <v>0</v>
          </cell>
          <cell r="J13">
            <v>2</v>
          </cell>
          <cell r="K13">
            <v>0</v>
          </cell>
          <cell r="L13">
            <v>69</v>
          </cell>
          <cell r="M13" t="str">
            <v>E</v>
          </cell>
          <cell r="N13">
            <v>5</v>
          </cell>
        </row>
        <row r="14">
          <cell r="A14">
            <v>2</v>
          </cell>
          <cell r="C14" t="str">
            <v>Introducere în automatică</v>
          </cell>
          <cell r="D14" t="str">
            <v>Fundamentals of Feedback Control</v>
          </cell>
          <cell r="E14" t="str">
            <v>AIA207</v>
          </cell>
          <cell r="F14" t="str">
            <v>DI</v>
          </cell>
          <cell r="G14" t="str">
            <v>DD</v>
          </cell>
          <cell r="H14">
            <v>3</v>
          </cell>
          <cell r="I14">
            <v>0</v>
          </cell>
          <cell r="J14">
            <v>2</v>
          </cell>
          <cell r="K14">
            <v>0</v>
          </cell>
          <cell r="L14">
            <v>55</v>
          </cell>
          <cell r="M14" t="str">
            <v>E</v>
          </cell>
          <cell r="N14">
            <v>5</v>
          </cell>
        </row>
        <row r="15">
          <cell r="A15">
            <v>2</v>
          </cell>
          <cell r="C15" t="str">
            <v>Baze de date</v>
          </cell>
          <cell r="D15" t="str">
            <v>Database Systems</v>
          </cell>
          <cell r="E15" t="str">
            <v>AIA208</v>
          </cell>
          <cell r="F15" t="str">
            <v>DI</v>
          </cell>
          <cell r="G15" t="str">
            <v>DD</v>
          </cell>
          <cell r="H15">
            <v>2</v>
          </cell>
          <cell r="I15">
            <v>0</v>
          </cell>
          <cell r="J15">
            <v>2</v>
          </cell>
          <cell r="K15">
            <v>0</v>
          </cell>
          <cell r="L15">
            <v>44</v>
          </cell>
          <cell r="M15" t="str">
            <v>C</v>
          </cell>
          <cell r="N15">
            <v>4</v>
          </cell>
        </row>
        <row r="16">
          <cell r="A16">
            <v>2</v>
          </cell>
          <cell r="C16" t="str">
            <v>Automate și microprogramare</v>
          </cell>
          <cell r="D16" t="str">
            <v>Automata and Microprogramming</v>
          </cell>
          <cell r="E16" t="str">
            <v>AIA209</v>
          </cell>
          <cell r="F16" t="str">
            <v>DI</v>
          </cell>
          <cell r="G16" t="str">
            <v>DD</v>
          </cell>
          <cell r="H16">
            <v>2</v>
          </cell>
          <cell r="I16">
            <v>0</v>
          </cell>
          <cell r="J16">
            <v>1</v>
          </cell>
          <cell r="K16">
            <v>1</v>
          </cell>
          <cell r="L16">
            <v>69</v>
          </cell>
          <cell r="M16" t="str">
            <v>E</v>
          </cell>
          <cell r="N16">
            <v>5</v>
          </cell>
        </row>
        <row r="17">
          <cell r="A17">
            <v>2</v>
          </cell>
          <cell r="C17" t="str">
            <v>Tehnici de optimizare</v>
          </cell>
          <cell r="D17" t="str">
            <v>Optimization Techniques</v>
          </cell>
          <cell r="E17" t="str">
            <v>AIA210</v>
          </cell>
          <cell r="F17" t="str">
            <v>DI</v>
          </cell>
          <cell r="G17" t="str">
            <v>DD</v>
          </cell>
          <cell r="H17">
            <v>2</v>
          </cell>
          <cell r="I17">
            <v>0</v>
          </cell>
          <cell r="J17">
            <v>2</v>
          </cell>
          <cell r="K17">
            <v>0</v>
          </cell>
          <cell r="L17">
            <v>69</v>
          </cell>
          <cell r="M17" t="str">
            <v>E</v>
          </cell>
          <cell r="N17">
            <v>5</v>
          </cell>
        </row>
        <row r="18">
          <cell r="A18">
            <v>2</v>
          </cell>
          <cell r="C18" t="str">
            <v>Statistică și prelucrarea datelor</v>
          </cell>
          <cell r="D18" t="str">
            <v>Statistics and Data Processing</v>
          </cell>
          <cell r="E18" t="str">
            <v>AIA211</v>
          </cell>
          <cell r="F18" t="str">
            <v>DI</v>
          </cell>
          <cell r="G18" t="str">
            <v>DF</v>
          </cell>
          <cell r="H18">
            <v>2</v>
          </cell>
          <cell r="I18">
            <v>0</v>
          </cell>
          <cell r="J18">
            <v>2</v>
          </cell>
          <cell r="K18">
            <v>0</v>
          </cell>
          <cell r="L18">
            <v>69</v>
          </cell>
          <cell r="M18" t="str">
            <v>E</v>
          </cell>
          <cell r="N18">
            <v>5</v>
          </cell>
        </row>
        <row r="19">
          <cell r="A19">
            <v>2</v>
          </cell>
          <cell r="C19" t="str">
            <v>Măsurări și traductoare</v>
          </cell>
          <cell r="D19" t="str">
            <v>Measurements and Transducers</v>
          </cell>
          <cell r="E19" t="str">
            <v>AIA212</v>
          </cell>
          <cell r="F19" t="str">
            <v>DI</v>
          </cell>
          <cell r="G19" t="str">
            <v>DD</v>
          </cell>
          <cell r="H19">
            <v>2</v>
          </cell>
          <cell r="I19">
            <v>0</v>
          </cell>
          <cell r="J19">
            <v>2</v>
          </cell>
          <cell r="K19">
            <v>0</v>
          </cell>
          <cell r="L19">
            <v>69</v>
          </cell>
          <cell r="M19" t="str">
            <v>E</v>
          </cell>
          <cell r="N19">
            <v>5</v>
          </cell>
        </row>
        <row r="20">
          <cell r="A20">
            <v>1</v>
          </cell>
          <cell r="C20" t="str">
            <v>Limba engleză I</v>
          </cell>
          <cell r="D20" t="str">
            <v>The English Language I</v>
          </cell>
          <cell r="E20" t="str">
            <v>AIA213</v>
          </cell>
          <cell r="F20" t="str">
            <v>DI</v>
          </cell>
          <cell r="G20" t="str">
            <v>DC</v>
          </cell>
          <cell r="H20">
            <v>0</v>
          </cell>
          <cell r="I20">
            <v>1</v>
          </cell>
          <cell r="J20">
            <v>0</v>
          </cell>
          <cell r="K20">
            <v>0</v>
          </cell>
          <cell r="L20">
            <v>11</v>
          </cell>
          <cell r="M20" t="str">
            <v>VP</v>
          </cell>
          <cell r="N20">
            <v>1</v>
          </cell>
        </row>
        <row r="21">
          <cell r="A21">
            <v>2</v>
          </cell>
          <cell r="C21" t="str">
            <v>Limba engleză II</v>
          </cell>
          <cell r="D21" t="str">
            <v>The English Language II</v>
          </cell>
          <cell r="E21" t="str">
            <v>AIA214</v>
          </cell>
          <cell r="F21" t="str">
            <v>DI</v>
          </cell>
          <cell r="G21" t="str">
            <v>DC</v>
          </cell>
          <cell r="H21">
            <v>0</v>
          </cell>
          <cell r="I21">
            <v>1</v>
          </cell>
          <cell r="J21">
            <v>0</v>
          </cell>
          <cell r="K21">
            <v>0</v>
          </cell>
          <cell r="L21">
            <v>11</v>
          </cell>
          <cell r="M21" t="str">
            <v>VP</v>
          </cell>
          <cell r="N21">
            <v>1</v>
          </cell>
        </row>
        <row r="22">
          <cell r="A22">
            <v>1</v>
          </cell>
          <cell r="C22" t="str">
            <v>Sport III</v>
          </cell>
          <cell r="D22" t="str">
            <v>Physical Training III</v>
          </cell>
          <cell r="E22" t="str">
            <v>AIA215</v>
          </cell>
          <cell r="F22" t="str">
            <v>DI</v>
          </cell>
          <cell r="G22" t="str">
            <v>DC</v>
          </cell>
          <cell r="H22">
            <v>0</v>
          </cell>
          <cell r="I22">
            <v>1</v>
          </cell>
          <cell r="J22">
            <v>0</v>
          </cell>
          <cell r="K22">
            <v>0</v>
          </cell>
          <cell r="L22">
            <v>11</v>
          </cell>
          <cell r="M22" t="str">
            <v>VP (A/R)</v>
          </cell>
          <cell r="N22">
            <v>1</v>
          </cell>
        </row>
        <row r="23">
          <cell r="A23">
            <v>2</v>
          </cell>
          <cell r="C23" t="str">
            <v>Comunicare interculturală</v>
          </cell>
          <cell r="D23" t="str">
            <v>Intercultural communication</v>
          </cell>
          <cell r="E23" t="str">
            <v>AIA216</v>
          </cell>
          <cell r="F23" t="str">
            <v>DL</v>
          </cell>
          <cell r="G23" t="str">
            <v>DC</v>
          </cell>
          <cell r="H23">
            <v>1</v>
          </cell>
          <cell r="I23">
            <v>2</v>
          </cell>
          <cell r="J23">
            <v>0</v>
          </cell>
          <cell r="K23">
            <v>0</v>
          </cell>
          <cell r="L23">
            <v>33</v>
          </cell>
          <cell r="M23" t="str">
            <v>C</v>
          </cell>
          <cell r="N23">
            <v>3</v>
          </cell>
        </row>
        <row r="24">
          <cell r="A24">
            <v>2</v>
          </cell>
          <cell r="C24" t="str">
            <v>Etică și integritate</v>
          </cell>
          <cell r="D24" t="str">
            <v>Ethics and Integrity</v>
          </cell>
          <cell r="E24" t="str">
            <v>AIA217</v>
          </cell>
          <cell r="F24" t="str">
            <v>DL</v>
          </cell>
          <cell r="G24" t="str">
            <v>DC</v>
          </cell>
          <cell r="H24">
            <v>2</v>
          </cell>
          <cell r="I24">
            <v>1</v>
          </cell>
          <cell r="J24">
            <v>0</v>
          </cell>
          <cell r="K24">
            <v>0</v>
          </cell>
          <cell r="L24">
            <v>33</v>
          </cell>
          <cell r="M24" t="str">
            <v>C</v>
          </cell>
          <cell r="N24">
            <v>3</v>
          </cell>
        </row>
        <row r="29">
          <cell r="C29">
            <v>45915</v>
          </cell>
        </row>
        <row r="30">
          <cell r="C30">
            <v>45918</v>
          </cell>
        </row>
        <row r="31">
          <cell r="C31" t="str">
            <v>Conf.dr.ing. Mihai POSTOLACHE</v>
          </cell>
        </row>
        <row r="32">
          <cell r="C32" t="str">
            <v>Prof.univ.dr.ing. Adrian BURLACU</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7D97D-7FBE-421D-A73B-12910B38346F}">
  <dimension ref="A1:N145"/>
  <sheetViews>
    <sheetView tabSelected="1" workbookViewId="0">
      <selection sqref="A1:XFD1048576"/>
    </sheetView>
  </sheetViews>
  <sheetFormatPr defaultColWidth="12.6328125" defaultRowHeight="14.5" x14ac:dyDescent="0.35"/>
  <cols>
    <col min="1" max="1" width="10.26953125" customWidth="1"/>
    <col min="2" max="2" width="27.7265625" customWidth="1"/>
    <col min="3" max="3" width="6.08984375" customWidth="1"/>
    <col min="4" max="4" width="14" customWidth="1"/>
    <col min="5" max="5" width="6.08984375" customWidth="1"/>
    <col min="6" max="6" width="10.453125" customWidth="1"/>
    <col min="7" max="7" width="8.36328125" customWidth="1"/>
    <col min="8" max="8" width="14.453125" customWidth="1"/>
    <col min="9" max="9" width="6.08984375" customWidth="1"/>
    <col min="11" max="12" width="7" customWidth="1"/>
    <col min="13" max="13" width="8" customWidth="1"/>
  </cols>
  <sheetData>
    <row r="1" spans="1:14" ht="18" x14ac:dyDescent="0.35">
      <c r="A1" s="1" t="s">
        <v>0</v>
      </c>
      <c r="B1" s="2"/>
      <c r="C1" s="2"/>
      <c r="D1" s="2"/>
      <c r="E1" s="2"/>
      <c r="F1" s="2"/>
      <c r="G1" s="2"/>
      <c r="H1" s="2"/>
      <c r="I1" s="2"/>
      <c r="J1" s="2"/>
      <c r="K1" s="2"/>
      <c r="L1" s="2"/>
      <c r="M1" s="2"/>
      <c r="N1" s="3"/>
    </row>
    <row r="2" spans="1:14" ht="15.5" x14ac:dyDescent="0.35">
      <c r="A2" s="4" t="str">
        <f>[1]Date!C1</f>
        <v>Anul universitar: 2025-2026</v>
      </c>
      <c r="B2" s="2"/>
      <c r="C2" s="2"/>
      <c r="D2" s="2"/>
      <c r="E2" s="2"/>
      <c r="F2" s="2"/>
      <c r="G2" s="2"/>
      <c r="H2" s="2"/>
      <c r="I2" s="2"/>
      <c r="J2" s="2"/>
      <c r="K2" s="2"/>
      <c r="L2" s="2"/>
      <c r="M2" s="2"/>
      <c r="N2" s="5"/>
    </row>
    <row r="3" spans="1:14" ht="15.5" x14ac:dyDescent="0.35">
      <c r="A3" s="6" t="s">
        <v>1</v>
      </c>
      <c r="B3" s="2"/>
      <c r="C3" s="2"/>
      <c r="D3" s="2"/>
      <c r="E3" s="2"/>
      <c r="F3" s="2"/>
      <c r="G3" s="2"/>
      <c r="H3" s="2"/>
      <c r="I3" s="2"/>
      <c r="J3" s="2"/>
      <c r="K3" s="2"/>
      <c r="L3" s="2"/>
      <c r="M3" s="2"/>
      <c r="N3" s="5"/>
    </row>
    <row r="4" spans="1:14" ht="15.5" x14ac:dyDescent="0.35">
      <c r="A4" s="7" t="s">
        <v>2</v>
      </c>
      <c r="B4" s="8"/>
      <c r="C4" s="9" t="s">
        <v>3</v>
      </c>
      <c r="D4" s="8"/>
      <c r="E4" s="8"/>
      <c r="F4" s="8"/>
      <c r="G4" s="8"/>
      <c r="H4" s="8"/>
      <c r="I4" s="8"/>
      <c r="J4" s="8"/>
      <c r="K4" s="8"/>
      <c r="L4" s="8"/>
      <c r="M4" s="10"/>
      <c r="N4" s="5"/>
    </row>
    <row r="5" spans="1:14" ht="15.5" x14ac:dyDescent="0.35">
      <c r="A5" s="7" t="s">
        <v>4</v>
      </c>
      <c r="B5" s="10"/>
      <c r="C5" s="9" t="s">
        <v>5</v>
      </c>
      <c r="D5" s="8"/>
      <c r="E5" s="8"/>
      <c r="F5" s="8"/>
      <c r="G5" s="8"/>
      <c r="H5" s="8"/>
      <c r="I5" s="8"/>
      <c r="J5" s="8"/>
      <c r="K5" s="8"/>
      <c r="L5" s="8"/>
      <c r="M5" s="10"/>
      <c r="N5" s="5"/>
    </row>
    <row r="6" spans="1:14" ht="15.5" x14ac:dyDescent="0.35">
      <c r="A6" s="7" t="s">
        <v>6</v>
      </c>
      <c r="B6" s="10"/>
      <c r="C6" s="9" t="s">
        <v>7</v>
      </c>
      <c r="D6" s="8"/>
      <c r="E6" s="8"/>
      <c r="F6" s="8"/>
      <c r="G6" s="8"/>
      <c r="H6" s="8"/>
      <c r="I6" s="8"/>
      <c r="J6" s="8"/>
      <c r="K6" s="8"/>
      <c r="L6" s="8"/>
      <c r="M6" s="10"/>
      <c r="N6" s="5"/>
    </row>
    <row r="7" spans="1:14" ht="15.5" x14ac:dyDescent="0.35">
      <c r="A7" s="7" t="s">
        <v>8</v>
      </c>
      <c r="B7" s="10"/>
      <c r="C7" s="9" t="str">
        <f>[1]Date!B2</f>
        <v>Ingineria sistemelor</v>
      </c>
      <c r="D7" s="8"/>
      <c r="E7" s="8"/>
      <c r="F7" s="8"/>
      <c r="G7" s="8"/>
      <c r="H7" s="8"/>
      <c r="I7" s="8"/>
      <c r="J7" s="8"/>
      <c r="K7" s="8"/>
      <c r="L7" s="8"/>
      <c r="M7" s="10"/>
      <c r="N7" s="5"/>
    </row>
    <row r="8" spans="1:14" ht="15.5" x14ac:dyDescent="0.35">
      <c r="A8" s="7" t="s">
        <v>9</v>
      </c>
      <c r="B8" s="10"/>
      <c r="C8" s="9" t="str">
        <f>[1]Date!B3</f>
        <v>Licență</v>
      </c>
      <c r="D8" s="8"/>
      <c r="E8" s="8"/>
      <c r="F8" s="8"/>
      <c r="G8" s="8"/>
      <c r="H8" s="8"/>
      <c r="I8" s="8"/>
      <c r="J8" s="8"/>
      <c r="K8" s="8"/>
      <c r="L8" s="8"/>
      <c r="M8" s="10"/>
      <c r="N8" s="5"/>
    </row>
    <row r="9" spans="1:14" ht="15.5" x14ac:dyDescent="0.35">
      <c r="A9" s="11" t="s">
        <v>10</v>
      </c>
      <c r="B9" s="10"/>
      <c r="C9" s="9" t="str">
        <f>[1]Date!C5</f>
        <v>Automatică și Informatică Aplicată</v>
      </c>
      <c r="D9" s="8"/>
      <c r="E9" s="8"/>
      <c r="F9" s="8"/>
      <c r="G9" s="8"/>
      <c r="H9" s="8"/>
      <c r="I9" s="8"/>
      <c r="J9" s="8"/>
      <c r="K9" s="8"/>
      <c r="L9" s="8"/>
      <c r="M9" s="10"/>
      <c r="N9" s="5"/>
    </row>
    <row r="10" spans="1:14" ht="15.5" x14ac:dyDescent="0.35">
      <c r="A10" s="12"/>
      <c r="B10" s="2"/>
      <c r="C10" s="2"/>
      <c r="D10" s="2"/>
      <c r="E10" s="2"/>
      <c r="F10" s="2"/>
      <c r="G10" s="2"/>
      <c r="H10" s="2"/>
      <c r="I10" s="2"/>
      <c r="J10" s="2"/>
      <c r="K10" s="2"/>
      <c r="L10" s="2"/>
      <c r="M10" s="2"/>
      <c r="N10" s="5"/>
    </row>
    <row r="11" spans="1:14" ht="15.5" x14ac:dyDescent="0.35">
      <c r="A11" s="6" t="s">
        <v>11</v>
      </c>
      <c r="B11" s="2"/>
      <c r="C11" s="2"/>
      <c r="D11" s="2"/>
      <c r="E11" s="2"/>
      <c r="F11" s="2"/>
      <c r="G11" s="2"/>
      <c r="H11" s="2"/>
      <c r="I11" s="2"/>
      <c r="J11" s="2"/>
      <c r="K11" s="2"/>
      <c r="L11" s="2"/>
      <c r="M11" s="2"/>
      <c r="N11" s="5"/>
    </row>
    <row r="12" spans="1:14" ht="15.5" x14ac:dyDescent="0.35">
      <c r="A12" s="13" t="s">
        <v>12</v>
      </c>
      <c r="B12" s="14"/>
      <c r="C12" s="14"/>
      <c r="D12" s="15"/>
      <c r="E12" s="16" t="s">
        <v>13</v>
      </c>
      <c r="F12" s="14"/>
      <c r="G12" s="14"/>
      <c r="H12" s="14"/>
      <c r="I12" s="14"/>
      <c r="J12" s="14"/>
      <c r="K12" s="14"/>
      <c r="L12" s="14"/>
      <c r="M12" s="15"/>
      <c r="N12" s="5"/>
    </row>
    <row r="13" spans="1:14" ht="15.5" x14ac:dyDescent="0.35">
      <c r="A13" s="17" t="s">
        <v>14</v>
      </c>
      <c r="B13" s="18"/>
      <c r="C13" s="18"/>
      <c r="D13" s="19"/>
      <c r="E13" s="20" t="str">
        <f t="array" aca="1" ref="E13" ca="1">INDEX([1]Date!D8:D24, MATCH(E12,[1]Date!C8:C24,0),0)</f>
        <v>Physical Training III</v>
      </c>
      <c r="F13" s="18"/>
      <c r="G13" s="18"/>
      <c r="H13" s="18"/>
      <c r="I13" s="18"/>
      <c r="J13" s="18"/>
      <c r="K13" s="18"/>
      <c r="L13" s="18"/>
      <c r="M13" s="19"/>
      <c r="N13" s="5"/>
    </row>
    <row r="14" spans="1:14" ht="15.5" x14ac:dyDescent="0.35">
      <c r="A14" s="7" t="s">
        <v>15</v>
      </c>
      <c r="B14" s="8"/>
      <c r="C14" s="8"/>
      <c r="D14" s="10"/>
      <c r="E14" s="21" t="str">
        <f t="array" aca="1" ref="E14" ca="1">INDEX([1]Date!E8:E24, MATCH(E12,[1]Date!C8:C24,0),0)</f>
        <v>AIA215</v>
      </c>
      <c r="F14" s="18"/>
      <c r="G14" s="18"/>
      <c r="H14" s="18"/>
      <c r="I14" s="7" t="s">
        <v>16</v>
      </c>
      <c r="J14" s="8"/>
      <c r="K14" s="8"/>
      <c r="L14" s="10"/>
      <c r="M14" s="22" t="str">
        <f t="array" aca="1" ref="M14" ca="1">INDEX([1]Date!G8:G24, MATCH(E12,[1]Date!C8:C24,0),0)</f>
        <v>DC</v>
      </c>
      <c r="N14" s="5"/>
    </row>
    <row r="15" spans="1:14" ht="15.5" hidden="1" x14ac:dyDescent="0.35">
      <c r="A15" s="13" t="s">
        <v>17</v>
      </c>
      <c r="B15" s="14"/>
      <c r="C15" s="14"/>
      <c r="D15" s="15"/>
      <c r="E15" s="23"/>
      <c r="F15" s="8"/>
      <c r="G15" s="8"/>
      <c r="H15" s="8"/>
      <c r="I15" s="8"/>
      <c r="J15" s="8"/>
      <c r="K15" s="8"/>
      <c r="L15" s="8"/>
      <c r="M15" s="10"/>
      <c r="N15" s="5"/>
    </row>
    <row r="16" spans="1:14" ht="15.5" hidden="1" x14ac:dyDescent="0.35">
      <c r="A16" s="24"/>
      <c r="B16" s="18"/>
      <c r="C16" s="18"/>
      <c r="D16" s="19"/>
      <c r="E16" s="23"/>
      <c r="F16" s="8"/>
      <c r="G16" s="8"/>
      <c r="H16" s="8"/>
      <c r="I16" s="8"/>
      <c r="J16" s="8"/>
      <c r="K16" s="8"/>
      <c r="L16" s="8"/>
      <c r="M16" s="10"/>
      <c r="N16" s="5"/>
    </row>
    <row r="17" spans="1:14" ht="15.5" x14ac:dyDescent="0.35">
      <c r="A17" s="13" t="s">
        <v>18</v>
      </c>
      <c r="B17" s="14"/>
      <c r="C17" s="14"/>
      <c r="D17" s="15"/>
      <c r="E17" s="23" t="s">
        <v>19</v>
      </c>
      <c r="F17" s="8"/>
      <c r="G17" s="8"/>
      <c r="H17" s="8"/>
      <c r="I17" s="8"/>
      <c r="J17" s="8"/>
      <c r="K17" s="8"/>
      <c r="L17" s="8"/>
      <c r="M17" s="10"/>
      <c r="N17" s="5"/>
    </row>
    <row r="18" spans="1:14" ht="15.5" x14ac:dyDescent="0.35">
      <c r="A18" s="25"/>
      <c r="B18" s="2"/>
      <c r="C18" s="2"/>
      <c r="D18" s="26"/>
      <c r="E18" s="23"/>
      <c r="F18" s="8"/>
      <c r="G18" s="8"/>
      <c r="H18" s="8"/>
      <c r="I18" s="8"/>
      <c r="J18" s="8"/>
      <c r="K18" s="8"/>
      <c r="L18" s="8"/>
      <c r="M18" s="10"/>
      <c r="N18" s="5"/>
    </row>
    <row r="19" spans="1:14" ht="15.5" hidden="1" x14ac:dyDescent="0.35">
      <c r="A19" s="25"/>
      <c r="B19" s="2"/>
      <c r="C19" s="2"/>
      <c r="D19" s="26"/>
      <c r="E19" s="23"/>
      <c r="F19" s="8"/>
      <c r="G19" s="8"/>
      <c r="H19" s="8"/>
      <c r="I19" s="8"/>
      <c r="J19" s="8"/>
      <c r="K19" s="8"/>
      <c r="L19" s="8"/>
      <c r="M19" s="10"/>
      <c r="N19" s="5"/>
    </row>
    <row r="20" spans="1:14" ht="15.5" hidden="1" x14ac:dyDescent="0.35">
      <c r="A20" s="25"/>
      <c r="B20" s="2"/>
      <c r="C20" s="2"/>
      <c r="D20" s="26"/>
      <c r="E20" s="23"/>
      <c r="F20" s="8"/>
      <c r="G20" s="8"/>
      <c r="H20" s="8"/>
      <c r="I20" s="8"/>
      <c r="J20" s="8"/>
      <c r="K20" s="8"/>
      <c r="L20" s="8"/>
      <c r="M20" s="10"/>
      <c r="N20" s="5"/>
    </row>
    <row r="21" spans="1:14" ht="15.5" hidden="1" x14ac:dyDescent="0.35">
      <c r="A21" s="25"/>
      <c r="B21" s="2"/>
      <c r="C21" s="2"/>
      <c r="D21" s="26"/>
      <c r="E21" s="23"/>
      <c r="F21" s="8"/>
      <c r="G21" s="8"/>
      <c r="H21" s="8"/>
      <c r="I21" s="8"/>
      <c r="J21" s="8"/>
      <c r="K21" s="8"/>
      <c r="L21" s="8"/>
      <c r="M21" s="10"/>
      <c r="N21" s="5"/>
    </row>
    <row r="22" spans="1:14" ht="15.5" hidden="1" x14ac:dyDescent="0.35">
      <c r="A22" s="24"/>
      <c r="B22" s="18"/>
      <c r="C22" s="18"/>
      <c r="D22" s="19"/>
      <c r="E22" s="23"/>
      <c r="F22" s="8"/>
      <c r="G22" s="8"/>
      <c r="H22" s="8"/>
      <c r="I22" s="8"/>
      <c r="J22" s="8"/>
      <c r="K22" s="8"/>
      <c r="L22" s="8"/>
      <c r="M22" s="10"/>
      <c r="N22" s="5"/>
    </row>
    <row r="23" spans="1:14" ht="31" x14ac:dyDescent="0.35">
      <c r="A23" s="7" t="s">
        <v>20</v>
      </c>
      <c r="B23" s="10"/>
      <c r="C23" s="27">
        <f>[1]Date!B4</f>
        <v>2</v>
      </c>
      <c r="D23" s="28" t="s">
        <v>21</v>
      </c>
      <c r="E23" s="27">
        <f t="array" aca="1" ref="E23" ca="1">INDEX([1]Date!A8:A24, MATCH(E12,[1]Date!C8:C24,0),0)</f>
        <v>1</v>
      </c>
      <c r="F23" s="29" t="s">
        <v>22</v>
      </c>
      <c r="G23" s="8"/>
      <c r="H23" s="10"/>
      <c r="I23" s="22" t="str">
        <f t="array" aca="1" ref="I23" ca="1">INDEX([1]Date!M8:M24, MATCH(E12,[1]Date!C8:C24,0),0)</f>
        <v>VP (A/R)</v>
      </c>
      <c r="J23" s="29" t="s">
        <v>23</v>
      </c>
      <c r="K23" s="8"/>
      <c r="L23" s="10"/>
      <c r="M23" s="27" t="str">
        <f t="array" aca="1" ref="M23" ca="1">INDEX([1]Date!F8:F24, MATCH(E12,[1]Date!C8:C24,0),0)</f>
        <v>DI</v>
      </c>
      <c r="N23" s="5"/>
    </row>
    <row r="24" spans="1:14" ht="15.5" x14ac:dyDescent="0.35">
      <c r="A24" s="12"/>
      <c r="B24" s="2"/>
      <c r="C24" s="2"/>
      <c r="D24" s="2"/>
      <c r="E24" s="2"/>
      <c r="F24" s="2"/>
      <c r="G24" s="2"/>
      <c r="H24" s="2"/>
      <c r="I24" s="2"/>
      <c r="J24" s="2"/>
      <c r="K24" s="2"/>
      <c r="L24" s="2"/>
      <c r="M24" s="2"/>
      <c r="N24" s="5"/>
    </row>
    <row r="25" spans="1:14" ht="15.5" x14ac:dyDescent="0.35">
      <c r="A25" s="6" t="s">
        <v>24</v>
      </c>
      <c r="B25" s="2"/>
      <c r="C25" s="2"/>
      <c r="D25" s="2"/>
      <c r="E25" s="2"/>
      <c r="F25" s="2"/>
      <c r="G25" s="2"/>
      <c r="H25" s="2"/>
      <c r="I25" s="2"/>
      <c r="J25" s="2"/>
      <c r="K25" s="2"/>
      <c r="L25" s="2"/>
      <c r="M25" s="2"/>
      <c r="N25" s="30"/>
    </row>
    <row r="26" spans="1:14" ht="31" x14ac:dyDescent="0.35">
      <c r="A26" s="7" t="s">
        <v>25</v>
      </c>
      <c r="B26" s="10"/>
      <c r="C26" s="31">
        <f ca="1">SUM(E26+G26+I26+K26)</f>
        <v>1</v>
      </c>
      <c r="D26" s="28" t="s">
        <v>26</v>
      </c>
      <c r="E26" s="27">
        <f t="array" aca="1" ref="E26" ca="1">INDEX([1]Date!H8:H24, MATCH(E12,[1]Date!C8:C24,0),0)</f>
        <v>0</v>
      </c>
      <c r="F26" s="28" t="s">
        <v>27</v>
      </c>
      <c r="G26" s="27">
        <f t="array" aca="1" ref="G26" ca="1">INDEX([1]Date!I8:I24, MATCH(E12,[1]Date!C8:C24,0),0)</f>
        <v>1</v>
      </c>
      <c r="H26" s="28" t="s">
        <v>28</v>
      </c>
      <c r="I26" s="31">
        <f t="array" aca="1" ref="I26" ca="1">INDEX([1]Date!J8:J24, MATCH(E12,[1]Date!C8:C24,0),0)</f>
        <v>0</v>
      </c>
      <c r="J26" s="28" t="s">
        <v>29</v>
      </c>
      <c r="K26" s="27">
        <f t="array" aca="1" ref="K26" ca="1">INDEX([1]Date!K8:K24, MATCH(E12,[1]Date!C8:C24,0),0)</f>
        <v>0</v>
      </c>
      <c r="L26" s="7" t="s">
        <v>30</v>
      </c>
      <c r="M26" s="10"/>
      <c r="N26" s="30"/>
    </row>
    <row r="27" spans="1:14" ht="31" x14ac:dyDescent="0.35">
      <c r="A27" s="7" t="s">
        <v>31</v>
      </c>
      <c r="B27" s="10"/>
      <c r="C27" s="27">
        <f ca="1">C26*14</f>
        <v>14</v>
      </c>
      <c r="D27" s="28" t="s">
        <v>32</v>
      </c>
      <c r="E27" s="27">
        <f ca="1">E26*14</f>
        <v>0</v>
      </c>
      <c r="F27" s="28" t="s">
        <v>33</v>
      </c>
      <c r="G27" s="27">
        <f ca="1">G26*14</f>
        <v>14</v>
      </c>
      <c r="H27" s="28" t="s">
        <v>34</v>
      </c>
      <c r="I27" s="27">
        <f ca="1">I26*14</f>
        <v>0</v>
      </c>
      <c r="J27" s="28" t="s">
        <v>35</v>
      </c>
      <c r="K27" s="27">
        <f ca="1">K26*14</f>
        <v>0</v>
      </c>
      <c r="L27" s="28" t="s">
        <v>36</v>
      </c>
      <c r="M27" s="27">
        <v>0</v>
      </c>
      <c r="N27" s="5"/>
    </row>
    <row r="28" spans="1:14" ht="15.5" x14ac:dyDescent="0.35">
      <c r="A28" s="7" t="s">
        <v>37</v>
      </c>
      <c r="B28" s="8"/>
      <c r="C28" s="8"/>
      <c r="D28" s="8"/>
      <c r="E28" s="8"/>
      <c r="F28" s="8"/>
      <c r="G28" s="8"/>
      <c r="H28" s="8"/>
      <c r="I28" s="8"/>
      <c r="J28" s="8"/>
      <c r="K28" s="8"/>
      <c r="L28" s="10"/>
      <c r="M28" s="27" t="s">
        <v>38</v>
      </c>
      <c r="N28" s="5"/>
    </row>
    <row r="29" spans="1:14" ht="15.5" x14ac:dyDescent="0.35">
      <c r="A29" s="7" t="s">
        <v>39</v>
      </c>
      <c r="B29" s="8"/>
      <c r="C29" s="8"/>
      <c r="D29" s="8"/>
      <c r="E29" s="8"/>
      <c r="F29" s="8"/>
      <c r="G29" s="8"/>
      <c r="H29" s="8"/>
      <c r="I29" s="8"/>
      <c r="J29" s="8"/>
      <c r="K29" s="8"/>
      <c r="L29" s="10"/>
      <c r="M29" s="32"/>
      <c r="N29" s="5"/>
    </row>
    <row r="30" spans="1:14" ht="15.5" x14ac:dyDescent="0.35">
      <c r="A30" s="7" t="s">
        <v>40</v>
      </c>
      <c r="B30" s="8"/>
      <c r="C30" s="8"/>
      <c r="D30" s="8"/>
      <c r="E30" s="8"/>
      <c r="F30" s="8"/>
      <c r="G30" s="8"/>
      <c r="H30" s="8"/>
      <c r="I30" s="8"/>
      <c r="J30" s="8"/>
      <c r="K30" s="8"/>
      <c r="L30" s="10"/>
      <c r="M30" s="32">
        <v>11</v>
      </c>
      <c r="N30" s="5"/>
    </row>
    <row r="31" spans="1:14" ht="15.5" x14ac:dyDescent="0.35">
      <c r="A31" s="7" t="s">
        <v>41</v>
      </c>
      <c r="B31" s="8"/>
      <c r="C31" s="8"/>
      <c r="D31" s="8"/>
      <c r="E31" s="8"/>
      <c r="F31" s="8"/>
      <c r="G31" s="8"/>
      <c r="H31" s="8"/>
      <c r="I31" s="8"/>
      <c r="J31" s="8"/>
      <c r="K31" s="8"/>
      <c r="L31" s="10"/>
      <c r="M31" s="32"/>
      <c r="N31" s="5"/>
    </row>
    <row r="32" spans="1:14" ht="15.5" x14ac:dyDescent="0.35">
      <c r="A32" s="7" t="s">
        <v>42</v>
      </c>
      <c r="B32" s="8"/>
      <c r="C32" s="8"/>
      <c r="D32" s="8"/>
      <c r="E32" s="8"/>
      <c r="F32" s="8"/>
      <c r="G32" s="8"/>
      <c r="H32" s="8"/>
      <c r="I32" s="8"/>
      <c r="J32" s="8"/>
      <c r="K32" s="8"/>
      <c r="L32" s="10"/>
      <c r="M32" s="27">
        <f t="array" aca="1" ref="M32" ca="1">IF(INDEX([1]Date!M8:M24, MATCH(E12,[1]Date!C8:C24,0),0)="E",3,0)</f>
        <v>0</v>
      </c>
      <c r="N32" s="5"/>
    </row>
    <row r="33" spans="1:14" ht="15.5" x14ac:dyDescent="0.35">
      <c r="A33" s="7" t="s">
        <v>43</v>
      </c>
      <c r="B33" s="8"/>
      <c r="C33" s="8"/>
      <c r="D33" s="8"/>
      <c r="E33" s="8"/>
      <c r="F33" s="8"/>
      <c r="G33" s="8"/>
      <c r="H33" s="8"/>
      <c r="I33" s="8"/>
      <c r="J33" s="8"/>
      <c r="K33" s="8"/>
      <c r="L33" s="10"/>
      <c r="M33" s="27">
        <f ca="1">C34-SUM(M29:M31)</f>
        <v>0</v>
      </c>
      <c r="N33" s="5"/>
    </row>
    <row r="34" spans="1:14" ht="15.5" x14ac:dyDescent="0.35">
      <c r="A34" s="7" t="s">
        <v>44</v>
      </c>
      <c r="B34" s="10"/>
      <c r="C34" s="27">
        <f t="array" aca="1" ref="C34" ca="1">INDEX([1]Date!L8:L24, MATCH(E12,[1]Date!C8:C24,0),0)</f>
        <v>11</v>
      </c>
      <c r="D34" s="5"/>
      <c r="E34" s="5"/>
      <c r="F34" s="5"/>
      <c r="G34" s="5"/>
      <c r="H34" s="5"/>
      <c r="I34" s="5"/>
      <c r="J34" s="5"/>
      <c r="K34" s="5"/>
      <c r="L34" s="5"/>
      <c r="M34" s="5"/>
      <c r="N34" s="5"/>
    </row>
    <row r="35" spans="1:14" ht="15.5" x14ac:dyDescent="0.35">
      <c r="A35" s="7" t="s">
        <v>45</v>
      </c>
      <c r="B35" s="10"/>
      <c r="C35" s="27">
        <f ca="1">C27+M32+C34</f>
        <v>25</v>
      </c>
      <c r="D35" s="5"/>
      <c r="E35" s="5"/>
      <c r="F35" s="5"/>
      <c r="G35" s="5"/>
      <c r="H35" s="5"/>
      <c r="I35" s="5"/>
      <c r="J35" s="5"/>
      <c r="K35" s="5"/>
      <c r="L35" s="5"/>
      <c r="M35" s="5"/>
      <c r="N35" s="5"/>
    </row>
    <row r="36" spans="1:14" ht="15.5" x14ac:dyDescent="0.35">
      <c r="A36" s="7" t="s">
        <v>46</v>
      </c>
      <c r="B36" s="10"/>
      <c r="C36" s="27">
        <f t="array" aca="1" ref="C36" ca="1">INDEX([1]Date!N8:N24, MATCH(E12,[1]Date!C8:C24,0),0)</f>
        <v>1</v>
      </c>
      <c r="D36" s="5"/>
      <c r="E36" s="5"/>
      <c r="F36" s="5"/>
      <c r="G36" s="5"/>
      <c r="H36" s="5"/>
      <c r="I36" s="5"/>
      <c r="J36" s="5"/>
      <c r="K36" s="5"/>
      <c r="L36" s="5"/>
      <c r="M36" s="5"/>
      <c r="N36" s="5"/>
    </row>
    <row r="37" spans="1:14" ht="15.5" x14ac:dyDescent="0.35">
      <c r="A37" s="12"/>
      <c r="B37" s="2"/>
      <c r="C37" s="2"/>
      <c r="D37" s="2"/>
      <c r="E37" s="2"/>
      <c r="F37" s="2"/>
      <c r="G37" s="2"/>
      <c r="H37" s="2"/>
      <c r="I37" s="2"/>
      <c r="J37" s="2"/>
      <c r="K37" s="2"/>
      <c r="L37" s="2"/>
      <c r="M37" s="2"/>
      <c r="N37" s="5"/>
    </row>
    <row r="38" spans="1:14" ht="15.5" x14ac:dyDescent="0.35">
      <c r="A38" s="6" t="s">
        <v>47</v>
      </c>
      <c r="B38" s="2"/>
      <c r="C38" s="2"/>
      <c r="D38" s="2"/>
      <c r="E38" s="2"/>
      <c r="F38" s="2"/>
      <c r="G38" s="2"/>
      <c r="H38" s="2"/>
      <c r="I38" s="2"/>
      <c r="J38" s="2"/>
      <c r="K38" s="2"/>
      <c r="L38" s="2"/>
      <c r="M38" s="2"/>
      <c r="N38" s="30"/>
    </row>
    <row r="39" spans="1:14" ht="15.5" x14ac:dyDescent="0.35">
      <c r="A39" s="7" t="s">
        <v>48</v>
      </c>
      <c r="B39" s="10"/>
      <c r="C39" s="9" t="s">
        <v>49</v>
      </c>
      <c r="D39" s="8"/>
      <c r="E39" s="8"/>
      <c r="F39" s="8"/>
      <c r="G39" s="8"/>
      <c r="H39" s="8"/>
      <c r="I39" s="8"/>
      <c r="J39" s="8"/>
      <c r="K39" s="8"/>
      <c r="L39" s="8"/>
      <c r="M39" s="10"/>
      <c r="N39" s="30"/>
    </row>
    <row r="40" spans="1:14" ht="15.5" x14ac:dyDescent="0.35">
      <c r="A40" s="7" t="s">
        <v>50</v>
      </c>
      <c r="B40" s="10"/>
      <c r="C40" s="23"/>
      <c r="D40" s="8"/>
      <c r="E40" s="8"/>
      <c r="F40" s="8"/>
      <c r="G40" s="8"/>
      <c r="H40" s="8"/>
      <c r="I40" s="8"/>
      <c r="J40" s="8"/>
      <c r="K40" s="8"/>
      <c r="L40" s="8"/>
      <c r="M40" s="10"/>
      <c r="N40" s="5"/>
    </row>
    <row r="41" spans="1:14" ht="15.5" x14ac:dyDescent="0.35">
      <c r="A41" s="12"/>
      <c r="B41" s="2"/>
      <c r="C41" s="2"/>
      <c r="D41" s="2"/>
      <c r="E41" s="2"/>
      <c r="F41" s="2"/>
      <c r="G41" s="2"/>
      <c r="H41" s="2"/>
      <c r="I41" s="2"/>
      <c r="J41" s="2"/>
      <c r="K41" s="2"/>
      <c r="L41" s="2"/>
      <c r="M41" s="2"/>
      <c r="N41" s="5"/>
    </row>
    <row r="42" spans="1:14" ht="15.5" x14ac:dyDescent="0.35">
      <c r="A42" s="6" t="s">
        <v>51</v>
      </c>
      <c r="B42" s="2"/>
      <c r="C42" s="2"/>
      <c r="D42" s="2"/>
      <c r="E42" s="2"/>
      <c r="F42" s="2"/>
      <c r="G42" s="2"/>
      <c r="H42" s="2"/>
      <c r="I42" s="2"/>
      <c r="J42" s="2"/>
      <c r="K42" s="2"/>
      <c r="L42" s="2"/>
      <c r="M42" s="2"/>
      <c r="N42" s="30"/>
    </row>
    <row r="43" spans="1:14" ht="15.5" hidden="1" x14ac:dyDescent="0.35">
      <c r="A43" s="7" t="s">
        <v>52</v>
      </c>
      <c r="B43" s="10"/>
      <c r="C43" s="23"/>
      <c r="D43" s="8"/>
      <c r="E43" s="8"/>
      <c r="F43" s="8"/>
      <c r="G43" s="8"/>
      <c r="H43" s="8"/>
      <c r="I43" s="8"/>
      <c r="J43" s="8"/>
      <c r="K43" s="8"/>
      <c r="L43" s="8"/>
      <c r="M43" s="10"/>
      <c r="N43" s="30"/>
    </row>
    <row r="44" spans="1:14" ht="15.5" x14ac:dyDescent="0.35">
      <c r="A44" s="7" t="s">
        <v>53</v>
      </c>
      <c r="B44" s="10"/>
      <c r="C44" s="33" t="s">
        <v>54</v>
      </c>
      <c r="D44" s="8"/>
      <c r="E44" s="8"/>
      <c r="F44" s="8"/>
      <c r="G44" s="8"/>
      <c r="H44" s="8"/>
      <c r="I44" s="8"/>
      <c r="J44" s="8"/>
      <c r="K44" s="8"/>
      <c r="L44" s="8"/>
      <c r="M44" s="10"/>
      <c r="N44" s="5"/>
    </row>
    <row r="45" spans="1:14" ht="15.5" x14ac:dyDescent="0.35">
      <c r="A45" s="12"/>
      <c r="B45" s="2"/>
      <c r="C45" s="2"/>
      <c r="D45" s="2"/>
      <c r="E45" s="2"/>
      <c r="F45" s="2"/>
      <c r="G45" s="2"/>
      <c r="H45" s="2"/>
      <c r="I45" s="2"/>
      <c r="J45" s="2"/>
      <c r="K45" s="2"/>
      <c r="L45" s="2"/>
      <c r="M45" s="2"/>
      <c r="N45" s="5"/>
    </row>
    <row r="46" spans="1:14" ht="15.5" x14ac:dyDescent="0.35">
      <c r="A46" s="6" t="s">
        <v>55</v>
      </c>
      <c r="B46" s="2"/>
      <c r="C46" s="2"/>
      <c r="D46" s="2"/>
      <c r="E46" s="2"/>
      <c r="F46" s="2"/>
      <c r="G46" s="2"/>
      <c r="H46" s="2"/>
      <c r="I46" s="2"/>
      <c r="J46" s="2"/>
      <c r="K46" s="2"/>
      <c r="L46" s="2"/>
      <c r="M46" s="2"/>
      <c r="N46" s="30"/>
    </row>
    <row r="47" spans="1:14" ht="15.5" x14ac:dyDescent="0.35">
      <c r="A47" s="34" t="s">
        <v>56</v>
      </c>
      <c r="B47" s="8"/>
      <c r="C47" s="8"/>
      <c r="D47" s="8"/>
      <c r="E47" s="8"/>
      <c r="F47" s="8"/>
      <c r="G47" s="8"/>
      <c r="H47" s="8"/>
      <c r="I47" s="8"/>
      <c r="J47" s="8"/>
      <c r="K47" s="8"/>
      <c r="L47" s="8"/>
      <c r="M47" s="10"/>
      <c r="N47" s="5"/>
    </row>
    <row r="48" spans="1:14" ht="15.5" x14ac:dyDescent="0.35">
      <c r="A48" s="12"/>
      <c r="B48" s="2"/>
      <c r="C48" s="2"/>
      <c r="D48" s="2"/>
      <c r="E48" s="2"/>
      <c r="F48" s="2"/>
      <c r="G48" s="2"/>
      <c r="H48" s="2"/>
      <c r="I48" s="2"/>
      <c r="J48" s="2"/>
      <c r="K48" s="2"/>
      <c r="L48" s="2"/>
      <c r="M48" s="2"/>
      <c r="N48" s="5"/>
    </row>
    <row r="49" spans="1:14" ht="15.5" x14ac:dyDescent="0.35">
      <c r="A49" s="6" t="s">
        <v>57</v>
      </c>
      <c r="B49" s="2"/>
      <c r="C49" s="2"/>
      <c r="D49" s="2"/>
      <c r="E49" s="2"/>
      <c r="F49" s="2"/>
      <c r="G49" s="2"/>
      <c r="H49" s="2"/>
      <c r="I49" s="2"/>
      <c r="J49" s="2"/>
      <c r="K49" s="2"/>
      <c r="L49" s="2"/>
      <c r="M49" s="2"/>
      <c r="N49" s="30"/>
    </row>
    <row r="50" spans="1:14" ht="15.5" x14ac:dyDescent="0.35">
      <c r="A50" s="35" t="s">
        <v>58</v>
      </c>
      <c r="B50" s="36" t="s">
        <v>59</v>
      </c>
      <c r="C50" s="8"/>
      <c r="D50" s="8"/>
      <c r="E50" s="8"/>
      <c r="F50" s="8"/>
      <c r="G50" s="8"/>
      <c r="H50" s="8"/>
      <c r="I50" s="8"/>
      <c r="J50" s="8"/>
      <c r="K50" s="8"/>
      <c r="L50" s="8"/>
      <c r="M50" s="10"/>
      <c r="N50" s="5"/>
    </row>
    <row r="51" spans="1:14" ht="15.5" x14ac:dyDescent="0.35">
      <c r="A51" s="37"/>
      <c r="B51" s="34" t="s">
        <v>60</v>
      </c>
      <c r="C51" s="8"/>
      <c r="D51" s="8"/>
      <c r="E51" s="8"/>
      <c r="F51" s="8"/>
      <c r="G51" s="8"/>
      <c r="H51" s="8"/>
      <c r="I51" s="8"/>
      <c r="J51" s="8"/>
      <c r="K51" s="8"/>
      <c r="L51" s="8"/>
      <c r="M51" s="10"/>
      <c r="N51" s="5"/>
    </row>
    <row r="52" spans="1:14" ht="15.5" x14ac:dyDescent="0.35">
      <c r="A52" s="35" t="s">
        <v>61</v>
      </c>
      <c r="B52" s="36" t="s">
        <v>59</v>
      </c>
      <c r="C52" s="8"/>
      <c r="D52" s="8"/>
      <c r="E52" s="8"/>
      <c r="F52" s="8"/>
      <c r="G52" s="8"/>
      <c r="H52" s="8"/>
      <c r="I52" s="8"/>
      <c r="J52" s="8"/>
      <c r="K52" s="8"/>
      <c r="L52" s="8"/>
      <c r="M52" s="10"/>
      <c r="N52" s="5"/>
    </row>
    <row r="53" spans="1:14" ht="198.75" customHeight="1" x14ac:dyDescent="0.35">
      <c r="A53" s="37"/>
      <c r="B53" s="34" t="s">
        <v>62</v>
      </c>
      <c r="C53" s="8"/>
      <c r="D53" s="8"/>
      <c r="E53" s="8"/>
      <c r="F53" s="8"/>
      <c r="G53" s="8"/>
      <c r="H53" s="8"/>
      <c r="I53" s="8"/>
      <c r="J53" s="8"/>
      <c r="K53" s="8"/>
      <c r="L53" s="8"/>
      <c r="M53" s="10"/>
      <c r="N53" s="5"/>
    </row>
    <row r="54" spans="1:14" ht="18" customHeight="1" x14ac:dyDescent="0.35">
      <c r="A54" s="35" t="s">
        <v>63</v>
      </c>
      <c r="B54" s="36" t="s">
        <v>59</v>
      </c>
      <c r="C54" s="8"/>
      <c r="D54" s="8"/>
      <c r="E54" s="8"/>
      <c r="F54" s="8"/>
      <c r="G54" s="8"/>
      <c r="H54" s="8"/>
      <c r="I54" s="8"/>
      <c r="J54" s="8"/>
      <c r="K54" s="8"/>
      <c r="L54" s="8"/>
      <c r="M54" s="10"/>
      <c r="N54" s="5"/>
    </row>
    <row r="55" spans="1:14" ht="104.25" customHeight="1" x14ac:dyDescent="0.35">
      <c r="A55" s="37"/>
      <c r="B55" s="34" t="s">
        <v>64</v>
      </c>
      <c r="C55" s="8"/>
      <c r="D55" s="8"/>
      <c r="E55" s="8"/>
      <c r="F55" s="8"/>
      <c r="G55" s="8"/>
      <c r="H55" s="8"/>
      <c r="I55" s="8"/>
      <c r="J55" s="8"/>
      <c r="K55" s="8"/>
      <c r="L55" s="8"/>
      <c r="M55" s="10"/>
      <c r="N55" s="5"/>
    </row>
    <row r="56" spans="1:14" ht="15.5" x14ac:dyDescent="0.35">
      <c r="A56" s="5"/>
      <c r="B56" s="5"/>
      <c r="C56" s="5"/>
      <c r="D56" s="5"/>
      <c r="E56" s="5"/>
      <c r="F56" s="5"/>
      <c r="G56" s="5"/>
      <c r="H56" s="5"/>
      <c r="I56" s="5"/>
      <c r="J56" s="5"/>
      <c r="K56" s="5"/>
      <c r="L56" s="5"/>
      <c r="M56" s="5"/>
      <c r="N56" s="5"/>
    </row>
    <row r="57" spans="1:14" ht="15.5" x14ac:dyDescent="0.35">
      <c r="A57" s="6" t="s">
        <v>65</v>
      </c>
      <c r="B57" s="2"/>
      <c r="C57" s="2"/>
      <c r="D57" s="2"/>
      <c r="E57" s="2"/>
      <c r="F57" s="2"/>
      <c r="G57" s="2"/>
      <c r="H57" s="2"/>
      <c r="I57" s="2"/>
      <c r="J57" s="2"/>
      <c r="K57" s="2"/>
      <c r="L57" s="2"/>
      <c r="M57" s="2"/>
      <c r="N57" s="30"/>
    </row>
    <row r="58" spans="1:14" ht="15.5" x14ac:dyDescent="0.35">
      <c r="A58" s="34" t="s">
        <v>66</v>
      </c>
      <c r="B58" s="8"/>
      <c r="C58" s="8"/>
      <c r="D58" s="8"/>
      <c r="E58" s="8"/>
      <c r="F58" s="8"/>
      <c r="G58" s="8"/>
      <c r="H58" s="8"/>
      <c r="I58" s="8"/>
      <c r="J58" s="8"/>
      <c r="K58" s="8"/>
      <c r="L58" s="8"/>
      <c r="M58" s="10"/>
      <c r="N58" s="5"/>
    </row>
    <row r="59" spans="1:14" ht="15.5" x14ac:dyDescent="0.35">
      <c r="A59" s="5"/>
      <c r="B59" s="5"/>
      <c r="C59" s="5"/>
      <c r="D59" s="5"/>
      <c r="E59" s="5"/>
      <c r="F59" s="5"/>
      <c r="G59" s="5"/>
      <c r="H59" s="5"/>
      <c r="I59" s="5"/>
      <c r="J59" s="5"/>
      <c r="K59" s="5"/>
      <c r="L59" s="5"/>
      <c r="M59" s="5"/>
      <c r="N59" s="5"/>
    </row>
    <row r="60" spans="1:14" ht="15.5" x14ac:dyDescent="0.35">
      <c r="A60" s="6" t="s">
        <v>67</v>
      </c>
      <c r="B60" s="2"/>
      <c r="C60" s="2"/>
      <c r="D60" s="2"/>
      <c r="E60" s="2"/>
      <c r="F60" s="2"/>
      <c r="G60" s="2"/>
      <c r="H60" s="2"/>
      <c r="I60" s="2"/>
      <c r="J60" s="2"/>
      <c r="K60" s="2"/>
      <c r="L60" s="2"/>
      <c r="M60" s="2"/>
      <c r="N60" s="30"/>
    </row>
    <row r="61" spans="1:14" ht="24.75" hidden="1" customHeight="1" x14ac:dyDescent="0.35">
      <c r="A61" s="38" t="s">
        <v>68</v>
      </c>
      <c r="B61" s="8"/>
      <c r="C61" s="8"/>
      <c r="D61" s="8"/>
      <c r="E61" s="8"/>
      <c r="F61" s="8"/>
      <c r="G61" s="10"/>
      <c r="H61" s="38" t="s">
        <v>69</v>
      </c>
      <c r="I61" s="8"/>
      <c r="J61" s="8"/>
      <c r="K61" s="10"/>
      <c r="L61" s="38" t="s">
        <v>70</v>
      </c>
      <c r="M61" s="10"/>
      <c r="N61" s="30"/>
    </row>
    <row r="62" spans="1:14" ht="15.5" hidden="1" x14ac:dyDescent="0.35">
      <c r="A62" s="39" t="s">
        <v>71</v>
      </c>
      <c r="B62" s="23"/>
      <c r="C62" s="8"/>
      <c r="D62" s="8"/>
      <c r="E62" s="8"/>
      <c r="F62" s="8"/>
      <c r="G62" s="10"/>
      <c r="H62" s="40"/>
      <c r="I62" s="14"/>
      <c r="J62" s="14"/>
      <c r="K62" s="15"/>
      <c r="L62" s="23"/>
      <c r="M62" s="10"/>
      <c r="N62" s="5"/>
    </row>
    <row r="63" spans="1:14" ht="15.5" hidden="1" x14ac:dyDescent="0.35">
      <c r="A63" s="39" t="s">
        <v>72</v>
      </c>
      <c r="B63" s="23"/>
      <c r="C63" s="8"/>
      <c r="D63" s="8"/>
      <c r="E63" s="8"/>
      <c r="F63" s="8"/>
      <c r="G63" s="10"/>
      <c r="H63" s="25"/>
      <c r="I63" s="2"/>
      <c r="J63" s="2"/>
      <c r="K63" s="26"/>
      <c r="L63" s="23"/>
      <c r="M63" s="10"/>
      <c r="N63" s="5"/>
    </row>
    <row r="64" spans="1:14" ht="15.5" hidden="1" x14ac:dyDescent="0.35">
      <c r="A64" s="39" t="s">
        <v>73</v>
      </c>
      <c r="B64" s="23"/>
      <c r="C64" s="8"/>
      <c r="D64" s="8"/>
      <c r="E64" s="8"/>
      <c r="F64" s="8"/>
      <c r="G64" s="10"/>
      <c r="H64" s="25"/>
      <c r="I64" s="2"/>
      <c r="J64" s="2"/>
      <c r="K64" s="26"/>
      <c r="L64" s="23"/>
      <c r="M64" s="10"/>
      <c r="N64" s="5"/>
    </row>
    <row r="65" spans="1:14" ht="15.5" hidden="1" x14ac:dyDescent="0.35">
      <c r="A65" s="39" t="s">
        <v>74</v>
      </c>
      <c r="B65" s="23"/>
      <c r="C65" s="8"/>
      <c r="D65" s="8"/>
      <c r="E65" s="8"/>
      <c r="F65" s="8"/>
      <c r="G65" s="10"/>
      <c r="H65" s="25"/>
      <c r="I65" s="2"/>
      <c r="J65" s="2"/>
      <c r="K65" s="26"/>
      <c r="L65" s="23"/>
      <c r="M65" s="10"/>
      <c r="N65" s="5"/>
    </row>
    <row r="66" spans="1:14" ht="15.5" hidden="1" x14ac:dyDescent="0.35">
      <c r="A66" s="39" t="s">
        <v>75</v>
      </c>
      <c r="B66" s="23"/>
      <c r="C66" s="8"/>
      <c r="D66" s="8"/>
      <c r="E66" s="8"/>
      <c r="F66" s="8"/>
      <c r="G66" s="10"/>
      <c r="H66" s="25"/>
      <c r="I66" s="2"/>
      <c r="J66" s="2"/>
      <c r="K66" s="26"/>
      <c r="L66" s="23"/>
      <c r="M66" s="10"/>
      <c r="N66" s="5"/>
    </row>
    <row r="67" spans="1:14" ht="15.5" hidden="1" x14ac:dyDescent="0.35">
      <c r="A67" s="39" t="s">
        <v>76</v>
      </c>
      <c r="B67" s="23"/>
      <c r="C67" s="8"/>
      <c r="D67" s="8"/>
      <c r="E67" s="8"/>
      <c r="F67" s="8"/>
      <c r="G67" s="10"/>
      <c r="H67" s="25"/>
      <c r="I67" s="2"/>
      <c r="J67" s="2"/>
      <c r="K67" s="26"/>
      <c r="L67" s="23"/>
      <c r="M67" s="10"/>
      <c r="N67" s="5"/>
    </row>
    <row r="68" spans="1:14" ht="15.5" hidden="1" x14ac:dyDescent="0.35">
      <c r="A68" s="39" t="s">
        <v>77</v>
      </c>
      <c r="B68" s="23"/>
      <c r="C68" s="8"/>
      <c r="D68" s="8"/>
      <c r="E68" s="8"/>
      <c r="F68" s="8"/>
      <c r="G68" s="10"/>
      <c r="H68" s="25"/>
      <c r="I68" s="2"/>
      <c r="J68" s="2"/>
      <c r="K68" s="26"/>
      <c r="L68" s="23"/>
      <c r="M68" s="10"/>
      <c r="N68" s="5"/>
    </row>
    <row r="69" spans="1:14" ht="15.5" hidden="1" x14ac:dyDescent="0.35">
      <c r="A69" s="39" t="s">
        <v>78</v>
      </c>
      <c r="B69" s="23"/>
      <c r="C69" s="8"/>
      <c r="D69" s="8"/>
      <c r="E69" s="8"/>
      <c r="F69" s="8"/>
      <c r="G69" s="10"/>
      <c r="H69" s="25"/>
      <c r="I69" s="2"/>
      <c r="J69" s="2"/>
      <c r="K69" s="26"/>
      <c r="L69" s="23"/>
      <c r="M69" s="10"/>
      <c r="N69" s="5"/>
    </row>
    <row r="70" spans="1:14" ht="15.5" hidden="1" x14ac:dyDescent="0.35">
      <c r="A70" s="39" t="s">
        <v>79</v>
      </c>
      <c r="B70" s="23"/>
      <c r="C70" s="8"/>
      <c r="D70" s="8"/>
      <c r="E70" s="8"/>
      <c r="F70" s="8"/>
      <c r="G70" s="10"/>
      <c r="H70" s="25"/>
      <c r="I70" s="2"/>
      <c r="J70" s="2"/>
      <c r="K70" s="26"/>
      <c r="L70" s="23"/>
      <c r="M70" s="10"/>
      <c r="N70" s="5"/>
    </row>
    <row r="71" spans="1:14" ht="15.5" hidden="1" x14ac:dyDescent="0.35">
      <c r="A71" s="39" t="s">
        <v>80</v>
      </c>
      <c r="B71" s="23"/>
      <c r="C71" s="8"/>
      <c r="D71" s="8"/>
      <c r="E71" s="8"/>
      <c r="F71" s="8"/>
      <c r="G71" s="10"/>
      <c r="H71" s="25"/>
      <c r="I71" s="2"/>
      <c r="J71" s="2"/>
      <c r="K71" s="26"/>
      <c r="L71" s="23"/>
      <c r="M71" s="10"/>
      <c r="N71" s="5"/>
    </row>
    <row r="72" spans="1:14" ht="15.5" hidden="1" x14ac:dyDescent="0.35">
      <c r="A72" s="39" t="s">
        <v>81</v>
      </c>
      <c r="B72" s="23"/>
      <c r="C72" s="8"/>
      <c r="D72" s="8"/>
      <c r="E72" s="8"/>
      <c r="F72" s="8"/>
      <c r="G72" s="10"/>
      <c r="H72" s="25"/>
      <c r="I72" s="2"/>
      <c r="J72" s="2"/>
      <c r="K72" s="26"/>
      <c r="L72" s="23"/>
      <c r="M72" s="10"/>
      <c r="N72" s="5"/>
    </row>
    <row r="73" spans="1:14" ht="15.5" hidden="1" x14ac:dyDescent="0.35">
      <c r="A73" s="39" t="s">
        <v>82</v>
      </c>
      <c r="B73" s="23"/>
      <c r="C73" s="8"/>
      <c r="D73" s="8"/>
      <c r="E73" s="8"/>
      <c r="F73" s="8"/>
      <c r="G73" s="10"/>
      <c r="H73" s="25"/>
      <c r="I73" s="2"/>
      <c r="J73" s="2"/>
      <c r="K73" s="26"/>
      <c r="L73" s="23"/>
      <c r="M73" s="10"/>
      <c r="N73" s="5"/>
    </row>
    <row r="74" spans="1:14" ht="15.5" hidden="1" x14ac:dyDescent="0.35">
      <c r="A74" s="39" t="s">
        <v>83</v>
      </c>
      <c r="B74" s="23"/>
      <c r="C74" s="8"/>
      <c r="D74" s="8"/>
      <c r="E74" s="8"/>
      <c r="F74" s="8"/>
      <c r="G74" s="10"/>
      <c r="H74" s="25"/>
      <c r="I74" s="2"/>
      <c r="J74" s="2"/>
      <c r="K74" s="26"/>
      <c r="L74" s="23"/>
      <c r="M74" s="10"/>
      <c r="N74" s="5"/>
    </row>
    <row r="75" spans="1:14" ht="15.5" hidden="1" x14ac:dyDescent="0.35">
      <c r="A75" s="39" t="s">
        <v>84</v>
      </c>
      <c r="B75" s="23"/>
      <c r="C75" s="8"/>
      <c r="D75" s="8"/>
      <c r="E75" s="8"/>
      <c r="F75" s="8"/>
      <c r="G75" s="10"/>
      <c r="H75" s="24"/>
      <c r="I75" s="18"/>
      <c r="J75" s="18"/>
      <c r="K75" s="19"/>
      <c r="L75" s="23"/>
      <c r="M75" s="10"/>
      <c r="N75" s="5"/>
    </row>
    <row r="76" spans="1:14" ht="84.75" hidden="1" customHeight="1" x14ac:dyDescent="0.35">
      <c r="A76" s="34" t="s">
        <v>85</v>
      </c>
      <c r="B76" s="8"/>
      <c r="C76" s="8"/>
      <c r="D76" s="8"/>
      <c r="E76" s="8"/>
      <c r="F76" s="8"/>
      <c r="G76" s="8"/>
      <c r="H76" s="8"/>
      <c r="I76" s="8"/>
      <c r="J76" s="8"/>
      <c r="K76" s="8"/>
      <c r="L76" s="8"/>
      <c r="M76" s="10"/>
      <c r="N76" s="5"/>
    </row>
    <row r="77" spans="1:14" ht="24.75" customHeight="1" x14ac:dyDescent="0.35">
      <c r="A77" s="38" t="s">
        <v>86</v>
      </c>
      <c r="B77" s="8"/>
      <c r="C77" s="8"/>
      <c r="D77" s="8"/>
      <c r="E77" s="8"/>
      <c r="F77" s="8"/>
      <c r="G77" s="10"/>
      <c r="H77" s="38" t="s">
        <v>87</v>
      </c>
      <c r="I77" s="8"/>
      <c r="J77" s="8"/>
      <c r="K77" s="10"/>
      <c r="L77" s="38" t="s">
        <v>70</v>
      </c>
      <c r="M77" s="10"/>
      <c r="N77" s="30"/>
    </row>
    <row r="78" spans="1:14" ht="15.5" x14ac:dyDescent="0.35">
      <c r="A78" s="39" t="s">
        <v>71</v>
      </c>
      <c r="B78" s="41" t="s">
        <v>88</v>
      </c>
      <c r="C78" s="8"/>
      <c r="D78" s="8"/>
      <c r="E78" s="8"/>
      <c r="F78" s="8"/>
      <c r="G78" s="10"/>
      <c r="H78" s="40"/>
      <c r="I78" s="14"/>
      <c r="J78" s="14"/>
      <c r="K78" s="15"/>
      <c r="L78" s="42" t="s">
        <v>89</v>
      </c>
      <c r="M78" s="10"/>
      <c r="N78" s="5"/>
    </row>
    <row r="79" spans="1:14" ht="15.5" x14ac:dyDescent="0.35">
      <c r="A79" s="39" t="s">
        <v>72</v>
      </c>
      <c r="B79" s="41" t="s">
        <v>90</v>
      </c>
      <c r="C79" s="8"/>
      <c r="D79" s="8"/>
      <c r="E79" s="8"/>
      <c r="F79" s="8"/>
      <c r="G79" s="10"/>
      <c r="H79" s="25"/>
      <c r="I79" s="2"/>
      <c r="J79" s="2"/>
      <c r="K79" s="26"/>
      <c r="L79" s="42" t="s">
        <v>89</v>
      </c>
      <c r="M79" s="10"/>
      <c r="N79" s="5"/>
    </row>
    <row r="80" spans="1:14" ht="15.5" x14ac:dyDescent="0.35">
      <c r="A80" s="39" t="s">
        <v>73</v>
      </c>
      <c r="B80" s="41" t="s">
        <v>91</v>
      </c>
      <c r="C80" s="8"/>
      <c r="D80" s="8"/>
      <c r="E80" s="8"/>
      <c r="F80" s="8"/>
      <c r="G80" s="10"/>
      <c r="H80" s="25"/>
      <c r="I80" s="2"/>
      <c r="J80" s="2"/>
      <c r="K80" s="26"/>
      <c r="L80" s="42" t="s">
        <v>89</v>
      </c>
      <c r="M80" s="10"/>
      <c r="N80" s="5"/>
    </row>
    <row r="81" spans="1:14" ht="15.5" x14ac:dyDescent="0.35">
      <c r="A81" s="39" t="s">
        <v>74</v>
      </c>
      <c r="B81" s="41" t="s">
        <v>92</v>
      </c>
      <c r="C81" s="8"/>
      <c r="D81" s="8"/>
      <c r="E81" s="8"/>
      <c r="F81" s="8"/>
      <c r="G81" s="10"/>
      <c r="H81" s="25"/>
      <c r="I81" s="2"/>
      <c r="J81" s="2"/>
      <c r="K81" s="26"/>
      <c r="L81" s="42" t="s">
        <v>89</v>
      </c>
      <c r="M81" s="10"/>
      <c r="N81" s="5"/>
    </row>
    <row r="82" spans="1:14" ht="15.5" x14ac:dyDescent="0.35">
      <c r="A82" s="39" t="s">
        <v>75</v>
      </c>
      <c r="B82" s="41" t="s">
        <v>93</v>
      </c>
      <c r="C82" s="8"/>
      <c r="D82" s="8"/>
      <c r="E82" s="8"/>
      <c r="F82" s="8"/>
      <c r="G82" s="10"/>
      <c r="H82" s="25"/>
      <c r="I82" s="2"/>
      <c r="J82" s="2"/>
      <c r="K82" s="26"/>
      <c r="L82" s="42" t="s">
        <v>89</v>
      </c>
      <c r="M82" s="10"/>
      <c r="N82" s="5"/>
    </row>
    <row r="83" spans="1:14" ht="15.5" x14ac:dyDescent="0.35">
      <c r="A83" s="39" t="s">
        <v>76</v>
      </c>
      <c r="B83" s="41" t="s">
        <v>94</v>
      </c>
      <c r="C83" s="8"/>
      <c r="D83" s="8"/>
      <c r="E83" s="8"/>
      <c r="F83" s="8"/>
      <c r="G83" s="10"/>
      <c r="H83" s="25"/>
      <c r="I83" s="2"/>
      <c r="J83" s="2"/>
      <c r="K83" s="26"/>
      <c r="L83" s="42" t="s">
        <v>89</v>
      </c>
      <c r="M83" s="10"/>
      <c r="N83" s="5"/>
    </row>
    <row r="84" spans="1:14" ht="15.5" x14ac:dyDescent="0.35">
      <c r="A84" s="39" t="s">
        <v>77</v>
      </c>
      <c r="B84" s="41" t="s">
        <v>95</v>
      </c>
      <c r="C84" s="8"/>
      <c r="D84" s="8"/>
      <c r="E84" s="8"/>
      <c r="F84" s="8"/>
      <c r="G84" s="10"/>
      <c r="H84" s="25"/>
      <c r="I84" s="2"/>
      <c r="J84" s="2"/>
      <c r="K84" s="26"/>
      <c r="L84" s="42" t="s">
        <v>89</v>
      </c>
      <c r="M84" s="10"/>
      <c r="N84" s="5"/>
    </row>
    <row r="85" spans="1:14" ht="15.5" x14ac:dyDescent="0.35">
      <c r="A85" s="39" t="s">
        <v>78</v>
      </c>
      <c r="B85" s="41" t="s">
        <v>96</v>
      </c>
      <c r="C85" s="8"/>
      <c r="D85" s="8"/>
      <c r="E85" s="8"/>
      <c r="F85" s="8"/>
      <c r="G85" s="10"/>
      <c r="H85" s="25"/>
      <c r="I85" s="2"/>
      <c r="J85" s="2"/>
      <c r="K85" s="26"/>
      <c r="L85" s="42" t="s">
        <v>89</v>
      </c>
      <c r="M85" s="10"/>
      <c r="N85" s="5"/>
    </row>
    <row r="86" spans="1:14" ht="15.5" x14ac:dyDescent="0.35">
      <c r="A86" s="39" t="s">
        <v>79</v>
      </c>
      <c r="B86" s="41" t="s">
        <v>97</v>
      </c>
      <c r="C86" s="8"/>
      <c r="D86" s="8"/>
      <c r="E86" s="8"/>
      <c r="F86" s="8"/>
      <c r="G86" s="10"/>
      <c r="H86" s="25"/>
      <c r="I86" s="2"/>
      <c r="J86" s="2"/>
      <c r="K86" s="26"/>
      <c r="L86" s="42" t="s">
        <v>89</v>
      </c>
      <c r="M86" s="10"/>
      <c r="N86" s="5"/>
    </row>
    <row r="87" spans="1:14" ht="15.5" x14ac:dyDescent="0.35">
      <c r="A87" s="39" t="s">
        <v>80</v>
      </c>
      <c r="B87" s="41" t="s">
        <v>98</v>
      </c>
      <c r="C87" s="8"/>
      <c r="D87" s="8"/>
      <c r="E87" s="8"/>
      <c r="F87" s="8"/>
      <c r="G87" s="10"/>
      <c r="H87" s="25"/>
      <c r="I87" s="2"/>
      <c r="J87" s="2"/>
      <c r="K87" s="26"/>
      <c r="L87" s="42" t="s">
        <v>89</v>
      </c>
      <c r="M87" s="10"/>
      <c r="N87" s="5"/>
    </row>
    <row r="88" spans="1:14" ht="15.5" x14ac:dyDescent="0.35">
      <c r="A88" s="39" t="s">
        <v>81</v>
      </c>
      <c r="B88" s="41" t="s">
        <v>99</v>
      </c>
      <c r="C88" s="8"/>
      <c r="D88" s="8"/>
      <c r="E88" s="8"/>
      <c r="F88" s="8"/>
      <c r="G88" s="10"/>
      <c r="H88" s="25"/>
      <c r="I88" s="2"/>
      <c r="J88" s="2"/>
      <c r="K88" s="26"/>
      <c r="L88" s="42" t="s">
        <v>89</v>
      </c>
      <c r="M88" s="10"/>
      <c r="N88" s="5"/>
    </row>
    <row r="89" spans="1:14" ht="15.5" x14ac:dyDescent="0.35">
      <c r="A89" s="39" t="s">
        <v>82</v>
      </c>
      <c r="B89" s="41" t="s">
        <v>100</v>
      </c>
      <c r="C89" s="8"/>
      <c r="D89" s="8"/>
      <c r="E89" s="8"/>
      <c r="F89" s="8"/>
      <c r="G89" s="10"/>
      <c r="H89" s="25"/>
      <c r="I89" s="2"/>
      <c r="J89" s="2"/>
      <c r="K89" s="26"/>
      <c r="L89" s="42" t="s">
        <v>89</v>
      </c>
      <c r="M89" s="10"/>
      <c r="N89" s="5"/>
    </row>
    <row r="90" spans="1:14" ht="15.5" x14ac:dyDescent="0.35">
      <c r="A90" s="39" t="s">
        <v>83</v>
      </c>
      <c r="B90" s="41" t="s">
        <v>101</v>
      </c>
      <c r="C90" s="8"/>
      <c r="D90" s="8"/>
      <c r="E90" s="8"/>
      <c r="F90" s="8"/>
      <c r="G90" s="10"/>
      <c r="H90" s="25"/>
      <c r="I90" s="2"/>
      <c r="J90" s="2"/>
      <c r="K90" s="26"/>
      <c r="L90" s="42" t="s">
        <v>89</v>
      </c>
      <c r="M90" s="10"/>
      <c r="N90" s="5"/>
    </row>
    <row r="91" spans="1:14" ht="15.5" x14ac:dyDescent="0.35">
      <c r="A91" s="39" t="s">
        <v>84</v>
      </c>
      <c r="B91" s="41" t="s">
        <v>102</v>
      </c>
      <c r="C91" s="8"/>
      <c r="D91" s="8"/>
      <c r="E91" s="8"/>
      <c r="F91" s="8"/>
      <c r="G91" s="10"/>
      <c r="H91" s="24"/>
      <c r="I91" s="18"/>
      <c r="J91" s="18"/>
      <c r="K91" s="19"/>
      <c r="L91" s="42" t="s">
        <v>89</v>
      </c>
      <c r="M91" s="10"/>
      <c r="N91" s="5"/>
    </row>
    <row r="92" spans="1:14" ht="24" hidden="1" customHeight="1" x14ac:dyDescent="0.35">
      <c r="A92" s="38" t="s">
        <v>103</v>
      </c>
      <c r="B92" s="8"/>
      <c r="C92" s="8"/>
      <c r="D92" s="8"/>
      <c r="E92" s="8"/>
      <c r="F92" s="8"/>
      <c r="G92" s="10"/>
      <c r="H92" s="38" t="s">
        <v>87</v>
      </c>
      <c r="I92" s="8"/>
      <c r="J92" s="8"/>
      <c r="K92" s="10"/>
      <c r="L92" s="38" t="s">
        <v>70</v>
      </c>
      <c r="M92" s="10"/>
      <c r="N92" s="30"/>
    </row>
    <row r="93" spans="1:14" ht="15.5" hidden="1" x14ac:dyDescent="0.35">
      <c r="A93" s="39" t="s">
        <v>71</v>
      </c>
      <c r="B93" s="23"/>
      <c r="C93" s="8"/>
      <c r="D93" s="8"/>
      <c r="E93" s="8"/>
      <c r="F93" s="8"/>
      <c r="G93" s="10"/>
      <c r="H93" s="40"/>
      <c r="I93" s="14"/>
      <c r="J93" s="14"/>
      <c r="K93" s="15"/>
      <c r="L93" s="23"/>
      <c r="M93" s="10"/>
      <c r="N93" s="5"/>
    </row>
    <row r="94" spans="1:14" ht="15.5" hidden="1" x14ac:dyDescent="0.35">
      <c r="A94" s="39" t="s">
        <v>72</v>
      </c>
      <c r="B94" s="23"/>
      <c r="C94" s="8"/>
      <c r="D94" s="8"/>
      <c r="E94" s="8"/>
      <c r="F94" s="8"/>
      <c r="G94" s="10"/>
      <c r="H94" s="25"/>
      <c r="I94" s="2"/>
      <c r="J94" s="2"/>
      <c r="K94" s="26"/>
      <c r="L94" s="23"/>
      <c r="M94" s="10"/>
      <c r="N94" s="5"/>
    </row>
    <row r="95" spans="1:14" ht="15.5" hidden="1" x14ac:dyDescent="0.35">
      <c r="A95" s="39" t="s">
        <v>73</v>
      </c>
      <c r="B95" s="23"/>
      <c r="C95" s="8"/>
      <c r="D95" s="8"/>
      <c r="E95" s="8"/>
      <c r="F95" s="8"/>
      <c r="G95" s="10"/>
      <c r="H95" s="25"/>
      <c r="I95" s="2"/>
      <c r="J95" s="2"/>
      <c r="K95" s="26"/>
      <c r="L95" s="23"/>
      <c r="M95" s="10"/>
      <c r="N95" s="5"/>
    </row>
    <row r="96" spans="1:14" ht="15.5" hidden="1" x14ac:dyDescent="0.35">
      <c r="A96" s="39" t="s">
        <v>74</v>
      </c>
      <c r="B96" s="23"/>
      <c r="C96" s="8"/>
      <c r="D96" s="8"/>
      <c r="E96" s="8"/>
      <c r="F96" s="8"/>
      <c r="G96" s="10"/>
      <c r="H96" s="25"/>
      <c r="I96" s="2"/>
      <c r="J96" s="2"/>
      <c r="K96" s="26"/>
      <c r="L96" s="23"/>
      <c r="M96" s="10"/>
      <c r="N96" s="5"/>
    </row>
    <row r="97" spans="1:14" ht="15.5" hidden="1" x14ac:dyDescent="0.35">
      <c r="A97" s="39" t="s">
        <v>75</v>
      </c>
      <c r="B97" s="23"/>
      <c r="C97" s="8"/>
      <c r="D97" s="8"/>
      <c r="E97" s="8"/>
      <c r="F97" s="8"/>
      <c r="G97" s="10"/>
      <c r="H97" s="25"/>
      <c r="I97" s="2"/>
      <c r="J97" s="2"/>
      <c r="K97" s="26"/>
      <c r="L97" s="23"/>
      <c r="M97" s="10"/>
      <c r="N97" s="5"/>
    </row>
    <row r="98" spans="1:14" ht="15.5" hidden="1" x14ac:dyDescent="0.35">
      <c r="A98" s="39" t="s">
        <v>76</v>
      </c>
      <c r="B98" s="23"/>
      <c r="C98" s="8"/>
      <c r="D98" s="8"/>
      <c r="E98" s="8"/>
      <c r="F98" s="8"/>
      <c r="G98" s="10"/>
      <c r="H98" s="25"/>
      <c r="I98" s="2"/>
      <c r="J98" s="2"/>
      <c r="K98" s="26"/>
      <c r="L98" s="23"/>
      <c r="M98" s="10"/>
      <c r="N98" s="5"/>
    </row>
    <row r="99" spans="1:14" ht="15.5" hidden="1" x14ac:dyDescent="0.35">
      <c r="A99" s="39" t="s">
        <v>77</v>
      </c>
      <c r="B99" s="23"/>
      <c r="C99" s="8"/>
      <c r="D99" s="8"/>
      <c r="E99" s="8"/>
      <c r="F99" s="8"/>
      <c r="G99" s="10"/>
      <c r="H99" s="25"/>
      <c r="I99" s="2"/>
      <c r="J99" s="2"/>
      <c r="K99" s="26"/>
      <c r="L99" s="23"/>
      <c r="M99" s="10"/>
      <c r="N99" s="5"/>
    </row>
    <row r="100" spans="1:14" ht="15.5" hidden="1" x14ac:dyDescent="0.35">
      <c r="A100" s="39" t="s">
        <v>78</v>
      </c>
      <c r="B100" s="23"/>
      <c r="C100" s="8"/>
      <c r="D100" s="8"/>
      <c r="E100" s="8"/>
      <c r="F100" s="8"/>
      <c r="G100" s="10"/>
      <c r="H100" s="25"/>
      <c r="I100" s="2"/>
      <c r="J100" s="2"/>
      <c r="K100" s="26"/>
      <c r="L100" s="23"/>
      <c r="M100" s="10"/>
      <c r="N100" s="5"/>
    </row>
    <row r="101" spans="1:14" ht="15.5" hidden="1" x14ac:dyDescent="0.35">
      <c r="A101" s="39" t="s">
        <v>79</v>
      </c>
      <c r="B101" s="23"/>
      <c r="C101" s="8"/>
      <c r="D101" s="8"/>
      <c r="E101" s="8"/>
      <c r="F101" s="8"/>
      <c r="G101" s="10"/>
      <c r="H101" s="25"/>
      <c r="I101" s="2"/>
      <c r="J101" s="2"/>
      <c r="K101" s="26"/>
      <c r="L101" s="23"/>
      <c r="M101" s="10"/>
      <c r="N101" s="5"/>
    </row>
    <row r="102" spans="1:14" ht="15.5" hidden="1" x14ac:dyDescent="0.35">
      <c r="A102" s="39" t="s">
        <v>80</v>
      </c>
      <c r="B102" s="23"/>
      <c r="C102" s="8"/>
      <c r="D102" s="8"/>
      <c r="E102" s="8"/>
      <c r="F102" s="8"/>
      <c r="G102" s="10"/>
      <c r="H102" s="25"/>
      <c r="I102" s="2"/>
      <c r="J102" s="2"/>
      <c r="K102" s="26"/>
      <c r="L102" s="23"/>
      <c r="M102" s="10"/>
      <c r="N102" s="5"/>
    </row>
    <row r="103" spans="1:14" ht="15.5" hidden="1" x14ac:dyDescent="0.35">
      <c r="A103" s="39" t="s">
        <v>81</v>
      </c>
      <c r="B103" s="23"/>
      <c r="C103" s="8"/>
      <c r="D103" s="8"/>
      <c r="E103" s="8"/>
      <c r="F103" s="8"/>
      <c r="G103" s="10"/>
      <c r="H103" s="25"/>
      <c r="I103" s="2"/>
      <c r="J103" s="2"/>
      <c r="K103" s="26"/>
      <c r="L103" s="23"/>
      <c r="M103" s="10"/>
      <c r="N103" s="5"/>
    </row>
    <row r="104" spans="1:14" ht="15.5" hidden="1" x14ac:dyDescent="0.35">
      <c r="A104" s="39" t="s">
        <v>82</v>
      </c>
      <c r="B104" s="23"/>
      <c r="C104" s="8"/>
      <c r="D104" s="8"/>
      <c r="E104" s="8"/>
      <c r="F104" s="8"/>
      <c r="G104" s="10"/>
      <c r="H104" s="25"/>
      <c r="I104" s="2"/>
      <c r="J104" s="2"/>
      <c r="K104" s="26"/>
      <c r="L104" s="23"/>
      <c r="M104" s="10"/>
      <c r="N104" s="5"/>
    </row>
    <row r="105" spans="1:14" ht="15.5" hidden="1" x14ac:dyDescent="0.35">
      <c r="A105" s="39" t="s">
        <v>83</v>
      </c>
      <c r="B105" s="23"/>
      <c r="C105" s="8"/>
      <c r="D105" s="8"/>
      <c r="E105" s="8"/>
      <c r="F105" s="8"/>
      <c r="G105" s="10"/>
      <c r="H105" s="25"/>
      <c r="I105" s="2"/>
      <c r="J105" s="2"/>
      <c r="K105" s="26"/>
      <c r="L105" s="23"/>
      <c r="M105" s="10"/>
      <c r="N105" s="5"/>
    </row>
    <row r="106" spans="1:14" ht="15.5" hidden="1" x14ac:dyDescent="0.35">
      <c r="A106" s="39" t="s">
        <v>84</v>
      </c>
      <c r="B106" s="23"/>
      <c r="C106" s="8"/>
      <c r="D106" s="8"/>
      <c r="E106" s="8"/>
      <c r="F106" s="8"/>
      <c r="G106" s="10"/>
      <c r="H106" s="24"/>
      <c r="I106" s="18"/>
      <c r="J106" s="18"/>
      <c r="K106" s="19"/>
      <c r="L106" s="23"/>
      <c r="M106" s="10"/>
      <c r="N106" s="5"/>
    </row>
    <row r="107" spans="1:14" ht="24" hidden="1" customHeight="1" x14ac:dyDescent="0.35">
      <c r="A107" s="38" t="s">
        <v>104</v>
      </c>
      <c r="B107" s="8"/>
      <c r="C107" s="8"/>
      <c r="D107" s="8"/>
      <c r="E107" s="8"/>
      <c r="F107" s="8"/>
      <c r="G107" s="10"/>
      <c r="H107" s="38" t="s">
        <v>87</v>
      </c>
      <c r="I107" s="8"/>
      <c r="J107" s="8"/>
      <c r="K107" s="10"/>
      <c r="L107" s="38" t="s">
        <v>70</v>
      </c>
      <c r="M107" s="10"/>
      <c r="N107" s="30"/>
    </row>
    <row r="108" spans="1:14" ht="15.5" hidden="1" x14ac:dyDescent="0.35">
      <c r="A108" s="39" t="s">
        <v>71</v>
      </c>
      <c r="B108" s="23"/>
      <c r="C108" s="8"/>
      <c r="D108" s="8"/>
      <c r="E108" s="8"/>
      <c r="F108" s="8"/>
      <c r="G108" s="10"/>
      <c r="H108" s="40"/>
      <c r="I108" s="14"/>
      <c r="J108" s="14"/>
      <c r="K108" s="15"/>
      <c r="L108" s="23"/>
      <c r="M108" s="10"/>
      <c r="N108" s="5"/>
    </row>
    <row r="109" spans="1:14" ht="15.5" hidden="1" x14ac:dyDescent="0.35">
      <c r="A109" s="39" t="s">
        <v>72</v>
      </c>
      <c r="B109" s="23"/>
      <c r="C109" s="8"/>
      <c r="D109" s="8"/>
      <c r="E109" s="8"/>
      <c r="F109" s="8"/>
      <c r="G109" s="10"/>
      <c r="H109" s="25"/>
      <c r="I109" s="2"/>
      <c r="J109" s="2"/>
      <c r="K109" s="26"/>
      <c r="L109" s="23"/>
      <c r="M109" s="10"/>
      <c r="N109" s="5"/>
    </row>
    <row r="110" spans="1:14" ht="15.5" hidden="1" x14ac:dyDescent="0.35">
      <c r="A110" s="39" t="s">
        <v>73</v>
      </c>
      <c r="B110" s="23"/>
      <c r="C110" s="8"/>
      <c r="D110" s="8"/>
      <c r="E110" s="8"/>
      <c r="F110" s="8"/>
      <c r="G110" s="10"/>
      <c r="H110" s="25"/>
      <c r="I110" s="2"/>
      <c r="J110" s="2"/>
      <c r="K110" s="26"/>
      <c r="L110" s="23"/>
      <c r="M110" s="10"/>
      <c r="N110" s="5"/>
    </row>
    <row r="111" spans="1:14" ht="15.5" hidden="1" x14ac:dyDescent="0.35">
      <c r="A111" s="39" t="s">
        <v>74</v>
      </c>
      <c r="B111" s="23"/>
      <c r="C111" s="8"/>
      <c r="D111" s="8"/>
      <c r="E111" s="8"/>
      <c r="F111" s="8"/>
      <c r="G111" s="10"/>
      <c r="H111" s="25"/>
      <c r="I111" s="2"/>
      <c r="J111" s="2"/>
      <c r="K111" s="26"/>
      <c r="L111" s="23"/>
      <c r="M111" s="10"/>
      <c r="N111" s="5"/>
    </row>
    <row r="112" spans="1:14" ht="15.5" hidden="1" x14ac:dyDescent="0.35">
      <c r="A112" s="39" t="s">
        <v>75</v>
      </c>
      <c r="B112" s="23"/>
      <c r="C112" s="8"/>
      <c r="D112" s="8"/>
      <c r="E112" s="8"/>
      <c r="F112" s="8"/>
      <c r="G112" s="10"/>
      <c r="H112" s="25"/>
      <c r="I112" s="2"/>
      <c r="J112" s="2"/>
      <c r="K112" s="26"/>
      <c r="L112" s="23"/>
      <c r="M112" s="10"/>
      <c r="N112" s="5"/>
    </row>
    <row r="113" spans="1:14" ht="15.5" hidden="1" x14ac:dyDescent="0.35">
      <c r="A113" s="39" t="s">
        <v>76</v>
      </c>
      <c r="B113" s="23"/>
      <c r="C113" s="8"/>
      <c r="D113" s="8"/>
      <c r="E113" s="8"/>
      <c r="F113" s="8"/>
      <c r="G113" s="10"/>
      <c r="H113" s="25"/>
      <c r="I113" s="2"/>
      <c r="J113" s="2"/>
      <c r="K113" s="26"/>
      <c r="L113" s="23"/>
      <c r="M113" s="10"/>
      <c r="N113" s="5"/>
    </row>
    <row r="114" spans="1:14" ht="15.5" hidden="1" x14ac:dyDescent="0.35">
      <c r="A114" s="39" t="s">
        <v>77</v>
      </c>
      <c r="B114" s="23"/>
      <c r="C114" s="8"/>
      <c r="D114" s="8"/>
      <c r="E114" s="8"/>
      <c r="F114" s="8"/>
      <c r="G114" s="10"/>
      <c r="H114" s="25"/>
      <c r="I114" s="2"/>
      <c r="J114" s="2"/>
      <c r="K114" s="26"/>
      <c r="L114" s="23"/>
      <c r="M114" s="10"/>
      <c r="N114" s="5"/>
    </row>
    <row r="115" spans="1:14" ht="15.5" hidden="1" x14ac:dyDescent="0.35">
      <c r="A115" s="39" t="s">
        <v>78</v>
      </c>
      <c r="B115" s="23"/>
      <c r="C115" s="8"/>
      <c r="D115" s="8"/>
      <c r="E115" s="8"/>
      <c r="F115" s="8"/>
      <c r="G115" s="10"/>
      <c r="H115" s="25"/>
      <c r="I115" s="2"/>
      <c r="J115" s="2"/>
      <c r="K115" s="26"/>
      <c r="L115" s="23"/>
      <c r="M115" s="10"/>
      <c r="N115" s="5"/>
    </row>
    <row r="116" spans="1:14" ht="15.5" hidden="1" x14ac:dyDescent="0.35">
      <c r="A116" s="39" t="s">
        <v>79</v>
      </c>
      <c r="B116" s="23"/>
      <c r="C116" s="8"/>
      <c r="D116" s="8"/>
      <c r="E116" s="8"/>
      <c r="F116" s="8"/>
      <c r="G116" s="10"/>
      <c r="H116" s="25"/>
      <c r="I116" s="2"/>
      <c r="J116" s="2"/>
      <c r="K116" s="26"/>
      <c r="L116" s="23"/>
      <c r="M116" s="10"/>
      <c r="N116" s="5"/>
    </row>
    <row r="117" spans="1:14" ht="15.5" hidden="1" x14ac:dyDescent="0.35">
      <c r="A117" s="39" t="s">
        <v>80</v>
      </c>
      <c r="B117" s="23"/>
      <c r="C117" s="8"/>
      <c r="D117" s="8"/>
      <c r="E117" s="8"/>
      <c r="F117" s="8"/>
      <c r="G117" s="10"/>
      <c r="H117" s="25"/>
      <c r="I117" s="2"/>
      <c r="J117" s="2"/>
      <c r="K117" s="26"/>
      <c r="L117" s="23"/>
      <c r="M117" s="10"/>
      <c r="N117" s="5"/>
    </row>
    <row r="118" spans="1:14" ht="15.5" hidden="1" x14ac:dyDescent="0.35">
      <c r="A118" s="39" t="s">
        <v>81</v>
      </c>
      <c r="B118" s="23"/>
      <c r="C118" s="8"/>
      <c r="D118" s="8"/>
      <c r="E118" s="8"/>
      <c r="F118" s="8"/>
      <c r="G118" s="10"/>
      <c r="H118" s="25"/>
      <c r="I118" s="2"/>
      <c r="J118" s="2"/>
      <c r="K118" s="26"/>
      <c r="L118" s="23"/>
      <c r="M118" s="10"/>
      <c r="N118" s="5"/>
    </row>
    <row r="119" spans="1:14" ht="15.5" hidden="1" x14ac:dyDescent="0.35">
      <c r="A119" s="39" t="s">
        <v>82</v>
      </c>
      <c r="B119" s="23"/>
      <c r="C119" s="8"/>
      <c r="D119" s="8"/>
      <c r="E119" s="8"/>
      <c r="F119" s="8"/>
      <c r="G119" s="10"/>
      <c r="H119" s="25"/>
      <c r="I119" s="2"/>
      <c r="J119" s="2"/>
      <c r="K119" s="26"/>
      <c r="L119" s="23"/>
      <c r="M119" s="10"/>
      <c r="N119" s="5"/>
    </row>
    <row r="120" spans="1:14" ht="15.5" hidden="1" x14ac:dyDescent="0.35">
      <c r="A120" s="39" t="s">
        <v>83</v>
      </c>
      <c r="B120" s="23"/>
      <c r="C120" s="8"/>
      <c r="D120" s="8"/>
      <c r="E120" s="8"/>
      <c r="F120" s="8"/>
      <c r="G120" s="10"/>
      <c r="H120" s="25"/>
      <c r="I120" s="2"/>
      <c r="J120" s="2"/>
      <c r="K120" s="26"/>
      <c r="L120" s="23"/>
      <c r="M120" s="10"/>
      <c r="N120" s="5"/>
    </row>
    <row r="121" spans="1:14" ht="15.5" hidden="1" x14ac:dyDescent="0.35">
      <c r="A121" s="39" t="s">
        <v>84</v>
      </c>
      <c r="B121" s="23"/>
      <c r="C121" s="8"/>
      <c r="D121" s="8"/>
      <c r="E121" s="8"/>
      <c r="F121" s="8"/>
      <c r="G121" s="10"/>
      <c r="H121" s="24"/>
      <c r="I121" s="18"/>
      <c r="J121" s="18"/>
      <c r="K121" s="19"/>
      <c r="L121" s="23"/>
      <c r="M121" s="10"/>
      <c r="N121" s="5"/>
    </row>
    <row r="122" spans="1:14" ht="115.5" customHeight="1" x14ac:dyDescent="0.35">
      <c r="A122" s="43" t="s">
        <v>105</v>
      </c>
      <c r="B122" s="8"/>
      <c r="C122" s="8"/>
      <c r="D122" s="8"/>
      <c r="E122" s="8"/>
      <c r="F122" s="8"/>
      <c r="G122" s="8"/>
      <c r="H122" s="8"/>
      <c r="I122" s="8"/>
      <c r="J122" s="8"/>
      <c r="K122" s="8"/>
      <c r="L122" s="8"/>
      <c r="M122" s="8"/>
      <c r="N122" s="5"/>
    </row>
    <row r="123" spans="1:14" ht="15.5" x14ac:dyDescent="0.35">
      <c r="A123" s="5"/>
      <c r="B123" s="5"/>
      <c r="C123" s="5"/>
      <c r="D123" s="5"/>
      <c r="E123" s="5"/>
      <c r="F123" s="5"/>
      <c r="G123" s="5"/>
      <c r="H123" s="5"/>
      <c r="I123" s="5"/>
      <c r="J123" s="5"/>
      <c r="K123" s="5"/>
      <c r="L123" s="5"/>
      <c r="M123" s="5"/>
      <c r="N123" s="5"/>
    </row>
    <row r="124" spans="1:14" ht="15.5" x14ac:dyDescent="0.35">
      <c r="A124" s="6" t="s">
        <v>106</v>
      </c>
      <c r="B124" s="2"/>
      <c r="C124" s="2"/>
      <c r="D124" s="2"/>
      <c r="E124" s="2"/>
      <c r="F124" s="2"/>
      <c r="G124" s="2"/>
      <c r="H124" s="2"/>
      <c r="I124" s="2"/>
      <c r="J124" s="2"/>
      <c r="K124" s="2"/>
      <c r="L124" s="2"/>
      <c r="M124" s="2"/>
      <c r="N124" s="30"/>
    </row>
    <row r="125" spans="1:14" ht="46.5" x14ac:dyDescent="0.35">
      <c r="A125" s="44" t="s">
        <v>107</v>
      </c>
      <c r="B125" s="45" t="s">
        <v>108</v>
      </c>
      <c r="C125" s="8"/>
      <c r="D125" s="8"/>
      <c r="E125" s="8"/>
      <c r="F125" s="8"/>
      <c r="G125" s="10"/>
      <c r="H125" s="45" t="s">
        <v>109</v>
      </c>
      <c r="I125" s="8"/>
      <c r="J125" s="8"/>
      <c r="K125" s="10"/>
      <c r="L125" s="46" t="s">
        <v>110</v>
      </c>
      <c r="M125" s="10"/>
      <c r="N125" s="5"/>
    </row>
    <row r="126" spans="1:14" ht="69.75" customHeight="1" x14ac:dyDescent="0.35">
      <c r="A126" s="47" t="s">
        <v>111</v>
      </c>
      <c r="B126" s="48" t="s">
        <v>112</v>
      </c>
      <c r="C126" s="14"/>
      <c r="D126" s="14"/>
      <c r="E126" s="14"/>
      <c r="F126" s="14"/>
      <c r="G126" s="15"/>
      <c r="H126" s="48" t="s">
        <v>113</v>
      </c>
      <c r="I126" s="14"/>
      <c r="J126" s="14"/>
      <c r="K126" s="49" t="s">
        <v>114</v>
      </c>
      <c r="L126" s="50">
        <f>1-SUM(L129:M131)</f>
        <v>0.5</v>
      </c>
      <c r="M126" s="15"/>
      <c r="N126" s="51"/>
    </row>
    <row r="127" spans="1:14" ht="55.5" customHeight="1" x14ac:dyDescent="0.35">
      <c r="A127" s="52"/>
      <c r="B127" s="25"/>
      <c r="C127" s="2"/>
      <c r="D127" s="2"/>
      <c r="E127" s="2"/>
      <c r="F127" s="2"/>
      <c r="G127" s="26"/>
      <c r="H127" s="25"/>
      <c r="I127" s="2"/>
      <c r="J127" s="2"/>
      <c r="K127" s="52"/>
      <c r="L127" s="25"/>
      <c r="M127" s="26"/>
      <c r="N127" s="51"/>
    </row>
    <row r="128" spans="1:14" ht="63.75" customHeight="1" x14ac:dyDescent="0.35">
      <c r="A128" s="37"/>
      <c r="B128" s="24"/>
      <c r="C128" s="18"/>
      <c r="D128" s="18"/>
      <c r="E128" s="18"/>
      <c r="F128" s="18"/>
      <c r="G128" s="19"/>
      <c r="H128" s="24"/>
      <c r="I128" s="18"/>
      <c r="J128" s="18"/>
      <c r="K128" s="37"/>
      <c r="L128" s="24"/>
      <c r="M128" s="19"/>
      <c r="N128" s="51"/>
    </row>
    <row r="129" spans="1:14" ht="31" x14ac:dyDescent="0.35">
      <c r="A129" s="44" t="s">
        <v>115</v>
      </c>
      <c r="B129" s="53" t="s">
        <v>116</v>
      </c>
      <c r="C129" s="8"/>
      <c r="D129" s="8"/>
      <c r="E129" s="8"/>
      <c r="F129" s="8"/>
      <c r="G129" s="10"/>
      <c r="H129" s="53" t="s">
        <v>113</v>
      </c>
      <c r="I129" s="8"/>
      <c r="J129" s="8"/>
      <c r="K129" s="8"/>
      <c r="L129" s="54">
        <v>0.5</v>
      </c>
      <c r="M129" s="10"/>
      <c r="N129" s="51"/>
    </row>
    <row r="130" spans="1:14" ht="46.5" hidden="1" x14ac:dyDescent="0.35">
      <c r="A130" s="44" t="s">
        <v>117</v>
      </c>
      <c r="B130" s="55" t="s">
        <v>118</v>
      </c>
      <c r="C130" s="8"/>
      <c r="D130" s="8"/>
      <c r="E130" s="8"/>
      <c r="F130" s="8"/>
      <c r="G130" s="10"/>
      <c r="H130" s="56"/>
      <c r="I130" s="57"/>
      <c r="J130" s="57"/>
      <c r="K130" s="58"/>
      <c r="L130" s="54"/>
      <c r="M130" s="10"/>
      <c r="N130" s="5"/>
    </row>
    <row r="131" spans="1:14" ht="31" hidden="1" x14ac:dyDescent="0.35">
      <c r="A131" s="44" t="s">
        <v>119</v>
      </c>
      <c r="B131" s="55" t="s">
        <v>120</v>
      </c>
      <c r="C131" s="8"/>
      <c r="D131" s="8"/>
      <c r="E131" s="8"/>
      <c r="F131" s="8"/>
      <c r="G131" s="10"/>
      <c r="H131" s="53"/>
      <c r="I131" s="8"/>
      <c r="J131" s="8"/>
      <c r="K131" s="10"/>
      <c r="L131" s="54"/>
      <c r="M131" s="10"/>
      <c r="N131" s="5"/>
    </row>
    <row r="132" spans="1:14" ht="15.5" x14ac:dyDescent="0.35">
      <c r="A132" s="45" t="s">
        <v>121</v>
      </c>
      <c r="B132" s="8"/>
      <c r="C132" s="8"/>
      <c r="D132" s="8"/>
      <c r="E132" s="8"/>
      <c r="F132" s="8"/>
      <c r="G132" s="8"/>
      <c r="H132" s="8"/>
      <c r="I132" s="8"/>
      <c r="J132" s="8"/>
      <c r="K132" s="8"/>
      <c r="L132" s="8"/>
      <c r="M132" s="10"/>
      <c r="N132" s="5"/>
    </row>
    <row r="133" spans="1:14" ht="15.5" x14ac:dyDescent="0.35">
      <c r="A133" s="59" t="s">
        <v>122</v>
      </c>
      <c r="B133" s="8"/>
      <c r="C133" s="8"/>
      <c r="D133" s="8"/>
      <c r="E133" s="8"/>
      <c r="F133" s="8"/>
      <c r="G133" s="8"/>
      <c r="H133" s="8"/>
      <c r="I133" s="8"/>
      <c r="J133" s="8"/>
      <c r="K133" s="8"/>
      <c r="L133" s="8"/>
      <c r="M133" s="10"/>
      <c r="N133" s="5"/>
    </row>
    <row r="134" spans="1:14" ht="15.5" x14ac:dyDescent="0.35">
      <c r="A134" s="5"/>
      <c r="B134" s="5"/>
      <c r="C134" s="5"/>
      <c r="D134" s="5"/>
      <c r="E134" s="5"/>
      <c r="F134" s="5"/>
      <c r="G134" s="5"/>
      <c r="H134" s="5"/>
      <c r="I134" s="5"/>
      <c r="J134" s="5"/>
      <c r="K134" s="5"/>
      <c r="L134" s="5"/>
      <c r="M134" s="5"/>
      <c r="N134" s="5"/>
    </row>
    <row r="135" spans="1:14" ht="15.5" x14ac:dyDescent="0.35">
      <c r="A135" s="60" t="s">
        <v>123</v>
      </c>
      <c r="B135" s="10"/>
      <c r="C135" s="61">
        <v>45912</v>
      </c>
      <c r="D135" s="8"/>
      <c r="E135" s="8"/>
      <c r="F135" s="8"/>
      <c r="G135" s="8"/>
      <c r="H135" s="8"/>
      <c r="I135" s="8"/>
      <c r="J135" s="8"/>
      <c r="K135" s="8"/>
      <c r="L135" s="8"/>
      <c r="M135" s="10"/>
      <c r="N135" s="5"/>
    </row>
    <row r="136" spans="1:14" ht="8.25" customHeight="1" x14ac:dyDescent="0.35">
      <c r="A136" s="12"/>
      <c r="B136" s="2"/>
      <c r="C136" s="2"/>
      <c r="D136" s="2"/>
      <c r="E136" s="2"/>
      <c r="F136" s="2"/>
      <c r="G136" s="2"/>
      <c r="H136" s="2"/>
      <c r="I136" s="2"/>
      <c r="J136" s="2"/>
      <c r="K136" s="2"/>
      <c r="L136" s="2"/>
      <c r="M136" s="2"/>
      <c r="N136" s="5"/>
    </row>
    <row r="137" spans="1:14" ht="35.25" hidden="1" customHeight="1" x14ac:dyDescent="0.35">
      <c r="A137" s="60" t="s">
        <v>124</v>
      </c>
      <c r="B137" s="10"/>
      <c r="C137" s="9">
        <f>E15</f>
        <v>0</v>
      </c>
      <c r="D137" s="8"/>
      <c r="E137" s="8"/>
      <c r="F137" s="8"/>
      <c r="G137" s="10"/>
      <c r="H137" s="9">
        <f>E16</f>
        <v>0</v>
      </c>
      <c r="I137" s="8"/>
      <c r="J137" s="8"/>
      <c r="K137" s="8"/>
      <c r="L137" s="8"/>
      <c r="M137" s="10"/>
      <c r="N137" s="5"/>
    </row>
    <row r="138" spans="1:14" ht="11.25" customHeight="1" x14ac:dyDescent="0.35">
      <c r="A138" s="12"/>
      <c r="B138" s="2"/>
      <c r="C138" s="2"/>
      <c r="D138" s="2"/>
      <c r="E138" s="2"/>
      <c r="F138" s="2"/>
      <c r="G138" s="2"/>
      <c r="H138" s="2"/>
      <c r="I138" s="2"/>
      <c r="J138" s="2"/>
      <c r="K138" s="2"/>
      <c r="L138" s="2"/>
      <c r="M138" s="2"/>
      <c r="N138" s="5"/>
    </row>
    <row r="139" spans="1:14" ht="32.25" customHeight="1" x14ac:dyDescent="0.35">
      <c r="A139" s="62" t="s">
        <v>125</v>
      </c>
      <c r="B139" s="15"/>
      <c r="C139" s="9" t="str">
        <f t="shared" ref="C139:C141" si="0">E17</f>
        <v>Conf.univ.dr. Catalina Mihaela Stirbu</v>
      </c>
      <c r="D139" s="8"/>
      <c r="E139" s="8"/>
      <c r="F139" s="8"/>
      <c r="G139" s="10"/>
      <c r="H139" s="9">
        <f t="shared" ref="H139:H141" si="1">E20</f>
        <v>0</v>
      </c>
      <c r="I139" s="8"/>
      <c r="J139" s="8"/>
      <c r="K139" s="8"/>
      <c r="L139" s="8"/>
      <c r="M139" s="10"/>
      <c r="N139" s="5"/>
    </row>
    <row r="140" spans="1:14" ht="32.25" hidden="1" customHeight="1" x14ac:dyDescent="0.35">
      <c r="A140" s="25"/>
      <c r="B140" s="26"/>
      <c r="C140" s="9">
        <f t="shared" si="0"/>
        <v>0</v>
      </c>
      <c r="D140" s="8"/>
      <c r="E140" s="8"/>
      <c r="F140" s="8"/>
      <c r="G140" s="10"/>
      <c r="H140" s="9">
        <f t="shared" si="1"/>
        <v>0</v>
      </c>
      <c r="I140" s="8"/>
      <c r="J140" s="8"/>
      <c r="K140" s="8"/>
      <c r="L140" s="8"/>
      <c r="M140" s="10"/>
      <c r="N140" s="5"/>
    </row>
    <row r="141" spans="1:14" ht="32.25" hidden="1" customHeight="1" x14ac:dyDescent="0.35">
      <c r="A141" s="24"/>
      <c r="B141" s="19"/>
      <c r="C141" s="9">
        <f t="shared" si="0"/>
        <v>0</v>
      </c>
      <c r="D141" s="8"/>
      <c r="E141" s="8"/>
      <c r="F141" s="8"/>
      <c r="G141" s="10"/>
      <c r="H141" s="9">
        <f t="shared" si="1"/>
        <v>0</v>
      </c>
      <c r="I141" s="8"/>
      <c r="J141" s="8"/>
      <c r="K141" s="8"/>
      <c r="L141" s="8"/>
      <c r="M141" s="10"/>
      <c r="N141" s="5"/>
    </row>
    <row r="142" spans="1:14" ht="15.5" x14ac:dyDescent="0.35">
      <c r="A142" s="5"/>
      <c r="B142" s="5"/>
      <c r="C142" s="12"/>
      <c r="D142" s="2"/>
      <c r="E142" s="2"/>
      <c r="F142" s="2"/>
      <c r="G142" s="5"/>
      <c r="H142" s="12"/>
      <c r="I142" s="2"/>
      <c r="J142" s="2"/>
      <c r="K142" s="2"/>
      <c r="L142" s="2"/>
      <c r="M142" s="2"/>
      <c r="N142" s="5"/>
    </row>
    <row r="143" spans="1:14" ht="35.25" customHeight="1" x14ac:dyDescent="0.35">
      <c r="A143" s="60" t="s">
        <v>126</v>
      </c>
      <c r="B143" s="10"/>
      <c r="C143" s="63">
        <f>[1]Date!C29</f>
        <v>45915</v>
      </c>
      <c r="D143" s="10"/>
      <c r="E143" s="60" t="s">
        <v>127</v>
      </c>
      <c r="F143" s="8"/>
      <c r="G143" s="10"/>
      <c r="H143" s="64" t="str">
        <f>[1]Date!C31</f>
        <v>Conf.dr.ing. Mihai POSTOLACHE</v>
      </c>
      <c r="I143" s="8"/>
      <c r="J143" s="8"/>
      <c r="K143" s="8"/>
      <c r="L143" s="8"/>
      <c r="M143" s="10"/>
      <c r="N143" s="5"/>
    </row>
    <row r="144" spans="1:14" ht="21.75" customHeight="1" x14ac:dyDescent="0.35">
      <c r="A144" s="65"/>
      <c r="B144" s="65"/>
      <c r="C144" s="66"/>
      <c r="D144" s="66"/>
      <c r="E144" s="65"/>
      <c r="F144" s="65"/>
      <c r="G144" s="65"/>
      <c r="H144" s="66"/>
      <c r="I144" s="66"/>
      <c r="J144" s="66"/>
      <c r="K144" s="66"/>
      <c r="L144" s="66"/>
      <c r="M144" s="66"/>
      <c r="N144" s="5"/>
    </row>
    <row r="145" spans="1:14" ht="28.5" customHeight="1" x14ac:dyDescent="0.35">
      <c r="A145" s="60" t="s">
        <v>128</v>
      </c>
      <c r="B145" s="10"/>
      <c r="C145" s="63">
        <f>[1]Date!C30</f>
        <v>45918</v>
      </c>
      <c r="D145" s="10"/>
      <c r="E145" s="60" t="s">
        <v>129</v>
      </c>
      <c r="F145" s="8"/>
      <c r="G145" s="10"/>
      <c r="H145" s="64" t="str">
        <f>[1]Date!C32</f>
        <v>Prof.univ.dr.ing. Adrian BURLACU</v>
      </c>
      <c r="I145" s="8"/>
      <c r="J145" s="8"/>
      <c r="K145" s="8"/>
      <c r="L145" s="8"/>
      <c r="M145" s="10"/>
      <c r="N145" s="5"/>
    </row>
  </sheetData>
  <mergeCells count="253">
    <mergeCell ref="A145:B145"/>
    <mergeCell ref="C145:D145"/>
    <mergeCell ref="E145:G145"/>
    <mergeCell ref="H145:M145"/>
    <mergeCell ref="C142:F142"/>
    <mergeCell ref="H142:M142"/>
    <mergeCell ref="A143:B143"/>
    <mergeCell ref="C143:D143"/>
    <mergeCell ref="E143:G143"/>
    <mergeCell ref="H143:M143"/>
    <mergeCell ref="A138:M138"/>
    <mergeCell ref="A139:B141"/>
    <mergeCell ref="C139:G139"/>
    <mergeCell ref="H139:M139"/>
    <mergeCell ref="C140:G140"/>
    <mergeCell ref="H140:M140"/>
    <mergeCell ref="C141:G141"/>
    <mergeCell ref="H141:M141"/>
    <mergeCell ref="A132:M132"/>
    <mergeCell ref="A133:M133"/>
    <mergeCell ref="A135:B135"/>
    <mergeCell ref="C135:M135"/>
    <mergeCell ref="A136:M136"/>
    <mergeCell ref="A137:B137"/>
    <mergeCell ref="C137:G137"/>
    <mergeCell ref="H137:M137"/>
    <mergeCell ref="B129:G129"/>
    <mergeCell ref="H129:K129"/>
    <mergeCell ref="L129:M129"/>
    <mergeCell ref="B130:G130"/>
    <mergeCell ref="L130:M130"/>
    <mergeCell ref="B131:G131"/>
    <mergeCell ref="H131:K131"/>
    <mergeCell ref="L131:M131"/>
    <mergeCell ref="B125:G125"/>
    <mergeCell ref="H125:K125"/>
    <mergeCell ref="L125:M125"/>
    <mergeCell ref="A126:A128"/>
    <mergeCell ref="B126:G128"/>
    <mergeCell ref="H126:J128"/>
    <mergeCell ref="K126:K128"/>
    <mergeCell ref="L126:M128"/>
    <mergeCell ref="B120:G120"/>
    <mergeCell ref="L120:M120"/>
    <mergeCell ref="B121:G121"/>
    <mergeCell ref="L121:M121"/>
    <mergeCell ref="A122:M122"/>
    <mergeCell ref="A124:M124"/>
    <mergeCell ref="B117:G117"/>
    <mergeCell ref="L117:M117"/>
    <mergeCell ref="B118:G118"/>
    <mergeCell ref="L118:M118"/>
    <mergeCell ref="B119:G119"/>
    <mergeCell ref="L119:M119"/>
    <mergeCell ref="B114:G114"/>
    <mergeCell ref="L114:M114"/>
    <mergeCell ref="B115:G115"/>
    <mergeCell ref="L115:M115"/>
    <mergeCell ref="B116:G116"/>
    <mergeCell ref="L116:M116"/>
    <mergeCell ref="B111:G111"/>
    <mergeCell ref="L111:M111"/>
    <mergeCell ref="B112:G112"/>
    <mergeCell ref="L112:M112"/>
    <mergeCell ref="B113:G113"/>
    <mergeCell ref="L113:M113"/>
    <mergeCell ref="A107:G107"/>
    <mergeCell ref="H107:K107"/>
    <mergeCell ref="L107:M107"/>
    <mergeCell ref="B108:G108"/>
    <mergeCell ref="H108:K121"/>
    <mergeCell ref="L108:M108"/>
    <mergeCell ref="B109:G109"/>
    <mergeCell ref="L109:M109"/>
    <mergeCell ref="B110:G110"/>
    <mergeCell ref="L110:M110"/>
    <mergeCell ref="B104:G104"/>
    <mergeCell ref="L104:M104"/>
    <mergeCell ref="B105:G105"/>
    <mergeCell ref="L105:M105"/>
    <mergeCell ref="B106:G106"/>
    <mergeCell ref="L106:M106"/>
    <mergeCell ref="B101:G101"/>
    <mergeCell ref="L101:M101"/>
    <mergeCell ref="B102:G102"/>
    <mergeCell ref="L102:M102"/>
    <mergeCell ref="B103:G103"/>
    <mergeCell ref="L103:M103"/>
    <mergeCell ref="L97:M97"/>
    <mergeCell ref="B98:G98"/>
    <mergeCell ref="L98:M98"/>
    <mergeCell ref="B99:G99"/>
    <mergeCell ref="L99:M99"/>
    <mergeCell ref="B100:G100"/>
    <mergeCell ref="L100:M100"/>
    <mergeCell ref="B93:G93"/>
    <mergeCell ref="H93:K106"/>
    <mergeCell ref="L93:M93"/>
    <mergeCell ref="B94:G94"/>
    <mergeCell ref="L94:M94"/>
    <mergeCell ref="B95:G95"/>
    <mergeCell ref="L95:M95"/>
    <mergeCell ref="B96:G96"/>
    <mergeCell ref="L96:M96"/>
    <mergeCell ref="B97:G97"/>
    <mergeCell ref="B90:G90"/>
    <mergeCell ref="L90:M90"/>
    <mergeCell ref="B91:G91"/>
    <mergeCell ref="L91:M91"/>
    <mergeCell ref="A92:G92"/>
    <mergeCell ref="H92:K92"/>
    <mergeCell ref="L92:M92"/>
    <mergeCell ref="B87:G87"/>
    <mergeCell ref="L87:M87"/>
    <mergeCell ref="B88:G88"/>
    <mergeCell ref="L88:M88"/>
    <mergeCell ref="B89:G89"/>
    <mergeCell ref="L89:M89"/>
    <mergeCell ref="B84:G84"/>
    <mergeCell ref="L84:M84"/>
    <mergeCell ref="B85:G85"/>
    <mergeCell ref="L85:M85"/>
    <mergeCell ref="B86:G86"/>
    <mergeCell ref="L86:M86"/>
    <mergeCell ref="L80:M80"/>
    <mergeCell ref="B81:G81"/>
    <mergeCell ref="L81:M81"/>
    <mergeCell ref="B82:G82"/>
    <mergeCell ref="L82:M82"/>
    <mergeCell ref="B83:G83"/>
    <mergeCell ref="L83:M83"/>
    <mergeCell ref="A76:M76"/>
    <mergeCell ref="A77:G77"/>
    <mergeCell ref="H77:K77"/>
    <mergeCell ref="L77:M77"/>
    <mergeCell ref="B78:G78"/>
    <mergeCell ref="H78:K91"/>
    <mergeCell ref="L78:M78"/>
    <mergeCell ref="B79:G79"/>
    <mergeCell ref="L79:M79"/>
    <mergeCell ref="B80:G80"/>
    <mergeCell ref="B73:G73"/>
    <mergeCell ref="L73:M73"/>
    <mergeCell ref="B74:G74"/>
    <mergeCell ref="L74:M74"/>
    <mergeCell ref="B75:G75"/>
    <mergeCell ref="L75:M75"/>
    <mergeCell ref="B70:G70"/>
    <mergeCell ref="L70:M70"/>
    <mergeCell ref="B71:G71"/>
    <mergeCell ref="L71:M71"/>
    <mergeCell ref="B72:G72"/>
    <mergeCell ref="L72:M72"/>
    <mergeCell ref="L66:M66"/>
    <mergeCell ref="B67:G67"/>
    <mergeCell ref="L67:M67"/>
    <mergeCell ref="B68:G68"/>
    <mergeCell ref="L68:M68"/>
    <mergeCell ref="B69:G69"/>
    <mergeCell ref="L69:M69"/>
    <mergeCell ref="B62:G62"/>
    <mergeCell ref="H62:K75"/>
    <mergeCell ref="L62:M62"/>
    <mergeCell ref="B63:G63"/>
    <mergeCell ref="L63:M63"/>
    <mergeCell ref="B64:G64"/>
    <mergeCell ref="L64:M64"/>
    <mergeCell ref="B65:G65"/>
    <mergeCell ref="L65:M65"/>
    <mergeCell ref="B66:G66"/>
    <mergeCell ref="A57:M57"/>
    <mergeCell ref="A58:M58"/>
    <mergeCell ref="A60:M60"/>
    <mergeCell ref="A61:G61"/>
    <mergeCell ref="H61:K61"/>
    <mergeCell ref="L61:M61"/>
    <mergeCell ref="A52:A53"/>
    <mergeCell ref="B52:M52"/>
    <mergeCell ref="B53:M53"/>
    <mergeCell ref="A54:A55"/>
    <mergeCell ref="B54:M54"/>
    <mergeCell ref="B55:M55"/>
    <mergeCell ref="A47:M47"/>
    <mergeCell ref="A48:M48"/>
    <mergeCell ref="A49:M49"/>
    <mergeCell ref="A50:A51"/>
    <mergeCell ref="B50:M50"/>
    <mergeCell ref="B51:M51"/>
    <mergeCell ref="A43:B43"/>
    <mergeCell ref="C43:M43"/>
    <mergeCell ref="A44:B44"/>
    <mergeCell ref="C44:M44"/>
    <mergeCell ref="A45:M45"/>
    <mergeCell ref="A46:M46"/>
    <mergeCell ref="A39:B39"/>
    <mergeCell ref="C39:M39"/>
    <mergeCell ref="A40:B40"/>
    <mergeCell ref="C40:M40"/>
    <mergeCell ref="A41:M41"/>
    <mergeCell ref="A42:M42"/>
    <mergeCell ref="A33:L33"/>
    <mergeCell ref="A34:B34"/>
    <mergeCell ref="A35:B35"/>
    <mergeCell ref="A36:B36"/>
    <mergeCell ref="A37:M37"/>
    <mergeCell ref="A38:M38"/>
    <mergeCell ref="A27:B27"/>
    <mergeCell ref="A28:L28"/>
    <mergeCell ref="A29:L29"/>
    <mergeCell ref="A30:L30"/>
    <mergeCell ref="A31:L31"/>
    <mergeCell ref="A32:L32"/>
    <mergeCell ref="A23:B23"/>
    <mergeCell ref="F23:H23"/>
    <mergeCell ref="J23:L23"/>
    <mergeCell ref="A24:M24"/>
    <mergeCell ref="A25:M25"/>
    <mergeCell ref="A26:B26"/>
    <mergeCell ref="L26:M26"/>
    <mergeCell ref="A17:D22"/>
    <mergeCell ref="E17:M17"/>
    <mergeCell ref="E18:M18"/>
    <mergeCell ref="E19:M19"/>
    <mergeCell ref="E20:M20"/>
    <mergeCell ref="E21:M21"/>
    <mergeCell ref="E22:M22"/>
    <mergeCell ref="A13:D13"/>
    <mergeCell ref="E13:M13"/>
    <mergeCell ref="A14:D14"/>
    <mergeCell ref="E14:H14"/>
    <mergeCell ref="I14:L14"/>
    <mergeCell ref="A15:D16"/>
    <mergeCell ref="E15:M15"/>
    <mergeCell ref="E16:M16"/>
    <mergeCell ref="A9:B9"/>
    <mergeCell ref="C9:M9"/>
    <mergeCell ref="A10:M10"/>
    <mergeCell ref="A11:M11"/>
    <mergeCell ref="A12:D12"/>
    <mergeCell ref="E12:M12"/>
    <mergeCell ref="A6:B6"/>
    <mergeCell ref="C6:M6"/>
    <mergeCell ref="A7:B7"/>
    <mergeCell ref="C7:M7"/>
    <mergeCell ref="A8:B8"/>
    <mergeCell ref="C8:M8"/>
    <mergeCell ref="A1:M1"/>
    <mergeCell ref="A2:M2"/>
    <mergeCell ref="A3:M3"/>
    <mergeCell ref="A4:B4"/>
    <mergeCell ref="C4:M4"/>
    <mergeCell ref="A5:B5"/>
    <mergeCell ref="C5:M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Gherguț Mădălin</dc:creator>
  <cp:lastModifiedBy>Gherguț Mădălin</cp:lastModifiedBy>
  <dcterms:created xsi:type="dcterms:W3CDTF">2026-03-01T09:11:05Z</dcterms:created>
  <dcterms:modified xsi:type="dcterms:W3CDTF">2026-03-01T09:11:18Z</dcterms:modified>
</cp:coreProperties>
</file>