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AC7BBAA2-A288-4BCE-8879-E56C1BC8CEEC}" xr6:coauthVersionLast="47" xr6:coauthVersionMax="47" xr10:uidLastSave="{00000000-0000-0000-0000-000000000000}"/>
  <bookViews>
    <workbookView xWindow="-110" yWindow="-110" windowWidth="25820" windowHeight="15500" xr2:uid="{B8304D31-0462-4D7A-BF70-F841B758DFBC}"/>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C23" i="1"/>
  <c r="C9" i="1"/>
  <c r="C8" i="1"/>
  <c r="C7" i="1"/>
  <c r="A2" i="1"/>
  <c r="E14" i="1" a="1"/>
  <c r="E14" i="1" s="1"/>
  <c r="E23" i="1" a="1"/>
  <c r="E23" i="1" s="1"/>
  <c r="E13" i="1" l="1" a="1"/>
  <c r="E13" i="1" s="1"/>
  <c r="G26" i="1" a="1"/>
  <c r="G26" i="1" s="1"/>
  <c r="G27" i="1" s="1"/>
  <c r="I26" i="1" a="1"/>
  <c r="I26" i="1" s="1"/>
  <c r="I27" i="1" s="1"/>
  <c r="M14" i="1" a="1"/>
  <c r="M14" i="1" s="1"/>
  <c r="K26" i="1" a="1"/>
  <c r="K26" i="1" s="1"/>
  <c r="K27" i="1" s="1"/>
  <c r="I23" i="1" a="1"/>
  <c r="I23"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BCB22F33-69D2-477E-9B4E-62C307C9F18E}">
      <text>
        <r>
          <rPr>
            <sz val="10"/>
            <color rgb="FF000000"/>
            <rFont val="Aptos Narrow"/>
            <scheme val="minor"/>
          </rPr>
          <t>Pondere din nota de la E / V</t>
        </r>
      </text>
    </comment>
    <comment ref="K128" authorId="0" shapeId="0" xr:uid="{EAD9A624-C2B9-4B69-AA76-E3D8D58FAE95}">
      <text>
        <r>
          <rPr>
            <sz val="10"/>
            <color rgb="FF000000"/>
            <rFont val="Aptos Narrow"/>
            <scheme val="minor"/>
          </rPr>
          <t>Pondere din nota de la E / V</t>
        </r>
      </text>
    </comment>
  </commentList>
</comments>
</file>

<file path=xl/sharedStrings.xml><?xml version="1.0" encoding="utf-8"?>
<sst xmlns="http://schemas.openxmlformats.org/spreadsheetml/2006/main" count="234" uniqueCount="158">
  <si>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</si>
  <si>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</si>
  <si>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</si>
  <si>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</si>
  <si>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</si>
  <si>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</si>
  <si>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</si>
  <si>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</si>
  <si>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</si>
  <si>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</si>
  <si>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</si>
  <si>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</si>
  <si>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</si>
  <si>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Dispozitive și circuite electronice</t>
  </si>
  <si>
    <t>(în limba engleză, conform Suplimentului la diplomă)</t>
  </si>
  <si>
    <t>2.1.2. Codul disciplinei</t>
  </si>
  <si>
    <t xml:space="preserve">2.1.3. Categoria formativă </t>
  </si>
  <si>
    <t>2.2 Titularul / titularii activităţilor de curs</t>
  </si>
  <si>
    <t>Conf.dr.ing. Radu MATEI</t>
  </si>
  <si>
    <t>2.3 Titularul / titularii activităţilor de aplicaţii (S, L, P, Pr)</t>
  </si>
  <si>
    <t>Drd.ing. Florian Alexandru Brașoveanu</t>
  </si>
  <si>
    <t>Drd. Ing. Tudor Andrei Paleu</t>
  </si>
  <si>
    <t>Drd.ing. Andrei Iulian Iancu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</si>
  <si>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</si>
  <si>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</si>
  <si>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</si>
  <si>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</si>
  <si>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</si>
  <si>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</si>
  <si>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</si>
  <si>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</si>
  <si>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</si>
  <si>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</si>
  <si>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</si>
  <si>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</si>
  <si>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</si>
  <si>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</si>
  <si>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</si>
  <si>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</si>
  <si>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</si>
  <si>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</si>
  <si>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</si>
  <si>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</si>
  <si>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</si>
  <si>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</si>
  <si>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</si>
  <si>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</si>
  <si>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</si>
  <si>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</si>
  <si>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</si>
  <si>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</si>
  <si>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</si>
  <si>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</si>
  <si>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</si>
  <si>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Studentul cunoaste notiuni de electricitate (camp electric, tensiune, curent, legea lui Ohm, legile lui Kirchhoff etc.)</t>
  </si>
  <si>
    <t>5. Condiţii</t>
  </si>
  <si>
    <t>5.1 de desfăşurare a cursului</t>
  </si>
  <si>
    <t>Cursul se predă sub formă de prelegeri, prin prezentarea orală şi scrisă (la tablă), precum şi cu videoproiector, a noţiunilor, exemplelor etc.</t>
  </si>
  <si>
    <t>5.2 de desfăşurare a seminarului / laboratorului / proiectului</t>
  </si>
  <si>
    <t xml:space="preserve">Aplicaţiile se desfăşoară urmarind cronologic cursul. </t>
  </si>
  <si>
    <t>6. Obiectivul general al disciplinei</t>
  </si>
  <si>
    <t>Disciplina "Dispozitive si circuite electronice" trateaza dispozitivele electronice fundamentale (diode si tranzistoare), principiile de functionare, ecuatiile si modelele statice si de semnal mic, caracteristici statice, parametri etc. Pe baza acestor dispozitive se studiaza apoi principalele circuite electronice (redresoare, amplificatoare, oscilatoare) si aplicatiile acestora. In mod special se abordeaza circuitele cu amplificator operational, in special aplicatiile liniare cu reactie negativa, dar si neliniare (trigger, oscilator etc.). In partea a doua se studiaza principalele circuite digitale si aplicatiile fundamentale ale acestora. Se porneste de la operatiile aritmetice in cod binar, hexa, BCD etc. Se trec in revista principalele familii logice (TTL, ECL, CMOS) si apoi se trece la studiul portilor logice CMOS. Se studiaza in continuare circuitele combinationale principale (codificator, multiplexor, sumator, multiplicator etc.), apoi circuitele binare secventiale (bistabile, registre, numaratoare, automate). In final se trateaza circuitele de conversie analog/digital si digital/analog.</t>
  </si>
  <si>
    <t>7. Rezultatele învățării</t>
  </si>
  <si>
    <t>Cunoștințe</t>
  </si>
  <si>
    <t>Studentul / Absolventul:</t>
  </si>
  <si>
    <r>
      <rPr>
        <sz val="12"/>
        <color theme="1"/>
        <rFont val="Arial"/>
      </rPr>
      <t xml:space="preserve">- </t>
    </r>
    <r>
      <rPr>
        <b/>
        <sz val="12"/>
        <color theme="1"/>
        <rFont val="Arial"/>
      </rPr>
      <t>descrie</t>
    </r>
    <r>
      <rPr>
        <sz val="12"/>
        <color theme="1"/>
        <rFont val="Arial"/>
      </rPr>
      <t xml:space="preserve"> corect elementele electrice de circuit (R, L, C, surse comandate) - C1, L1 
- </t>
    </r>
    <r>
      <rPr>
        <b/>
        <sz val="12"/>
        <color theme="1"/>
        <rFont val="Arial"/>
      </rPr>
      <t>aplica</t>
    </r>
    <r>
      <rPr>
        <sz val="12"/>
        <color theme="1"/>
        <rFont val="Arial"/>
      </rPr>
      <t xml:space="preserve"> corect teoremele fundamentale din teoria circuitelor, cu aplicabilitate la circuitele alectronice studiate- C1, L1 
- </t>
    </r>
    <r>
      <rPr>
        <b/>
        <sz val="12"/>
        <color theme="1"/>
        <rFont val="Arial"/>
      </rPr>
      <t>explica</t>
    </r>
    <r>
      <rPr>
        <sz val="12"/>
        <color theme="1"/>
        <rFont val="Arial"/>
      </rPr>
      <t xml:space="preserve"> principiile de functionare ale dispozitivelor electronice (dioda, bipolar si MOS) si aplicatiile acestora - C2, C3, C4, C6, L2, L4, L5
- </t>
    </r>
    <r>
      <rPr>
        <b/>
        <sz val="12"/>
        <color theme="1"/>
        <rFont val="Arial"/>
      </rPr>
      <t>analizeaza</t>
    </r>
    <r>
      <rPr>
        <sz val="12"/>
        <color theme="1"/>
        <rFont val="Arial"/>
      </rPr>
      <t xml:space="preserve"> corect circuitele de polarizare ale dispozitivelor electronice (dioda, tranzistor bipolar si MOS) - C2, C4, C6, L2, L4, L5
- </t>
    </r>
    <r>
      <rPr>
        <b/>
        <sz val="12"/>
        <color theme="1"/>
        <rFont val="Arial"/>
      </rPr>
      <t>calculeaza</t>
    </r>
    <r>
      <rPr>
        <sz val="12"/>
        <color theme="1"/>
        <rFont val="Arial"/>
      </rPr>
      <t xml:space="preserve"> corect amplificarea diverselor amplificatoare elementare cu TB si MOS, pe baza schemelor echivalente de semnal mic - C5, L5
- </t>
    </r>
    <r>
      <rPr>
        <b/>
        <sz val="12"/>
        <color theme="1"/>
        <rFont val="Arial"/>
      </rPr>
      <t>descrie</t>
    </r>
    <r>
      <rPr>
        <sz val="12"/>
        <color theme="1"/>
        <rFont val="Arial"/>
      </rPr>
      <t xml:space="preserve"> functionarea si proprietatile amplificatoarelor, in particular a amplificatorului operational (AO) - C7
- </t>
    </r>
    <r>
      <rPr>
        <b/>
        <sz val="12"/>
        <color theme="1"/>
        <rFont val="Arial"/>
      </rPr>
      <t>analizeaza</t>
    </r>
    <r>
      <rPr>
        <sz val="12"/>
        <color theme="1"/>
        <rFont val="Arial"/>
      </rPr>
      <t xml:space="preserve"> corect circuitele liniare si neliniare cu amplificator operational - C7, C8, L6, L7
- </t>
    </r>
    <r>
      <rPr>
        <b/>
        <sz val="12"/>
        <color theme="1"/>
        <rFont val="Arial"/>
      </rPr>
      <t>analizeaza</t>
    </r>
    <r>
      <rPr>
        <sz val="12"/>
        <color theme="1"/>
        <rFont val="Arial"/>
      </rPr>
      <t xml:space="preserve"> corect portile digitale in tehnologie CMOS, circuitele logice combinationale, aritmetice, secventiale - C9, C10, C11, C12, L9, L10, L11, L12, L13
- </t>
    </r>
    <r>
      <rPr>
        <b/>
        <sz val="12"/>
        <color theme="1"/>
        <rFont val="Arial"/>
      </rPr>
      <t>deseneaza</t>
    </r>
    <r>
      <rPr>
        <sz val="12"/>
        <color theme="1"/>
        <rFont val="Arial"/>
      </rPr>
      <t xml:space="preserve"> corect schema unui circuit logic combinational pe baza functiei logice - C10
- </t>
    </r>
    <r>
      <rPr>
        <b/>
        <sz val="12"/>
        <color theme="1"/>
        <rFont val="Arial"/>
      </rPr>
      <t>implementeaza</t>
    </r>
    <r>
      <rPr>
        <sz val="12"/>
        <color theme="1"/>
        <rFont val="Arial"/>
      </rPr>
      <t xml:space="preserve"> corect schema unui circuit logic secvential folosind bistabile de diverse tipuri 
- </t>
    </r>
    <r>
      <rPr>
        <b/>
        <sz val="12"/>
        <color theme="1"/>
        <rFont val="Arial"/>
      </rPr>
      <t>explica</t>
    </r>
    <r>
      <rPr>
        <sz val="12"/>
        <color theme="1"/>
        <rFont val="Arial"/>
      </rPr>
      <t xml:space="preserve"> coerent principiul de functionare, structura, parametrii si erorile specifice ale tipurilor de convertoare A/D si D/A - C13, C14, L13, L14</t>
    </r>
  </si>
  <si>
    <t>Aptitudini</t>
  </si>
  <si>
    <r>
      <rPr>
        <sz val="12"/>
        <color theme="1"/>
        <rFont val="Arial"/>
      </rPr>
      <t xml:space="preserve">- </t>
    </r>
    <r>
      <rPr>
        <b/>
        <sz val="12"/>
        <color theme="1"/>
        <rFont val="Arial"/>
      </rPr>
      <t>utilizeaza</t>
    </r>
    <r>
      <rPr>
        <sz val="12"/>
        <color theme="1"/>
        <rFont val="Arial"/>
      </rPr>
      <t xml:space="preserve"> cu dexteritate programele de simulare a circuitelor analogice si digitale 
- </t>
    </r>
    <r>
      <rPr>
        <b/>
        <sz val="12"/>
        <color theme="1"/>
        <rFont val="Arial"/>
      </rPr>
      <t>realizeaza</t>
    </r>
    <r>
      <rPr>
        <sz val="12"/>
        <color theme="1"/>
        <rFont val="Arial"/>
      </rPr>
      <t xml:space="preserve"> diverse tipuri de analize (de punct static, curent continuu sau tranzitorii) in programul de simulare pentru diverse circuite analogice
- </t>
    </r>
    <r>
      <rPr>
        <b/>
        <sz val="12"/>
        <color theme="1"/>
        <rFont val="Arial"/>
      </rPr>
      <t>masoara</t>
    </r>
    <r>
      <rPr>
        <sz val="12"/>
        <color theme="1"/>
        <rFont val="Arial"/>
      </rPr>
      <t xml:space="preserve"> diversi parametri ai dispozitivelor sau circuitelor in urma analizelor efectuate in programul de simulare
- </t>
    </r>
    <r>
      <rPr>
        <b/>
        <sz val="12"/>
        <color theme="1"/>
        <rFont val="Arial"/>
      </rPr>
      <t>implementeaza</t>
    </r>
    <r>
      <rPr>
        <sz val="12"/>
        <color theme="1"/>
        <rFont val="Arial"/>
      </rPr>
      <t xml:space="preserve"> circuite digitale fundamentale (codificatoare, multiplexoare, sumatoare etc.) pe baza schemei logice
- </t>
    </r>
    <r>
      <rPr>
        <b/>
        <sz val="12"/>
        <color theme="1"/>
        <rFont val="Arial"/>
      </rPr>
      <t>proiecteaza</t>
    </r>
    <r>
      <rPr>
        <sz val="12"/>
        <color theme="1"/>
        <rFont val="Arial"/>
      </rPr>
      <t xml:space="preserve"> diverse circuite logice secventiale folosind diverse tipuri de bistabili
- </t>
    </r>
    <r>
      <rPr>
        <b/>
        <sz val="12"/>
        <color theme="1"/>
        <rFont val="Arial"/>
      </rPr>
      <t>configureaza</t>
    </r>
    <r>
      <rPr>
        <sz val="12"/>
        <color theme="1"/>
        <rFont val="Arial"/>
      </rPr>
      <t xml:space="preserve"> tipul optim de convertor A/D si D/A pentru o aplicatie data</t>
    </r>
  </si>
  <si>
    <t>Responsabilitate și autonomie</t>
  </si>
  <si>
    <r>
      <rPr>
        <sz val="12"/>
        <color theme="1"/>
        <rFont val="Arial"/>
      </rPr>
      <t xml:space="preserve">- </t>
    </r>
    <r>
      <rPr>
        <b/>
        <sz val="12"/>
        <color theme="1"/>
        <rFont val="Arial"/>
      </rPr>
      <t>dezvolta</t>
    </r>
    <r>
      <rPr>
        <sz val="12"/>
        <color theme="1"/>
        <rFont val="Arial"/>
      </rPr>
      <t xml:space="preserve"> capacitatea de a studia individual chestiuni suplimentare legate de continuturile predate
- </t>
    </r>
    <r>
      <rPr>
        <b/>
        <sz val="12"/>
        <color theme="1"/>
        <rFont val="Arial"/>
      </rPr>
      <t>utilizeaza</t>
    </r>
    <r>
      <rPr>
        <sz val="12"/>
        <color theme="1"/>
        <rFont val="Arial"/>
      </rPr>
      <t xml:space="preserve"> independent si creativ cunostintele teoretice si tehnicile de calcul in rezolvarea problemelor ridicate de aplicatiile practice 
- </t>
    </r>
    <r>
      <rPr>
        <b/>
        <sz val="12"/>
        <color theme="1"/>
        <rFont val="Arial"/>
      </rPr>
      <t>respecta</t>
    </r>
    <r>
      <rPr>
        <sz val="12"/>
        <color theme="1"/>
        <rFont val="Arial"/>
      </rPr>
      <t xml:space="preserve"> principiile, normele şi valorile codului de etică profesională în executarea corectă și la termen a sarcinilor profesionale, prin abordarea unei strategii de muncă riguroase, eficiente şi responsabile în luarea deciziilor pentru rezolvarea problemelor</t>
    </r>
  </si>
  <si>
    <t xml:space="preserve">8. Metode de predare </t>
  </si>
  <si>
    <t>Cursul este prezentat pe videoproiector, iar diverse probleme si aplicatii sunt prezentate prin calcul la tabla. Pe parcursul prelegerii, se stimuleaza dialogul cu studentii, astfel incat expunerea sa aiba un caracter interactiv, astfel incat fixarea notiunilor prezentate se face mai eficient.</t>
  </si>
  <si>
    <t>9. Conţinuturi</t>
  </si>
  <si>
    <t>9.1. Curs</t>
  </si>
  <si>
    <t>Metode de predare</t>
  </si>
  <si>
    <t>Timp alocat</t>
  </si>
  <si>
    <t>1</t>
  </si>
  <si>
    <t>Obiectul cursului, terminologie, elemente de circuite electrice liniare; teoreme fundamentale, sursa de curent, sursa de tensiune, surse comandate, modelele Thevenin si Norton ale surselor de semnal, teorema superpozitiei.</t>
  </si>
  <si>
    <t>Predarea se face prin expunerea principiilor teoretice şi prin utilizarea acestora în demonstrarea conceptelor noi introduse. Rezultatele teoretice sunt exemplificate prin rezolvarea unor probleme.</t>
  </si>
  <si>
    <t>2 ore</t>
  </si>
  <si>
    <t>2</t>
  </si>
  <si>
    <t xml:space="preserve">Elemente de fizica semiconductoarelor, jonctiunea p-n. Dioda semiconductoare – relaţii între mărimile electrice la terminale, caracteristica curent-tensiune, modelare liniară pe porţiuni şi la semnal mic, </t>
  </si>
  <si>
    <t>3</t>
  </si>
  <si>
    <t>Aplicatii fundamentale ale diodei (redresor monoalternanta si bialternanta, circuite de limitare, atenuator controlat în tensiune). Dioda Zenner, circuite de stabilizare a tensiunii. Alte dispozitive bazate pe jonctiunea p-n</t>
  </si>
  <si>
    <t>4</t>
  </si>
  <si>
    <t>Tranzistorul bipolar cu joncţiuni – structura fizica, relaţii curent-tensiune, regiuni de functionare, parametri. Modelare liniară pe porţiuni şi la semnal mic, exemple de utilizare a modelelor (amplificator elementar de tensiune continuă)</t>
  </si>
  <si>
    <t>5</t>
  </si>
  <si>
    <t>Circuite de polarizare a tranzistorului bipolar (TB). Etaje de amplificare cu TB în conexiunile emitor comun, bază comună, colector comun (schema echivalenta, calcul amplificare, rezistente intrare si iesire)</t>
  </si>
  <si>
    <t>6</t>
  </si>
  <si>
    <t>Tranzistorul cu efect de camp tip MOS: principiu de functionare, regiuni de functionare, parametri, expresia curentului. Circuite de polarizare pentru MOS.</t>
  </si>
  <si>
    <t>7</t>
  </si>
  <si>
    <t>Amplificatoare: marimi caracteristice, amplificare, banda de frecventa, modelul de cuadripol. Amplificatoare cu reactie negativa (schema bloc, expresia amplificarii, proprietati). Amplificatoare operaţionale - proprietati, parametri, modelul ideal si real. Circuite elementare liniare cu AO si reactie negativa: amplificator inversor şi neinversor, sumator, amplificator diferenţial.</t>
  </si>
  <si>
    <t>8</t>
  </si>
  <si>
    <t>Aplicatii cu AO: integrator, derivator, circuite de logaritmare şi exponenţiere, convertoare tensiune-curent, redresoare de precizie
Circuite cu AO si reactie pozitiva: comparatoare cu histerezis (triggere Schmitt), oscilator de relaxare</t>
  </si>
  <si>
    <t>9</t>
  </si>
  <si>
    <t>Circuite integrate digitale - introducere, generalitati                                                                                                                   
Porți digitale in tehnologie CMOS (inversorul, NAND, NOR, XOR)
Analiza inversorului CMOS: tensiunea de prag, margini de zgomot, dimensionarea inversorului</t>
  </si>
  <si>
    <t>10</t>
  </si>
  <si>
    <t>Circuite combinațiunile: decodificatoare/demultiplexoare codificatoare/multiplexoare.
Convertoare de cod si generatoare de paritate.
Circuite de afișare cu 7 segmente.</t>
  </si>
  <si>
    <t>11</t>
  </si>
  <si>
    <t>Circuite aritmetice: sumatorul pe jumătate, sumatorul întreg, sumatorul pe 4 biți, sumatoare cu transport anticipat, scăzător pe 2 biți, sumatoare scăzătoare in cod BCD, circuite de înmulțire/divizare.</t>
  </si>
  <si>
    <t>12</t>
  </si>
  <si>
    <t>Circuite secvențiale, circuite de temporizare si automate de stare (6 ore)
3.1. Circuite bistabili: RS, D, JK, T.
3.2. Circuite integrate secvențiale: registre, numărătoare asincrone.
3.3. Numărătoare sincrone.
3.4. Automate Meally și Moore</t>
  </si>
  <si>
    <t>13</t>
  </si>
  <si>
    <t>Interfațarea intre circuite digitale si circuite analogice
Codificare, cuantizare caracteristici de transfer si erori ale convertoarelor ; A/N si N/A
Metode de conversie A/N</t>
  </si>
  <si>
    <t>14</t>
  </si>
  <si>
    <t>Metode de conversie N/A</t>
  </si>
  <si>
    <t>Bibliografie curs:
1.        T. Floyd, Digital Fundamentals, Prentice Hall, 2006.
2.        M. Morris Mano, M. D. Ciletti, Digital Design, Pearson Education, 4th edition, 2008.
3.        R. F. Tinder, Engineering Digital Design, Academic Press, 2000.
4.        J.F. Wakerly, Digital Design Principles and Practices, Pearson Education, 4th edition, 2006.
5.        W. Jung, Op Amp Applications Handbook – Analog Device, Elsevier, 2005.</t>
  </si>
  <si>
    <t>9.2a Seminar</t>
  </si>
  <si>
    <t>Metode de lucru</t>
  </si>
  <si>
    <t>9.2b Laborator</t>
  </si>
  <si>
    <t>Simularea in ORCAD/PSPICE a caracteristicii statice a diodei, masurarea rezistentei statice si dinamice, masurarea curentului invers, vizualizarea regiunii de strapungere</t>
  </si>
  <si>
    <t>La inceputul laboratorul se prezinta un rezumat scurt al notiunilor teoretice utilizate. Se utilizeaza programele de simulare disponibile pentru analiza diverselor circuite analogice si digitale. In functie de tema lucrarii de laborator, se fac o serie de masurari de parametri rezultati din analize si, daca e cazul, se trec datele masurate in tabele. La sfarsitul lucrarii de laborator se discuta rezultatele obtinute.</t>
  </si>
  <si>
    <t>3 ore</t>
  </si>
  <si>
    <t>Simularea in ORCAD/PSPICE a unui redresor monoalternanta (cu si fara condensator de filtraj), circuite de limitare</t>
  </si>
  <si>
    <t>Simularea caracteristicilor statice ale unui tranzistor bipolar si masurarea parametrilor</t>
  </si>
  <si>
    <t>Simularea unui amplificator cu tranzistor bipolar in conexiunea EC; calculul si masurarea valorilor de punct static (PSF)</t>
  </si>
  <si>
    <t>Simularea caracteristicilor unui tranzistor MOS si a unui etaj de polarizare</t>
  </si>
  <si>
    <t>Simularea in curent continuu a caracteristicii unui AO in bucla deschisa; simularea amplificatorului inversor si neinversor in regim tranzitoriu si in frecventa, masurarea amplificarii si benzii</t>
  </si>
  <si>
    <t>Simularea integratorului si derivatorului cu AO, a trigger-ului Schmitt inversor si neinversor, oscilator de relaxare</t>
  </si>
  <si>
    <t>Prezentarea programului software pentru simularea circuitelor digitale. Studiul circuitelor digitale din familia TTL. Analiza performantelor. Porți logice in tehnologia NMOS, CMOS si BiCMOS.</t>
  </si>
  <si>
    <t>Circuite integrate combinaționale: multiplexoare, demultiplexoare, codificatoare, decodificatoare.</t>
  </si>
  <si>
    <t xml:space="preserve">Circuite integrate combinaționale: circuite sumatoare, circuite comparatoare, circuite de afișare. </t>
  </si>
  <si>
    <t>Studiul circuitelor secvențiale: bistabili RS, D, JK, T.</t>
  </si>
  <si>
    <t>Aplicații cu registre digitale și numărătoare asincrone; numărător in inel, numărător Johnson. Aplicații cu numărătoare sincrone.</t>
  </si>
  <si>
    <t>Circuite de conversia datelor: Structura, condiționarea semnalelor, coduri si erori de conversie; convertoare digital analogice (DAC): DAC cu amplificator sumator, DAC cu rețea in scara R-2R</t>
  </si>
  <si>
    <t xml:space="preserve">Circuite de conversia datelor: convertoare analog - numerice (ADC): ADC paralel, ADC cu rampa digitala, ADC cu aproximații succesive. Discuții,
studiu individual, lucrul cu calculatorul.      </t>
  </si>
  <si>
    <t>9.2c Proiect</t>
  </si>
  <si>
    <t xml:space="preserve">Bibliografie aplicaţii (seminar / laborator / proiect):
1. Micro-Cap 11 Electronic Circuit Analysis Program, User’s Guide, Copyright 1982-2014 by Spectrum Software
2. Micro-Cap 11 Electronic Circuit Analysis Program, Reference Manual, Copyright 1982-2014 by Spectrum Software
3. W. Jung, Op Amp Applications Handbook – Analog Device, Elsevier, 2005.
4. S. Kang, Y. Leblebici, CMOS Digital Integrated Circuits, 3rd Edition, 2002.
5. Texas Instruments,  Principles of Data Acquisition and Conversion. 2015.
6. Thomas C. Hayes, Paul Horowitz, Learning the Art of Electronics: A Hands-On Lab Course, Cambridge Univ. Press,2016
</t>
  </si>
  <si>
    <t>10. Evaluare</t>
  </si>
  <si>
    <t>Tip activitate</t>
  </si>
  <si>
    <t>10.1 Criterii de evaluare</t>
  </si>
  <si>
    <t>10.2 Metode de evaluare</t>
  </si>
  <si>
    <t>10.3 Pondere din nota finală [%]</t>
  </si>
  <si>
    <t>10.4 Examen / Verificare</t>
  </si>
  <si>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înțelege cerințele și de a rezolva problemele enunțate.</t>
  </si>
  <si>
    <t>Verificare pe parcursul semestrului (test semestrial)</t>
  </si>
  <si>
    <t>30%</t>
  </si>
  <si>
    <t>- test de evaluare sumativ (verificare finală).</t>
  </si>
  <si>
    <t>70%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</si>
  <si>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</si>
  <si>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</si>
  <si>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</si>
  <si>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</si>
  <si>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</si>
  <si>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xml:space="preserve"> - realizarea fişelor de laborator (toate lucrările de laborator trebuie efectuate, admiţându-se recuperarea doar a unei lucrări de laborator restante)
 - test de evaluare (colocviu de laborator).</t>
  </si>
  <si>
    <t>30% activitate
70% test sapt. 10</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</si>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</sst>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3">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1" xfId="0" applyFont="1" applyFill="1" applyBorder="1"/>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3" borderId="12" xfId="0" applyNumberFormat="1" applyFont="1" applyFill="1" applyBorder="1" applyAlignment="1">
      <alignment vertical="top" wrapText="1"/>
    </xf>
    <xf numFmtId="9" fontId="2" fillId="3" borderId="1" xfId="0" applyNumberFormat="1" applyFont="1" applyFill="1" applyBorder="1" applyAlignment="1">
      <alignment horizontal="center" vertical="center" wrapText="1"/>
    </xf>
    <xf numFmtId="49" fontId="2" fillId="3" borderId="12" xfId="0" applyNumberFormat="1" applyFont="1" applyFill="1" applyBorder="1" applyAlignment="1">
      <alignment vertical="center" wrapText="1"/>
    </xf>
    <xf numFmtId="49" fontId="2" fillId="0" borderId="1" xfId="0" applyNumberFormat="1" applyFont="1" applyBorder="1" applyAlignment="1">
      <alignment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1.xlsx" TargetMode="External"/><Relationship Id="rId1" Type="http://schemas.openxmlformats.org/officeDocument/2006/relationships/externalLinkPath" Target="/Users/Madalin/Downloads/FD%20AIA%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ALGA"/>
      <sheetName val="AM"/>
      <sheetName val="PC I"/>
      <sheetName val="FIZ"/>
      <sheetName val="BFC"/>
      <sheetName val="SP I"/>
      <sheetName val="MAI"/>
      <sheetName val="SPD"/>
      <sheetName val="DCE"/>
      <sheetName val="PC II"/>
      <sheetName val="ETH"/>
      <sheetName val="SP II"/>
      <sheetName val="CM I"/>
      <sheetName val="CM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C1" t="str">
            <v>Anul universitar: 2025-2026</v>
          </cell>
        </row>
        <row r="2">
          <cell r="B2" t="str">
            <v>Automatică, Informatică Aplicată și Sisteme Inteligente</v>
          </cell>
        </row>
        <row r="3">
          <cell r="B3" t="str">
            <v>Licență</v>
          </cell>
        </row>
        <row r="4">
          <cell r="B4">
            <v>1</v>
          </cell>
        </row>
        <row r="5">
          <cell r="C5" t="str">
            <v>Automatică și Informatică Aplicată</v>
          </cell>
        </row>
        <row r="8">
          <cell r="A8">
            <v>1</v>
          </cell>
          <cell r="C8" t="str">
            <v>Algebră liniară și geometrie analitică</v>
          </cell>
          <cell r="D8" t="str">
            <v xml:space="preserve">Linear Algebra and Analytic Geometry  </v>
          </cell>
          <cell r="E8" t="str">
            <v>AIA.ALGA.101</v>
          </cell>
          <cell r="F8" t="str">
            <v>DOB</v>
          </cell>
          <cell r="G8" t="str">
            <v>DF</v>
          </cell>
          <cell r="H8">
            <v>2</v>
          </cell>
          <cell r="I8">
            <v>3</v>
          </cell>
          <cell r="J8">
            <v>0</v>
          </cell>
          <cell r="K8">
            <v>0</v>
          </cell>
          <cell r="L8">
            <v>89</v>
          </cell>
          <cell r="M8" t="str">
            <v>E</v>
          </cell>
          <cell r="N8">
            <v>6</v>
          </cell>
        </row>
        <row r="9">
          <cell r="A9">
            <v>1</v>
          </cell>
          <cell r="C9" t="str">
            <v>Analiză matematică</v>
          </cell>
          <cell r="D9" t="str">
            <v>Calculus</v>
          </cell>
          <cell r="E9" t="str">
            <v>AIA.AM.102</v>
          </cell>
          <cell r="F9" t="str">
            <v>DOB</v>
          </cell>
          <cell r="G9" t="str">
            <v>DF</v>
          </cell>
          <cell r="H9">
            <v>2</v>
          </cell>
          <cell r="I9">
            <v>3</v>
          </cell>
          <cell r="J9">
            <v>0</v>
          </cell>
          <cell r="K9">
            <v>0</v>
          </cell>
          <cell r="L9">
            <v>89</v>
          </cell>
          <cell r="M9" t="str">
            <v>E</v>
          </cell>
          <cell r="N9">
            <v>6</v>
          </cell>
        </row>
        <row r="10">
          <cell r="A10">
            <v>1</v>
          </cell>
          <cell r="C10" t="str">
            <v>Programarea calculatoarelor I</v>
          </cell>
          <cell r="D10" t="str">
            <v>Computer Programming I</v>
          </cell>
          <cell r="E10" t="str">
            <v>AIA.PCI.103</v>
          </cell>
          <cell r="F10" t="str">
            <v>DOB</v>
          </cell>
          <cell r="G10" t="str">
            <v>DF</v>
          </cell>
          <cell r="H10">
            <v>2</v>
          </cell>
          <cell r="I10">
            <v>0</v>
          </cell>
          <cell r="J10">
            <v>3</v>
          </cell>
          <cell r="K10">
            <v>0</v>
          </cell>
          <cell r="L10">
            <v>89</v>
          </cell>
          <cell r="M10" t="str">
            <v>E</v>
          </cell>
          <cell r="N10">
            <v>6</v>
          </cell>
        </row>
        <row r="11">
          <cell r="A11">
            <v>1</v>
          </cell>
          <cell r="C11" t="str">
            <v>Fizică</v>
          </cell>
          <cell r="D11" t="str">
            <v>Physics</v>
          </cell>
          <cell r="E11" t="str">
            <v>AIA.FIZ.104</v>
          </cell>
          <cell r="F11" t="str">
            <v>DOB</v>
          </cell>
          <cell r="G11" t="str">
            <v>DF</v>
          </cell>
          <cell r="H11">
            <v>2</v>
          </cell>
          <cell r="I11">
            <v>1</v>
          </cell>
          <cell r="J11">
            <v>2</v>
          </cell>
          <cell r="K11">
            <v>0</v>
          </cell>
          <cell r="L11">
            <v>65</v>
          </cell>
          <cell r="M11" t="str">
            <v>V</v>
          </cell>
          <cell r="N11">
            <v>5</v>
          </cell>
        </row>
        <row r="12">
          <cell r="A12">
            <v>1</v>
          </cell>
          <cell r="C12" t="str">
            <v>Bazele funcționării calculatoarelor</v>
          </cell>
          <cell r="D12" t="str">
            <v>Fundamentals of Computer Operation</v>
          </cell>
          <cell r="E12" t="str">
            <v>AIA.BFC.105</v>
          </cell>
          <cell r="F12" t="str">
            <v>DOB</v>
          </cell>
          <cell r="G12" t="str">
            <v>DF</v>
          </cell>
          <cell r="H12">
            <v>2</v>
          </cell>
          <cell r="I12">
            <v>0</v>
          </cell>
          <cell r="J12">
            <v>2</v>
          </cell>
          <cell r="K12">
            <v>0</v>
          </cell>
          <cell r="L12">
            <v>79</v>
          </cell>
          <cell r="M12" t="str">
            <v>V</v>
          </cell>
          <cell r="N12">
            <v>5</v>
          </cell>
        </row>
        <row r="13">
          <cell r="A13">
            <v>1</v>
          </cell>
          <cell r="C13" t="str">
            <v>Sport I</v>
          </cell>
          <cell r="D13" t="str">
            <v>Physical Training I</v>
          </cell>
          <cell r="E13" t="str">
            <v>AIA.SPI.106</v>
          </cell>
          <cell r="F13" t="str">
            <v>DOB</v>
          </cell>
          <cell r="G13" t="str">
            <v>DC</v>
          </cell>
          <cell r="H13">
            <v>0</v>
          </cell>
          <cell r="I13">
            <v>2</v>
          </cell>
          <cell r="J13">
            <v>0</v>
          </cell>
          <cell r="K13">
            <v>0</v>
          </cell>
          <cell r="L13">
            <v>26</v>
          </cell>
          <cell r="M13" t="str">
            <v>V
(A/R)</v>
          </cell>
          <cell r="N13">
            <v>2</v>
          </cell>
        </row>
        <row r="14">
          <cell r="A14">
            <v>2</v>
          </cell>
          <cell r="C14" t="str">
            <v>Matematici aplicate în inginerie</v>
          </cell>
          <cell r="D14" t="str">
            <v>Applied Mathematics in Engineering</v>
          </cell>
          <cell r="E14" t="str">
            <v>AIA.EDCO.107</v>
          </cell>
          <cell r="F14" t="str">
            <v>DOB</v>
          </cell>
          <cell r="G14" t="str">
            <v>DF</v>
          </cell>
          <cell r="H14">
            <v>2</v>
          </cell>
          <cell r="I14">
            <v>3</v>
          </cell>
          <cell r="J14">
            <v>0</v>
          </cell>
          <cell r="K14">
            <v>0</v>
          </cell>
          <cell r="L14">
            <v>89</v>
          </cell>
          <cell r="M14" t="str">
            <v>E</v>
          </cell>
          <cell r="N14">
            <v>6</v>
          </cell>
        </row>
        <row r="15">
          <cell r="A15">
            <v>2</v>
          </cell>
          <cell r="C15" t="str">
            <v>Statistică și prelucrarea datelor</v>
          </cell>
          <cell r="D15" t="str">
            <v>Statistics and Data Processing</v>
          </cell>
          <cell r="E15" t="str">
            <v>AIA.SPD.108</v>
          </cell>
          <cell r="F15" t="str">
            <v>DOB</v>
          </cell>
          <cell r="G15" t="str">
            <v>DF</v>
          </cell>
          <cell r="H15">
            <v>2</v>
          </cell>
          <cell r="I15">
            <v>0</v>
          </cell>
          <cell r="J15">
            <v>2</v>
          </cell>
          <cell r="K15">
            <v>0</v>
          </cell>
          <cell r="L15">
            <v>79</v>
          </cell>
          <cell r="M15" t="str">
            <v>V</v>
          </cell>
          <cell r="N15">
            <v>5</v>
          </cell>
        </row>
        <row r="16">
          <cell r="A16">
            <v>2</v>
          </cell>
          <cell r="C16" t="str">
            <v>Dispozitive și circuite electronice</v>
          </cell>
          <cell r="D16" t="str">
            <v>Electronic Devices and Circuits</v>
          </cell>
          <cell r="E16" t="str">
            <v>AIA.DCE.109</v>
          </cell>
          <cell r="F16" t="str">
            <v>DOB</v>
          </cell>
          <cell r="G16" t="str">
            <v>DF</v>
          </cell>
          <cell r="H16">
            <v>2</v>
          </cell>
          <cell r="I16">
            <v>0</v>
          </cell>
          <cell r="J16">
            <v>3</v>
          </cell>
          <cell r="K16">
            <v>0</v>
          </cell>
          <cell r="L16">
            <v>62</v>
          </cell>
          <cell r="M16" t="str">
            <v>E</v>
          </cell>
          <cell r="N16">
            <v>5</v>
          </cell>
        </row>
        <row r="17">
          <cell r="A17">
            <v>2</v>
          </cell>
          <cell r="C17" t="str">
            <v>Programarea calculatoarelor II</v>
          </cell>
          <cell r="D17" t="str">
            <v>Computer Programming II</v>
          </cell>
          <cell r="E17" t="str">
            <v>AIA.PCII.110</v>
          </cell>
          <cell r="F17" t="str">
            <v>DOB</v>
          </cell>
          <cell r="G17" t="str">
            <v>DF</v>
          </cell>
          <cell r="H17">
            <v>2</v>
          </cell>
          <cell r="I17">
            <v>0</v>
          </cell>
          <cell r="J17">
            <v>3</v>
          </cell>
          <cell r="K17">
            <v>0</v>
          </cell>
          <cell r="L17">
            <v>89</v>
          </cell>
          <cell r="M17" t="str">
            <v>E</v>
          </cell>
          <cell r="N17">
            <v>6</v>
          </cell>
        </row>
        <row r="18">
          <cell r="A18">
            <v>2</v>
          </cell>
          <cell r="C18" t="str">
            <v>Electrotehnică</v>
          </cell>
          <cell r="D18" t="str">
            <v xml:space="preserve">Fundamentals of Electrical Engineering </v>
          </cell>
          <cell r="E18" t="str">
            <v>AIA.ETH.111</v>
          </cell>
          <cell r="F18" t="str">
            <v>DOB</v>
          </cell>
          <cell r="G18" t="str">
            <v>DF</v>
          </cell>
          <cell r="H18">
            <v>2</v>
          </cell>
          <cell r="I18">
            <v>1</v>
          </cell>
          <cell r="J18">
            <v>2</v>
          </cell>
          <cell r="K18">
            <v>0</v>
          </cell>
          <cell r="L18">
            <v>89</v>
          </cell>
          <cell r="M18" t="str">
            <v>E</v>
          </cell>
          <cell r="N18">
            <v>6</v>
          </cell>
        </row>
        <row r="19">
          <cell r="A19">
            <v>2</v>
          </cell>
          <cell r="C19" t="str">
            <v>Sport II</v>
          </cell>
          <cell r="D19" t="str">
            <v>Physical Training II</v>
          </cell>
          <cell r="E19" t="str">
            <v>AIA.SPII.112</v>
          </cell>
          <cell r="F19" t="str">
            <v>DOB</v>
          </cell>
          <cell r="G19" t="str">
            <v>DC</v>
          </cell>
          <cell r="H19">
            <v>0</v>
          </cell>
          <cell r="I19">
            <v>2</v>
          </cell>
          <cell r="J19">
            <v>0</v>
          </cell>
          <cell r="K19">
            <v>0</v>
          </cell>
          <cell r="L19">
            <v>26</v>
          </cell>
          <cell r="M19" t="str">
            <v>V
(A/R)</v>
          </cell>
          <cell r="N19">
            <v>2</v>
          </cell>
        </row>
        <row r="20">
          <cell r="A20">
            <v>1</v>
          </cell>
          <cell r="C20" t="str">
            <v>Complemente de matematică I</v>
          </cell>
          <cell r="D20" t="str">
            <v>Mathematical Supplements I</v>
          </cell>
          <cell r="E20" t="str">
            <v>AIA.CMI.113</v>
          </cell>
          <cell r="F20" t="str">
            <v>DFA</v>
          </cell>
          <cell r="G20" t="str">
            <v>DF</v>
          </cell>
          <cell r="H20">
            <v>2</v>
          </cell>
          <cell r="I20">
            <v>0</v>
          </cell>
          <cell r="J20">
            <v>0</v>
          </cell>
          <cell r="K20">
            <v>0</v>
          </cell>
          <cell r="L20">
            <v>53</v>
          </cell>
          <cell r="M20" t="str">
            <v>V</v>
          </cell>
          <cell r="N20">
            <v>3</v>
          </cell>
        </row>
        <row r="21">
          <cell r="A21">
            <v>2</v>
          </cell>
          <cell r="C21" t="str">
            <v>Complemente de matematică II</v>
          </cell>
          <cell r="D21" t="str">
            <v>Mathematical Supplements II</v>
          </cell>
          <cell r="E21" t="str">
            <v>AIA.CMII.114</v>
          </cell>
          <cell r="F21" t="str">
            <v>DFA</v>
          </cell>
          <cell r="G21" t="str">
            <v>DF</v>
          </cell>
          <cell r="H21">
            <v>2</v>
          </cell>
          <cell r="I21">
            <v>0</v>
          </cell>
          <cell r="J21">
            <v>0</v>
          </cell>
          <cell r="K21">
            <v>0</v>
          </cell>
          <cell r="L21">
            <v>53</v>
          </cell>
          <cell r="M21" t="str">
            <v>V</v>
          </cell>
          <cell r="N21">
            <v>3</v>
          </cell>
        </row>
        <row r="25">
          <cell r="C25">
            <v>45915</v>
          </cell>
        </row>
        <row r="26">
          <cell r="C26">
            <v>45918</v>
          </cell>
        </row>
        <row r="27">
          <cell r="C27" t="str">
            <v>Conf.dr.ing. Mihai POSTOLACHE</v>
          </cell>
        </row>
        <row r="28">
          <cell r="C2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55D20-3875-4964-980D-AF1E4A08AAEB}">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0" max="10" width="10.26953125" customWidth="1"/>
    <col min="11" max="11" width="10.08984375" customWidth="1"/>
    <col min="12"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Automatică, Informatică Aplicată și Sisteme Inteligente</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Electronic Devices and Circuits</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AIA.DCE.109</v>
      </c>
      <c r="F14" s="18"/>
      <c r="G14" s="18"/>
      <c r="H14" s="18"/>
      <c r="I14" s="7" t="s">
        <v>16</v>
      </c>
      <c r="J14" s="8"/>
      <c r="K14" s="8"/>
      <c r="L14" s="10"/>
      <c r="M14" s="22" t="str">
        <f t="array" aca="1" ref="M14" ca="1">INDEX([1]Date!G8:G21, MATCH(E12,[1]Date!C8:C21,0),0)</f>
        <v>DF</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t="s">
        <v>20</v>
      </c>
      <c r="F18" s="8"/>
      <c r="G18" s="8"/>
      <c r="H18" s="8"/>
      <c r="I18" s="8"/>
      <c r="J18" s="8"/>
      <c r="K18" s="8"/>
      <c r="L18" s="8"/>
      <c r="M18" s="10"/>
      <c r="N18" s="5"/>
    </row>
    <row r="19" spans="1:14" ht="15.5" x14ac:dyDescent="0.35">
      <c r="A19" s="25"/>
      <c r="B19" s="2"/>
      <c r="C19" s="2"/>
      <c r="D19" s="26"/>
      <c r="E19" s="23" t="s">
        <v>21</v>
      </c>
      <c r="F19" s="8"/>
      <c r="G19" s="8"/>
      <c r="H19" s="8"/>
      <c r="I19" s="8"/>
      <c r="J19" s="8"/>
      <c r="K19" s="8"/>
      <c r="L19" s="8"/>
      <c r="M19" s="10"/>
      <c r="N19" s="5"/>
    </row>
    <row r="20" spans="1:14" ht="15.5" x14ac:dyDescent="0.35">
      <c r="A20" s="25"/>
      <c r="B20" s="2"/>
      <c r="C20" s="2"/>
      <c r="D20" s="26"/>
      <c r="E20" s="23" t="s">
        <v>22</v>
      </c>
      <c r="F20" s="8"/>
      <c r="G20" s="8"/>
      <c r="H20" s="8"/>
      <c r="I20" s="8"/>
      <c r="J20" s="8"/>
      <c r="K20" s="8"/>
      <c r="L20" s="8"/>
      <c r="M20" s="10"/>
      <c r="N20" s="5"/>
    </row>
    <row r="21" spans="1:14" ht="15.5" x14ac:dyDescent="0.35">
      <c r="A21" s="25"/>
      <c r="B21" s="2"/>
      <c r="C21" s="2"/>
      <c r="D21" s="26"/>
      <c r="E21" s="23"/>
      <c r="F21" s="8"/>
      <c r="G21" s="8"/>
      <c r="H21" s="8"/>
      <c r="I21" s="8"/>
      <c r="J21" s="8"/>
      <c r="K21" s="8"/>
      <c r="L21" s="8"/>
      <c r="M21" s="10"/>
      <c r="N21" s="5"/>
    </row>
    <row r="22" spans="1:14" ht="15.5" x14ac:dyDescent="0.35">
      <c r="A22" s="24"/>
      <c r="B22" s="18"/>
      <c r="C22" s="18"/>
      <c r="D22" s="19"/>
      <c r="E22" s="23"/>
      <c r="F22" s="8"/>
      <c r="G22" s="8"/>
      <c r="H22" s="8"/>
      <c r="I22" s="8"/>
      <c r="J22" s="8"/>
      <c r="K22" s="8"/>
      <c r="L22" s="8"/>
      <c r="M22" s="10"/>
      <c r="N22" s="5"/>
    </row>
    <row r="23" spans="1:14" ht="31" x14ac:dyDescent="0.35">
      <c r="A23" s="7" t="s">
        <v>23</v>
      </c>
      <c r="B23" s="10"/>
      <c r="C23" s="27">
        <f>[1]Date!B4</f>
        <v>1</v>
      </c>
      <c r="D23" s="28" t="s">
        <v>24</v>
      </c>
      <c r="E23" s="27">
        <f t="array" aca="1" ref="E23" ca="1">INDEX([1]Date!A8:A21, MATCH(E12,[1]Date!C8:C21,0),0)</f>
        <v>2</v>
      </c>
      <c r="F23" s="29" t="s">
        <v>25</v>
      </c>
      <c r="G23" s="8"/>
      <c r="H23" s="10"/>
      <c r="I23" s="22" t="str">
        <f t="array" aca="1" ref="I23" ca="1">INDEX([1]Date!M8:M21, MATCH(E12,[1]Date!C8:C21,0),0)</f>
        <v>E</v>
      </c>
      <c r="J23" s="29" t="s">
        <v>26</v>
      </c>
      <c r="K23" s="8"/>
      <c r="L23" s="10"/>
      <c r="M23" s="27" t="str">
        <f t="array" aca="1" ref="M23" ca="1">INDEX([1]Date!F8:F21, MATCH(E12,[1]Date!C8:C21,0),0)</f>
        <v>DOB</v>
      </c>
      <c r="N23" s="5"/>
    </row>
    <row r="24" spans="1:14" ht="15.5" x14ac:dyDescent="0.35">
      <c r="A24" s="12"/>
      <c r="B24" s="2"/>
      <c r="C24" s="2"/>
      <c r="D24" s="2"/>
      <c r="E24" s="2"/>
      <c r="F24" s="2"/>
      <c r="G24" s="2"/>
      <c r="H24" s="2"/>
      <c r="I24" s="2"/>
      <c r="J24" s="2"/>
      <c r="K24" s="2"/>
      <c r="L24" s="2"/>
      <c r="M24" s="2"/>
      <c r="N24" s="5"/>
    </row>
    <row r="25" spans="1:14" ht="15.5" x14ac:dyDescent="0.35">
      <c r="A25" s="6" t="s">
        <v>27</v>
      </c>
      <c r="B25" s="2"/>
      <c r="C25" s="2"/>
      <c r="D25" s="2"/>
      <c r="E25" s="2"/>
      <c r="F25" s="2"/>
      <c r="G25" s="2"/>
      <c r="H25" s="2"/>
      <c r="I25" s="2"/>
      <c r="J25" s="2"/>
      <c r="K25" s="2"/>
      <c r="L25" s="2"/>
      <c r="M25" s="2"/>
      <c r="N25" s="30"/>
    </row>
    <row r="26" spans="1:14" ht="31" x14ac:dyDescent="0.35">
      <c r="A26" s="7" t="s">
        <v>28</v>
      </c>
      <c r="B26" s="10"/>
      <c r="C26" s="27">
        <f ca="1">SUM(E26+G26+I26+K26)</f>
        <v>5</v>
      </c>
      <c r="D26" s="28" t="s">
        <v>29</v>
      </c>
      <c r="E26" s="27">
        <f t="array" aca="1" ref="E26" ca="1">INDEX([1]Date!H8:H21, MATCH(E12,[1]Date!C8:C21,0),0)</f>
        <v>2</v>
      </c>
      <c r="F26" s="28" t="s">
        <v>30</v>
      </c>
      <c r="G26" s="27">
        <f t="array" aca="1" ref="G26" ca="1">INDEX([1]Date!I8:I21, MATCH(E12,[1]Date!C8:C21,0),0)</f>
        <v>0</v>
      </c>
      <c r="H26" s="28" t="s">
        <v>31</v>
      </c>
      <c r="I26" s="27">
        <f t="array" aca="1" ref="I26" ca="1">INDEX([1]Date!J8:J21, MATCH(E12,[1]Date!C8:C21,0),0)</f>
        <v>3</v>
      </c>
      <c r="J26" s="28" t="s">
        <v>32</v>
      </c>
      <c r="K26" s="27">
        <f t="array" aca="1" ref="K26" ca="1">INDEX([1]Date!K8:K21, MATCH(E12,[1]Date!C8:C21,0),0)</f>
        <v>0</v>
      </c>
      <c r="L26" s="7" t="s">
        <v>33</v>
      </c>
      <c r="M26" s="10"/>
      <c r="N26" s="30"/>
    </row>
    <row r="27" spans="1:14" ht="31" x14ac:dyDescent="0.35">
      <c r="A27" s="7" t="s">
        <v>34</v>
      </c>
      <c r="B27" s="10"/>
      <c r="C27" s="27">
        <f ca="1">C26*14</f>
        <v>70</v>
      </c>
      <c r="D27" s="28" t="s">
        <v>35</v>
      </c>
      <c r="E27" s="27">
        <f ca="1">E26*14</f>
        <v>28</v>
      </c>
      <c r="F27" s="28" t="s">
        <v>36</v>
      </c>
      <c r="G27" s="27">
        <f ca="1">G26*14</f>
        <v>0</v>
      </c>
      <c r="H27" s="28" t="s">
        <v>37</v>
      </c>
      <c r="I27" s="27">
        <f ca="1">I26*14</f>
        <v>42</v>
      </c>
      <c r="J27" s="28" t="s">
        <v>38</v>
      </c>
      <c r="K27" s="27">
        <f ca="1">K26*14</f>
        <v>0</v>
      </c>
      <c r="L27" s="28" t="s">
        <v>39</v>
      </c>
      <c r="M27" s="27">
        <v>0</v>
      </c>
      <c r="N27" s="5"/>
    </row>
    <row r="28" spans="1:14" ht="15.5" x14ac:dyDescent="0.35">
      <c r="A28" s="7" t="s">
        <v>40</v>
      </c>
      <c r="B28" s="8"/>
      <c r="C28" s="8"/>
      <c r="D28" s="8"/>
      <c r="E28" s="8"/>
      <c r="F28" s="8"/>
      <c r="G28" s="8"/>
      <c r="H28" s="8"/>
      <c r="I28" s="8"/>
      <c r="J28" s="8"/>
      <c r="K28" s="8"/>
      <c r="L28" s="10"/>
      <c r="M28" s="27" t="s">
        <v>41</v>
      </c>
      <c r="N28" s="5"/>
    </row>
    <row r="29" spans="1:14" ht="15.5" x14ac:dyDescent="0.35">
      <c r="A29" s="7" t="s">
        <v>42</v>
      </c>
      <c r="B29" s="8"/>
      <c r="C29" s="8"/>
      <c r="D29" s="8"/>
      <c r="E29" s="8"/>
      <c r="F29" s="8"/>
      <c r="G29" s="8"/>
      <c r="H29" s="8"/>
      <c r="I29" s="8"/>
      <c r="J29" s="8"/>
      <c r="K29" s="8"/>
      <c r="L29" s="10"/>
      <c r="M29" s="31">
        <v>25</v>
      </c>
      <c r="N29" s="5"/>
    </row>
    <row r="30" spans="1:14" ht="15.5" x14ac:dyDescent="0.35">
      <c r="A30" s="7" t="s">
        <v>43</v>
      </c>
      <c r="B30" s="8"/>
      <c r="C30" s="8"/>
      <c r="D30" s="8"/>
      <c r="E30" s="8"/>
      <c r="F30" s="8"/>
      <c r="G30" s="8"/>
      <c r="H30" s="8"/>
      <c r="I30" s="8"/>
      <c r="J30" s="8"/>
      <c r="K30" s="8"/>
      <c r="L30" s="10"/>
      <c r="M30" s="31">
        <v>20</v>
      </c>
      <c r="N30" s="5"/>
    </row>
    <row r="31" spans="1:14" ht="15.5" x14ac:dyDescent="0.35">
      <c r="A31" s="7" t="s">
        <v>44</v>
      </c>
      <c r="B31" s="8"/>
      <c r="C31" s="8"/>
      <c r="D31" s="8"/>
      <c r="E31" s="8"/>
      <c r="F31" s="8"/>
      <c r="G31" s="8"/>
      <c r="H31" s="8"/>
      <c r="I31" s="8"/>
      <c r="J31" s="8"/>
      <c r="K31" s="8"/>
      <c r="L31" s="10"/>
      <c r="M31" s="31">
        <v>17</v>
      </c>
      <c r="N31" s="5"/>
    </row>
    <row r="32" spans="1:14" ht="15.5" x14ac:dyDescent="0.35">
      <c r="A32" s="7" t="s">
        <v>45</v>
      </c>
      <c r="B32" s="8"/>
      <c r="C32" s="8"/>
      <c r="D32" s="8"/>
      <c r="E32" s="8"/>
      <c r="F32" s="8"/>
      <c r="G32" s="8"/>
      <c r="H32" s="8"/>
      <c r="I32" s="8"/>
      <c r="J32" s="8"/>
      <c r="K32" s="8"/>
      <c r="L32" s="10"/>
      <c r="M32" s="27">
        <f t="array" aca="1" ref="M32" ca="1">IF(INDEX([1]Date!M8:M21, MATCH(E12,[1]Date!C8:C21,0),0)="E",3,0)</f>
        <v>3</v>
      </c>
      <c r="N32" s="5"/>
    </row>
    <row r="33" spans="1:14" ht="15.5" x14ac:dyDescent="0.35">
      <c r="A33" s="7" t="s">
        <v>46</v>
      </c>
      <c r="B33" s="8"/>
      <c r="C33" s="8"/>
      <c r="D33" s="8"/>
      <c r="E33" s="8"/>
      <c r="F33" s="8"/>
      <c r="G33" s="8"/>
      <c r="H33" s="8"/>
      <c r="I33" s="8"/>
      <c r="J33" s="8"/>
      <c r="K33" s="8"/>
      <c r="L33" s="10"/>
      <c r="M33" s="27">
        <f ca="1">C34-SUM(M29:M31)</f>
        <v>0</v>
      </c>
      <c r="N33" s="5"/>
    </row>
    <row r="34" spans="1:14" ht="15.5" x14ac:dyDescent="0.35">
      <c r="A34" s="7" t="s">
        <v>47</v>
      </c>
      <c r="B34" s="10"/>
      <c r="C34" s="27">
        <f t="array" aca="1" ref="C34" ca="1">INDEX([1]Date!L8:L21, MATCH(E12,[1]Date!C8:C21,0),0)</f>
        <v>62</v>
      </c>
      <c r="D34" s="5"/>
      <c r="E34" s="5"/>
      <c r="F34" s="5"/>
      <c r="G34" s="5"/>
      <c r="H34" s="5"/>
      <c r="I34" s="5"/>
      <c r="J34" s="5"/>
      <c r="K34" s="5"/>
      <c r="L34" s="5"/>
      <c r="M34" s="5"/>
      <c r="N34" s="5"/>
    </row>
    <row r="35" spans="1:14" ht="15.5" x14ac:dyDescent="0.35">
      <c r="A35" s="7" t="s">
        <v>48</v>
      </c>
      <c r="B35" s="10"/>
      <c r="C35" s="27">
        <f ca="1">C27+M32+C34</f>
        <v>135</v>
      </c>
      <c r="D35" s="5"/>
      <c r="E35" s="5"/>
      <c r="F35" s="5"/>
      <c r="G35" s="5"/>
      <c r="H35" s="5"/>
      <c r="I35" s="5"/>
      <c r="J35" s="5"/>
      <c r="K35" s="5"/>
      <c r="L35" s="5"/>
      <c r="M35" s="5"/>
      <c r="N35" s="5"/>
    </row>
    <row r="36" spans="1:14" ht="15.5" x14ac:dyDescent="0.35">
      <c r="A36" s="7" t="s">
        <v>49</v>
      </c>
      <c r="B36" s="10"/>
      <c r="C36" s="27">
        <f t="array" aca="1" ref="C36" ca="1">INDEX([1]Date!N8:N21, MATCH(E12,[1]Date!C8:C21,0),0)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50</v>
      </c>
      <c r="B38" s="2"/>
      <c r="C38" s="2"/>
      <c r="D38" s="2"/>
      <c r="E38" s="2"/>
      <c r="F38" s="2"/>
      <c r="G38" s="2"/>
      <c r="H38" s="2"/>
      <c r="I38" s="2"/>
      <c r="J38" s="2"/>
      <c r="K38" s="2"/>
      <c r="L38" s="2"/>
      <c r="M38" s="2"/>
      <c r="N38" s="30"/>
    </row>
    <row r="39" spans="1:14" ht="15.5" x14ac:dyDescent="0.35">
      <c r="A39" s="7" t="s">
        <v>51</v>
      </c>
      <c r="B39" s="10"/>
      <c r="C39" s="9" t="s">
        <v>52</v>
      </c>
      <c r="D39" s="8"/>
      <c r="E39" s="8"/>
      <c r="F39" s="8"/>
      <c r="G39" s="8"/>
      <c r="H39" s="8"/>
      <c r="I39" s="8"/>
      <c r="J39" s="8"/>
      <c r="K39" s="8"/>
      <c r="L39" s="8"/>
      <c r="M39" s="10"/>
      <c r="N39" s="30"/>
    </row>
    <row r="40" spans="1:14" ht="15.5" x14ac:dyDescent="0.35">
      <c r="A40" s="7" t="s">
        <v>53</v>
      </c>
      <c r="B40" s="10"/>
      <c r="C40" s="23" t="s">
        <v>54</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55</v>
      </c>
      <c r="B42" s="2"/>
      <c r="C42" s="2"/>
      <c r="D42" s="2"/>
      <c r="E42" s="2"/>
      <c r="F42" s="2"/>
      <c r="G42" s="2"/>
      <c r="H42" s="2"/>
      <c r="I42" s="2"/>
      <c r="J42" s="2"/>
      <c r="K42" s="2"/>
      <c r="L42" s="2"/>
      <c r="M42" s="2"/>
      <c r="N42" s="30"/>
    </row>
    <row r="43" spans="1:14" ht="15.5" x14ac:dyDescent="0.35">
      <c r="A43" s="7" t="s">
        <v>56</v>
      </c>
      <c r="B43" s="10"/>
      <c r="C43" s="23" t="s">
        <v>57</v>
      </c>
      <c r="D43" s="8"/>
      <c r="E43" s="8"/>
      <c r="F43" s="8"/>
      <c r="G43" s="8"/>
      <c r="H43" s="8"/>
      <c r="I43" s="8"/>
      <c r="J43" s="8"/>
      <c r="K43" s="8"/>
      <c r="L43" s="8"/>
      <c r="M43" s="10"/>
      <c r="N43" s="30"/>
    </row>
    <row r="44" spans="1:14" ht="15.5" x14ac:dyDescent="0.35">
      <c r="A44" s="7" t="s">
        <v>58</v>
      </c>
      <c r="B44" s="10"/>
      <c r="C44" s="23" t="s">
        <v>59</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60</v>
      </c>
      <c r="B46" s="2"/>
      <c r="C46" s="2"/>
      <c r="D46" s="2"/>
      <c r="E46" s="2"/>
      <c r="F46" s="2"/>
      <c r="G46" s="2"/>
      <c r="H46" s="2"/>
      <c r="I46" s="2"/>
      <c r="J46" s="2"/>
      <c r="K46" s="2"/>
      <c r="L46" s="2"/>
      <c r="M46" s="2"/>
      <c r="N46" s="30"/>
    </row>
    <row r="47" spans="1:14" ht="15.5" x14ac:dyDescent="0.35">
      <c r="A47" s="23" t="s">
        <v>61</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62</v>
      </c>
      <c r="B49" s="2"/>
      <c r="C49" s="2"/>
      <c r="D49" s="2"/>
      <c r="E49" s="2"/>
      <c r="F49" s="2"/>
      <c r="G49" s="2"/>
      <c r="H49" s="2"/>
      <c r="I49" s="2"/>
      <c r="J49" s="2"/>
      <c r="K49" s="2"/>
      <c r="L49" s="2"/>
      <c r="M49" s="2"/>
      <c r="N49" s="30"/>
    </row>
    <row r="50" spans="1:14" ht="15.5" x14ac:dyDescent="0.35">
      <c r="A50" s="32" t="s">
        <v>63</v>
      </c>
      <c r="B50" s="33" t="s">
        <v>64</v>
      </c>
      <c r="C50" s="8"/>
      <c r="D50" s="8"/>
      <c r="E50" s="8"/>
      <c r="F50" s="8"/>
      <c r="G50" s="8"/>
      <c r="H50" s="8"/>
      <c r="I50" s="8"/>
      <c r="J50" s="8"/>
      <c r="K50" s="8"/>
      <c r="L50" s="8"/>
      <c r="M50" s="10"/>
      <c r="N50" s="5"/>
    </row>
    <row r="51" spans="1:14" ht="180" customHeight="1" x14ac:dyDescent="0.35">
      <c r="A51" s="34"/>
      <c r="B51" s="35" t="s">
        <v>65</v>
      </c>
      <c r="C51" s="8"/>
      <c r="D51" s="8"/>
      <c r="E51" s="8"/>
      <c r="F51" s="8"/>
      <c r="G51" s="8"/>
      <c r="H51" s="8"/>
      <c r="I51" s="8"/>
      <c r="J51" s="8"/>
      <c r="K51" s="8"/>
      <c r="L51" s="8"/>
      <c r="M51" s="10"/>
      <c r="N51" s="5"/>
    </row>
    <row r="52" spans="1:14" ht="15.5" x14ac:dyDescent="0.35">
      <c r="A52" s="32" t="s">
        <v>66</v>
      </c>
      <c r="B52" s="33" t="s">
        <v>64</v>
      </c>
      <c r="C52" s="8"/>
      <c r="D52" s="8"/>
      <c r="E52" s="8"/>
      <c r="F52" s="8"/>
      <c r="G52" s="8"/>
      <c r="H52" s="8"/>
      <c r="I52" s="8"/>
      <c r="J52" s="8"/>
      <c r="K52" s="8"/>
      <c r="L52" s="8"/>
      <c r="M52" s="10"/>
      <c r="N52" s="5"/>
    </row>
    <row r="53" spans="1:14" ht="138" customHeight="1" x14ac:dyDescent="0.35">
      <c r="A53" s="34"/>
      <c r="B53" s="35" t="s">
        <v>67</v>
      </c>
      <c r="C53" s="8"/>
      <c r="D53" s="8"/>
      <c r="E53" s="8"/>
      <c r="F53" s="8"/>
      <c r="G53" s="8"/>
      <c r="H53" s="8"/>
      <c r="I53" s="8"/>
      <c r="J53" s="8"/>
      <c r="K53" s="8"/>
      <c r="L53" s="8"/>
      <c r="M53" s="10"/>
      <c r="N53" s="5"/>
    </row>
    <row r="54" spans="1:14" ht="18" customHeight="1" x14ac:dyDescent="0.35">
      <c r="A54" s="32" t="s">
        <v>68</v>
      </c>
      <c r="B54" s="33" t="s">
        <v>64</v>
      </c>
      <c r="C54" s="8"/>
      <c r="D54" s="8"/>
      <c r="E54" s="8"/>
      <c r="F54" s="8"/>
      <c r="G54" s="8"/>
      <c r="H54" s="8"/>
      <c r="I54" s="8"/>
      <c r="J54" s="8"/>
      <c r="K54" s="8"/>
      <c r="L54" s="8"/>
      <c r="M54" s="10"/>
      <c r="N54" s="5"/>
    </row>
    <row r="55" spans="1:14" ht="117" customHeight="1" x14ac:dyDescent="0.35">
      <c r="A55" s="34"/>
      <c r="B55" s="36" t="s">
        <v>69</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70</v>
      </c>
      <c r="B57" s="2"/>
      <c r="C57" s="2"/>
      <c r="D57" s="2"/>
      <c r="E57" s="2"/>
      <c r="F57" s="2"/>
      <c r="G57" s="2"/>
      <c r="H57" s="2"/>
      <c r="I57" s="2"/>
      <c r="J57" s="2"/>
      <c r="K57" s="2"/>
      <c r="L57" s="2"/>
      <c r="M57" s="2"/>
      <c r="N57" s="30"/>
    </row>
    <row r="58" spans="1:14" ht="53.25" customHeight="1" x14ac:dyDescent="0.35">
      <c r="A58" s="23" t="s">
        <v>71</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72</v>
      </c>
      <c r="B60" s="2"/>
      <c r="C60" s="2"/>
      <c r="D60" s="2"/>
      <c r="E60" s="2"/>
      <c r="F60" s="2"/>
      <c r="G60" s="2"/>
      <c r="H60" s="2"/>
      <c r="I60" s="2"/>
      <c r="J60" s="2"/>
      <c r="K60" s="2"/>
      <c r="L60" s="2"/>
      <c r="M60" s="2"/>
      <c r="N60" s="30"/>
    </row>
    <row r="61" spans="1:14" ht="24.75" customHeight="1" x14ac:dyDescent="0.35">
      <c r="A61" s="37" t="s">
        <v>73</v>
      </c>
      <c r="B61" s="8"/>
      <c r="C61" s="8"/>
      <c r="D61" s="8"/>
      <c r="E61" s="8"/>
      <c r="F61" s="8"/>
      <c r="G61" s="10"/>
      <c r="H61" s="37" t="s">
        <v>74</v>
      </c>
      <c r="I61" s="8"/>
      <c r="J61" s="8"/>
      <c r="K61" s="10"/>
      <c r="L61" s="37" t="s">
        <v>75</v>
      </c>
      <c r="M61" s="10"/>
      <c r="N61" s="30"/>
    </row>
    <row r="62" spans="1:14" ht="15.5" x14ac:dyDescent="0.35">
      <c r="A62" s="38" t="s">
        <v>76</v>
      </c>
      <c r="B62" s="23" t="s">
        <v>77</v>
      </c>
      <c r="C62" s="8"/>
      <c r="D62" s="8"/>
      <c r="E62" s="8"/>
      <c r="F62" s="8"/>
      <c r="G62" s="10"/>
      <c r="H62" s="39" t="s">
        <v>78</v>
      </c>
      <c r="I62" s="14"/>
      <c r="J62" s="14"/>
      <c r="K62" s="15"/>
      <c r="L62" s="40" t="s">
        <v>79</v>
      </c>
      <c r="M62" s="10"/>
      <c r="N62" s="5"/>
    </row>
    <row r="63" spans="1:14" ht="15.5" x14ac:dyDescent="0.35">
      <c r="A63" s="38" t="s">
        <v>80</v>
      </c>
      <c r="B63" s="23" t="s">
        <v>81</v>
      </c>
      <c r="C63" s="8"/>
      <c r="D63" s="8"/>
      <c r="E63" s="8"/>
      <c r="F63" s="8"/>
      <c r="G63" s="10"/>
      <c r="H63" s="25"/>
      <c r="I63" s="2"/>
      <c r="J63" s="2"/>
      <c r="K63" s="26"/>
      <c r="L63" s="40" t="s">
        <v>79</v>
      </c>
      <c r="M63" s="10"/>
      <c r="N63" s="5"/>
    </row>
    <row r="64" spans="1:14" ht="15.5" x14ac:dyDescent="0.35">
      <c r="A64" s="38" t="s">
        <v>82</v>
      </c>
      <c r="B64" s="23" t="s">
        <v>83</v>
      </c>
      <c r="C64" s="8"/>
      <c r="D64" s="8"/>
      <c r="E64" s="8"/>
      <c r="F64" s="8"/>
      <c r="G64" s="10"/>
      <c r="H64" s="25"/>
      <c r="I64" s="2"/>
      <c r="J64" s="2"/>
      <c r="K64" s="26"/>
      <c r="L64" s="40" t="s">
        <v>79</v>
      </c>
      <c r="M64" s="10"/>
      <c r="N64" s="5"/>
    </row>
    <row r="65" spans="1:14" ht="15.5" x14ac:dyDescent="0.35">
      <c r="A65" s="38" t="s">
        <v>84</v>
      </c>
      <c r="B65" s="23" t="s">
        <v>85</v>
      </c>
      <c r="C65" s="8"/>
      <c r="D65" s="8"/>
      <c r="E65" s="8"/>
      <c r="F65" s="8"/>
      <c r="G65" s="10"/>
      <c r="H65" s="25"/>
      <c r="I65" s="2"/>
      <c r="J65" s="2"/>
      <c r="K65" s="26"/>
      <c r="L65" s="40" t="s">
        <v>79</v>
      </c>
      <c r="M65" s="10"/>
      <c r="N65" s="5"/>
    </row>
    <row r="66" spans="1:14" ht="15.5" x14ac:dyDescent="0.35">
      <c r="A66" s="38" t="s">
        <v>86</v>
      </c>
      <c r="B66" s="23" t="s">
        <v>87</v>
      </c>
      <c r="C66" s="8"/>
      <c r="D66" s="8"/>
      <c r="E66" s="8"/>
      <c r="F66" s="8"/>
      <c r="G66" s="10"/>
      <c r="H66" s="25"/>
      <c r="I66" s="2"/>
      <c r="J66" s="2"/>
      <c r="K66" s="26"/>
      <c r="L66" s="40" t="s">
        <v>79</v>
      </c>
      <c r="M66" s="10"/>
      <c r="N66" s="5"/>
    </row>
    <row r="67" spans="1:14" ht="15.5" x14ac:dyDescent="0.35">
      <c r="A67" s="38" t="s">
        <v>88</v>
      </c>
      <c r="B67" s="23" t="s">
        <v>89</v>
      </c>
      <c r="C67" s="8"/>
      <c r="D67" s="8"/>
      <c r="E67" s="8"/>
      <c r="F67" s="8"/>
      <c r="G67" s="10"/>
      <c r="H67" s="25"/>
      <c r="I67" s="2"/>
      <c r="J67" s="2"/>
      <c r="K67" s="26"/>
      <c r="L67" s="40" t="s">
        <v>79</v>
      </c>
      <c r="M67" s="10"/>
      <c r="N67" s="5"/>
    </row>
    <row r="68" spans="1:14" ht="15.5" x14ac:dyDescent="0.35">
      <c r="A68" s="38" t="s">
        <v>90</v>
      </c>
      <c r="B68" s="23" t="s">
        <v>91</v>
      </c>
      <c r="C68" s="8"/>
      <c r="D68" s="8"/>
      <c r="E68" s="8"/>
      <c r="F68" s="8"/>
      <c r="G68" s="10"/>
      <c r="H68" s="25"/>
      <c r="I68" s="2"/>
      <c r="J68" s="2"/>
      <c r="K68" s="26"/>
      <c r="L68" s="40" t="s">
        <v>79</v>
      </c>
      <c r="M68" s="10"/>
      <c r="N68" s="5"/>
    </row>
    <row r="69" spans="1:14" ht="15.5" x14ac:dyDescent="0.35">
      <c r="A69" s="38" t="s">
        <v>92</v>
      </c>
      <c r="B69" s="23" t="s">
        <v>93</v>
      </c>
      <c r="C69" s="8"/>
      <c r="D69" s="8"/>
      <c r="E69" s="8"/>
      <c r="F69" s="8"/>
      <c r="G69" s="10"/>
      <c r="H69" s="25"/>
      <c r="I69" s="2"/>
      <c r="J69" s="2"/>
      <c r="K69" s="26"/>
      <c r="L69" s="40" t="s">
        <v>79</v>
      </c>
      <c r="M69" s="10"/>
      <c r="N69" s="5"/>
    </row>
    <row r="70" spans="1:14" ht="15.5" x14ac:dyDescent="0.35">
      <c r="A70" s="38" t="s">
        <v>94</v>
      </c>
      <c r="B70" s="23" t="s">
        <v>95</v>
      </c>
      <c r="C70" s="8"/>
      <c r="D70" s="8"/>
      <c r="E70" s="8"/>
      <c r="F70" s="8"/>
      <c r="G70" s="10"/>
      <c r="H70" s="25"/>
      <c r="I70" s="2"/>
      <c r="J70" s="2"/>
      <c r="K70" s="26"/>
      <c r="L70" s="40" t="s">
        <v>79</v>
      </c>
      <c r="M70" s="10"/>
      <c r="N70" s="5"/>
    </row>
    <row r="71" spans="1:14" ht="15.5" x14ac:dyDescent="0.35">
      <c r="A71" s="38" t="s">
        <v>96</v>
      </c>
      <c r="B71" s="23" t="s">
        <v>97</v>
      </c>
      <c r="C71" s="8"/>
      <c r="D71" s="8"/>
      <c r="E71" s="8"/>
      <c r="F71" s="8"/>
      <c r="G71" s="10"/>
      <c r="H71" s="25"/>
      <c r="I71" s="2"/>
      <c r="J71" s="2"/>
      <c r="K71" s="26"/>
      <c r="L71" s="40" t="s">
        <v>79</v>
      </c>
      <c r="M71" s="10"/>
      <c r="N71" s="5"/>
    </row>
    <row r="72" spans="1:14" ht="15.5" x14ac:dyDescent="0.35">
      <c r="A72" s="38" t="s">
        <v>98</v>
      </c>
      <c r="B72" s="23" t="s">
        <v>99</v>
      </c>
      <c r="C72" s="8"/>
      <c r="D72" s="8"/>
      <c r="E72" s="8"/>
      <c r="F72" s="8"/>
      <c r="G72" s="10"/>
      <c r="H72" s="25"/>
      <c r="I72" s="2"/>
      <c r="J72" s="2"/>
      <c r="K72" s="26"/>
      <c r="L72" s="40" t="s">
        <v>79</v>
      </c>
      <c r="M72" s="10"/>
      <c r="N72" s="5"/>
    </row>
    <row r="73" spans="1:14" ht="15.5" x14ac:dyDescent="0.35">
      <c r="A73" s="38" t="s">
        <v>100</v>
      </c>
      <c r="B73" s="23" t="s">
        <v>101</v>
      </c>
      <c r="C73" s="8"/>
      <c r="D73" s="8"/>
      <c r="E73" s="8"/>
      <c r="F73" s="8"/>
      <c r="G73" s="10"/>
      <c r="H73" s="25"/>
      <c r="I73" s="2"/>
      <c r="J73" s="2"/>
      <c r="K73" s="26"/>
      <c r="L73" s="40" t="s">
        <v>79</v>
      </c>
      <c r="M73" s="10"/>
      <c r="N73" s="5"/>
    </row>
    <row r="74" spans="1:14" ht="15.5" x14ac:dyDescent="0.35">
      <c r="A74" s="38" t="s">
        <v>102</v>
      </c>
      <c r="B74" s="23" t="s">
        <v>103</v>
      </c>
      <c r="C74" s="8"/>
      <c r="D74" s="8"/>
      <c r="E74" s="8"/>
      <c r="F74" s="8"/>
      <c r="G74" s="10"/>
      <c r="H74" s="25"/>
      <c r="I74" s="2"/>
      <c r="J74" s="2"/>
      <c r="K74" s="26"/>
      <c r="L74" s="40" t="s">
        <v>79</v>
      </c>
      <c r="M74" s="10"/>
      <c r="N74" s="5"/>
    </row>
    <row r="75" spans="1:14" ht="15.5" x14ac:dyDescent="0.35">
      <c r="A75" s="38" t="s">
        <v>104</v>
      </c>
      <c r="B75" s="23" t="s">
        <v>105</v>
      </c>
      <c r="C75" s="8"/>
      <c r="D75" s="8"/>
      <c r="E75" s="8"/>
      <c r="F75" s="8"/>
      <c r="G75" s="10"/>
      <c r="H75" s="24"/>
      <c r="I75" s="18"/>
      <c r="J75" s="18"/>
      <c r="K75" s="19"/>
      <c r="L75" s="40" t="s">
        <v>79</v>
      </c>
      <c r="M75" s="10"/>
      <c r="N75" s="5"/>
    </row>
    <row r="76" spans="1:14" ht="15.5" x14ac:dyDescent="0.35">
      <c r="A76" s="36" t="s">
        <v>106</v>
      </c>
      <c r="B76" s="8"/>
      <c r="C76" s="8"/>
      <c r="D76" s="8"/>
      <c r="E76" s="8"/>
      <c r="F76" s="8"/>
      <c r="G76" s="8"/>
      <c r="H76" s="8"/>
      <c r="I76" s="8"/>
      <c r="J76" s="8"/>
      <c r="K76" s="8"/>
      <c r="L76" s="8"/>
      <c r="M76" s="10"/>
      <c r="N76" s="5"/>
    </row>
    <row r="77" spans="1:14" ht="24.75" hidden="1" customHeight="1" x14ac:dyDescent="0.35">
      <c r="A77" s="37" t="s">
        <v>107</v>
      </c>
      <c r="B77" s="8"/>
      <c r="C77" s="8"/>
      <c r="D77" s="8"/>
      <c r="E77" s="8"/>
      <c r="F77" s="8"/>
      <c r="G77" s="10"/>
      <c r="H77" s="37" t="s">
        <v>108</v>
      </c>
      <c r="I77" s="8"/>
      <c r="J77" s="8"/>
      <c r="K77" s="10"/>
      <c r="L77" s="37" t="s">
        <v>75</v>
      </c>
      <c r="M77" s="10"/>
      <c r="N77" s="30"/>
    </row>
    <row r="78" spans="1:14" ht="15.5" hidden="1" x14ac:dyDescent="0.35">
      <c r="A78" s="38" t="s">
        <v>76</v>
      </c>
      <c r="B78" s="23"/>
      <c r="C78" s="8"/>
      <c r="D78" s="8"/>
      <c r="E78" s="8"/>
      <c r="F78" s="8"/>
      <c r="G78" s="10"/>
      <c r="H78" s="39"/>
      <c r="I78" s="14"/>
      <c r="J78" s="14"/>
      <c r="K78" s="15"/>
      <c r="L78" s="23"/>
      <c r="M78" s="10"/>
      <c r="N78" s="5"/>
    </row>
    <row r="79" spans="1:14" ht="15.5" hidden="1" x14ac:dyDescent="0.35">
      <c r="A79" s="38" t="s">
        <v>80</v>
      </c>
      <c r="B79" s="23"/>
      <c r="C79" s="8"/>
      <c r="D79" s="8"/>
      <c r="E79" s="8"/>
      <c r="F79" s="8"/>
      <c r="G79" s="10"/>
      <c r="H79" s="25"/>
      <c r="I79" s="2"/>
      <c r="J79" s="2"/>
      <c r="K79" s="26"/>
      <c r="L79" s="23"/>
      <c r="M79" s="10"/>
      <c r="N79" s="5"/>
    </row>
    <row r="80" spans="1:14" ht="15.5" hidden="1" x14ac:dyDescent="0.35">
      <c r="A80" s="38" t="s">
        <v>82</v>
      </c>
      <c r="B80" s="23"/>
      <c r="C80" s="8"/>
      <c r="D80" s="8"/>
      <c r="E80" s="8"/>
      <c r="F80" s="8"/>
      <c r="G80" s="10"/>
      <c r="H80" s="25"/>
      <c r="I80" s="2"/>
      <c r="J80" s="2"/>
      <c r="K80" s="26"/>
      <c r="L80" s="23"/>
      <c r="M80" s="10"/>
      <c r="N80" s="5"/>
    </row>
    <row r="81" spans="1:14" ht="15.5" hidden="1" x14ac:dyDescent="0.35">
      <c r="A81" s="38" t="s">
        <v>84</v>
      </c>
      <c r="B81" s="23"/>
      <c r="C81" s="8"/>
      <c r="D81" s="8"/>
      <c r="E81" s="8"/>
      <c r="F81" s="8"/>
      <c r="G81" s="10"/>
      <c r="H81" s="25"/>
      <c r="I81" s="2"/>
      <c r="J81" s="2"/>
      <c r="K81" s="26"/>
      <c r="L81" s="23"/>
      <c r="M81" s="10"/>
      <c r="N81" s="5"/>
    </row>
    <row r="82" spans="1:14" ht="15.5" hidden="1" x14ac:dyDescent="0.35">
      <c r="A82" s="38" t="s">
        <v>86</v>
      </c>
      <c r="B82" s="23"/>
      <c r="C82" s="8"/>
      <c r="D82" s="8"/>
      <c r="E82" s="8"/>
      <c r="F82" s="8"/>
      <c r="G82" s="10"/>
      <c r="H82" s="25"/>
      <c r="I82" s="2"/>
      <c r="J82" s="2"/>
      <c r="K82" s="26"/>
      <c r="L82" s="23"/>
      <c r="M82" s="10"/>
      <c r="N82" s="5"/>
    </row>
    <row r="83" spans="1:14" ht="15.5" hidden="1" x14ac:dyDescent="0.35">
      <c r="A83" s="38" t="s">
        <v>88</v>
      </c>
      <c r="B83" s="23"/>
      <c r="C83" s="8"/>
      <c r="D83" s="8"/>
      <c r="E83" s="8"/>
      <c r="F83" s="8"/>
      <c r="G83" s="10"/>
      <c r="H83" s="25"/>
      <c r="I83" s="2"/>
      <c r="J83" s="2"/>
      <c r="K83" s="26"/>
      <c r="L83" s="23"/>
      <c r="M83" s="10"/>
      <c r="N83" s="5"/>
    </row>
    <row r="84" spans="1:14" ht="15.5" hidden="1" x14ac:dyDescent="0.35">
      <c r="A84" s="38" t="s">
        <v>90</v>
      </c>
      <c r="B84" s="23"/>
      <c r="C84" s="8"/>
      <c r="D84" s="8"/>
      <c r="E84" s="8"/>
      <c r="F84" s="8"/>
      <c r="G84" s="10"/>
      <c r="H84" s="25"/>
      <c r="I84" s="2"/>
      <c r="J84" s="2"/>
      <c r="K84" s="26"/>
      <c r="L84" s="23"/>
      <c r="M84" s="10"/>
      <c r="N84" s="5"/>
    </row>
    <row r="85" spans="1:14" ht="15.5" hidden="1" x14ac:dyDescent="0.35">
      <c r="A85" s="38" t="s">
        <v>92</v>
      </c>
      <c r="B85" s="23"/>
      <c r="C85" s="8"/>
      <c r="D85" s="8"/>
      <c r="E85" s="8"/>
      <c r="F85" s="8"/>
      <c r="G85" s="10"/>
      <c r="H85" s="25"/>
      <c r="I85" s="2"/>
      <c r="J85" s="2"/>
      <c r="K85" s="26"/>
      <c r="L85" s="23"/>
      <c r="M85" s="10"/>
      <c r="N85" s="5"/>
    </row>
    <row r="86" spans="1:14" ht="15.5" hidden="1" x14ac:dyDescent="0.35">
      <c r="A86" s="38" t="s">
        <v>94</v>
      </c>
      <c r="B86" s="23"/>
      <c r="C86" s="8"/>
      <c r="D86" s="8"/>
      <c r="E86" s="8"/>
      <c r="F86" s="8"/>
      <c r="G86" s="10"/>
      <c r="H86" s="25"/>
      <c r="I86" s="2"/>
      <c r="J86" s="2"/>
      <c r="K86" s="26"/>
      <c r="L86" s="23"/>
      <c r="M86" s="10"/>
      <c r="N86" s="5"/>
    </row>
    <row r="87" spans="1:14" ht="15.5" hidden="1" x14ac:dyDescent="0.35">
      <c r="A87" s="38" t="s">
        <v>96</v>
      </c>
      <c r="B87" s="23"/>
      <c r="C87" s="8"/>
      <c r="D87" s="8"/>
      <c r="E87" s="8"/>
      <c r="F87" s="8"/>
      <c r="G87" s="10"/>
      <c r="H87" s="25"/>
      <c r="I87" s="2"/>
      <c r="J87" s="2"/>
      <c r="K87" s="26"/>
      <c r="L87" s="23"/>
      <c r="M87" s="10"/>
      <c r="N87" s="5"/>
    </row>
    <row r="88" spans="1:14" ht="15.5" hidden="1" x14ac:dyDescent="0.35">
      <c r="A88" s="38" t="s">
        <v>98</v>
      </c>
      <c r="B88" s="23"/>
      <c r="C88" s="8"/>
      <c r="D88" s="8"/>
      <c r="E88" s="8"/>
      <c r="F88" s="8"/>
      <c r="G88" s="10"/>
      <c r="H88" s="25"/>
      <c r="I88" s="2"/>
      <c r="J88" s="2"/>
      <c r="K88" s="26"/>
      <c r="L88" s="23"/>
      <c r="M88" s="10"/>
      <c r="N88" s="5"/>
    </row>
    <row r="89" spans="1:14" ht="15.5" hidden="1" x14ac:dyDescent="0.35">
      <c r="A89" s="38" t="s">
        <v>100</v>
      </c>
      <c r="B89" s="23"/>
      <c r="C89" s="8"/>
      <c r="D89" s="8"/>
      <c r="E89" s="8"/>
      <c r="F89" s="8"/>
      <c r="G89" s="10"/>
      <c r="H89" s="25"/>
      <c r="I89" s="2"/>
      <c r="J89" s="2"/>
      <c r="K89" s="26"/>
      <c r="L89" s="23"/>
      <c r="M89" s="10"/>
      <c r="N89" s="5"/>
    </row>
    <row r="90" spans="1:14" ht="15.5" hidden="1" x14ac:dyDescent="0.35">
      <c r="A90" s="38" t="s">
        <v>102</v>
      </c>
      <c r="B90" s="23"/>
      <c r="C90" s="8"/>
      <c r="D90" s="8"/>
      <c r="E90" s="8"/>
      <c r="F90" s="8"/>
      <c r="G90" s="10"/>
      <c r="H90" s="25"/>
      <c r="I90" s="2"/>
      <c r="J90" s="2"/>
      <c r="K90" s="26"/>
      <c r="L90" s="23"/>
      <c r="M90" s="10"/>
      <c r="N90" s="5"/>
    </row>
    <row r="91" spans="1:14" ht="15.5" hidden="1" x14ac:dyDescent="0.35">
      <c r="A91" s="38" t="s">
        <v>104</v>
      </c>
      <c r="B91" s="23"/>
      <c r="C91" s="8"/>
      <c r="D91" s="8"/>
      <c r="E91" s="8"/>
      <c r="F91" s="8"/>
      <c r="G91" s="10"/>
      <c r="H91" s="24"/>
      <c r="I91" s="18"/>
      <c r="J91" s="18"/>
      <c r="K91" s="19"/>
      <c r="L91" s="23"/>
      <c r="M91" s="10"/>
      <c r="N91" s="5"/>
    </row>
    <row r="92" spans="1:14" ht="24" customHeight="1" x14ac:dyDescent="0.35">
      <c r="A92" s="37" t="s">
        <v>109</v>
      </c>
      <c r="B92" s="8"/>
      <c r="C92" s="8"/>
      <c r="D92" s="8"/>
      <c r="E92" s="8"/>
      <c r="F92" s="8"/>
      <c r="G92" s="10"/>
      <c r="H92" s="37" t="s">
        <v>108</v>
      </c>
      <c r="I92" s="8"/>
      <c r="J92" s="8"/>
      <c r="K92" s="10"/>
      <c r="L92" s="37" t="s">
        <v>75</v>
      </c>
      <c r="M92" s="10"/>
      <c r="N92" s="30"/>
    </row>
    <row r="93" spans="1:14" ht="15.5" x14ac:dyDescent="0.35">
      <c r="A93" s="38" t="s">
        <v>76</v>
      </c>
      <c r="B93" s="23" t="s">
        <v>110</v>
      </c>
      <c r="C93" s="8"/>
      <c r="D93" s="8"/>
      <c r="E93" s="8"/>
      <c r="F93" s="8"/>
      <c r="G93" s="10"/>
      <c r="H93" s="39" t="s">
        <v>111</v>
      </c>
      <c r="I93" s="14"/>
      <c r="J93" s="14"/>
      <c r="K93" s="15"/>
      <c r="L93" s="40" t="s">
        <v>112</v>
      </c>
      <c r="M93" s="10"/>
      <c r="N93" s="5"/>
    </row>
    <row r="94" spans="1:14" ht="15.5" x14ac:dyDescent="0.35">
      <c r="A94" s="38" t="s">
        <v>80</v>
      </c>
      <c r="B94" s="23" t="s">
        <v>113</v>
      </c>
      <c r="C94" s="8"/>
      <c r="D94" s="8"/>
      <c r="E94" s="8"/>
      <c r="F94" s="8"/>
      <c r="G94" s="10"/>
      <c r="H94" s="25"/>
      <c r="I94" s="2"/>
      <c r="J94" s="2"/>
      <c r="K94" s="26"/>
      <c r="L94" s="40" t="s">
        <v>112</v>
      </c>
      <c r="M94" s="10"/>
      <c r="N94" s="5"/>
    </row>
    <row r="95" spans="1:14" ht="15.5" x14ac:dyDescent="0.35">
      <c r="A95" s="38" t="s">
        <v>82</v>
      </c>
      <c r="B95" s="23" t="s">
        <v>114</v>
      </c>
      <c r="C95" s="8"/>
      <c r="D95" s="8"/>
      <c r="E95" s="8"/>
      <c r="F95" s="8"/>
      <c r="G95" s="10"/>
      <c r="H95" s="25"/>
      <c r="I95" s="2"/>
      <c r="J95" s="2"/>
      <c r="K95" s="26"/>
      <c r="L95" s="40" t="s">
        <v>112</v>
      </c>
      <c r="M95" s="10"/>
      <c r="N95" s="5"/>
    </row>
    <row r="96" spans="1:14" ht="15.5" x14ac:dyDescent="0.35">
      <c r="A96" s="38" t="s">
        <v>84</v>
      </c>
      <c r="B96" s="23" t="s">
        <v>115</v>
      </c>
      <c r="C96" s="8"/>
      <c r="D96" s="8"/>
      <c r="E96" s="8"/>
      <c r="F96" s="8"/>
      <c r="G96" s="10"/>
      <c r="H96" s="25"/>
      <c r="I96" s="2"/>
      <c r="J96" s="2"/>
      <c r="K96" s="26"/>
      <c r="L96" s="40" t="s">
        <v>112</v>
      </c>
      <c r="M96" s="10"/>
      <c r="N96" s="5"/>
    </row>
    <row r="97" spans="1:14" ht="15.5" x14ac:dyDescent="0.35">
      <c r="A97" s="38" t="s">
        <v>86</v>
      </c>
      <c r="B97" s="41" t="s">
        <v>116</v>
      </c>
      <c r="C97" s="8"/>
      <c r="D97" s="8"/>
      <c r="E97" s="8"/>
      <c r="F97" s="8"/>
      <c r="G97" s="10"/>
      <c r="H97" s="25"/>
      <c r="I97" s="2"/>
      <c r="J97" s="2"/>
      <c r="K97" s="26"/>
      <c r="L97" s="40" t="s">
        <v>112</v>
      </c>
      <c r="M97" s="10"/>
      <c r="N97" s="5"/>
    </row>
    <row r="98" spans="1:14" ht="15.5" x14ac:dyDescent="0.35">
      <c r="A98" s="38" t="s">
        <v>88</v>
      </c>
      <c r="B98" s="23" t="s">
        <v>117</v>
      </c>
      <c r="C98" s="8"/>
      <c r="D98" s="8"/>
      <c r="E98" s="8"/>
      <c r="F98" s="8"/>
      <c r="G98" s="10"/>
      <c r="H98" s="25"/>
      <c r="I98" s="2"/>
      <c r="J98" s="2"/>
      <c r="K98" s="26"/>
      <c r="L98" s="40" t="s">
        <v>112</v>
      </c>
      <c r="M98" s="10"/>
      <c r="N98" s="5"/>
    </row>
    <row r="99" spans="1:14" ht="15.5" x14ac:dyDescent="0.35">
      <c r="A99" s="38" t="s">
        <v>90</v>
      </c>
      <c r="B99" s="23" t="s">
        <v>118</v>
      </c>
      <c r="C99" s="8"/>
      <c r="D99" s="8"/>
      <c r="E99" s="8"/>
      <c r="F99" s="8"/>
      <c r="G99" s="10"/>
      <c r="H99" s="25"/>
      <c r="I99" s="2"/>
      <c r="J99" s="2"/>
      <c r="K99" s="26"/>
      <c r="L99" s="40" t="s">
        <v>112</v>
      </c>
      <c r="M99" s="10"/>
      <c r="N99" s="5"/>
    </row>
    <row r="100" spans="1:14" ht="15.5" x14ac:dyDescent="0.35">
      <c r="A100" s="38" t="s">
        <v>92</v>
      </c>
      <c r="B100" s="23" t="s">
        <v>119</v>
      </c>
      <c r="C100" s="8"/>
      <c r="D100" s="8"/>
      <c r="E100" s="8"/>
      <c r="F100" s="8"/>
      <c r="G100" s="10"/>
      <c r="H100" s="25"/>
      <c r="I100" s="2"/>
      <c r="J100" s="2"/>
      <c r="K100" s="26"/>
      <c r="L100" s="40" t="s">
        <v>112</v>
      </c>
      <c r="M100" s="10"/>
      <c r="N100" s="5"/>
    </row>
    <row r="101" spans="1:14" ht="15.5" x14ac:dyDescent="0.35">
      <c r="A101" s="38" t="s">
        <v>94</v>
      </c>
      <c r="B101" s="23" t="s">
        <v>120</v>
      </c>
      <c r="C101" s="8"/>
      <c r="D101" s="8"/>
      <c r="E101" s="8"/>
      <c r="F101" s="8"/>
      <c r="G101" s="10"/>
      <c r="H101" s="25"/>
      <c r="I101" s="2"/>
      <c r="J101" s="2"/>
      <c r="K101" s="26"/>
      <c r="L101" s="40" t="s">
        <v>112</v>
      </c>
      <c r="M101" s="10"/>
      <c r="N101" s="5"/>
    </row>
    <row r="102" spans="1:14" ht="15.5" x14ac:dyDescent="0.35">
      <c r="A102" s="38" t="s">
        <v>96</v>
      </c>
      <c r="B102" s="23" t="s">
        <v>121</v>
      </c>
      <c r="C102" s="8"/>
      <c r="D102" s="8"/>
      <c r="E102" s="8"/>
      <c r="F102" s="8"/>
      <c r="G102" s="10"/>
      <c r="H102" s="25"/>
      <c r="I102" s="2"/>
      <c r="J102" s="2"/>
      <c r="K102" s="26"/>
      <c r="L102" s="40" t="s">
        <v>112</v>
      </c>
      <c r="M102" s="10"/>
      <c r="N102" s="5"/>
    </row>
    <row r="103" spans="1:14" ht="15.5" x14ac:dyDescent="0.35">
      <c r="A103" s="38" t="s">
        <v>98</v>
      </c>
      <c r="B103" s="23" t="s">
        <v>122</v>
      </c>
      <c r="C103" s="8"/>
      <c r="D103" s="8"/>
      <c r="E103" s="8"/>
      <c r="F103" s="8"/>
      <c r="G103" s="10"/>
      <c r="H103" s="25"/>
      <c r="I103" s="2"/>
      <c r="J103" s="2"/>
      <c r="K103" s="26"/>
      <c r="L103" s="40" t="s">
        <v>112</v>
      </c>
      <c r="M103" s="10"/>
      <c r="N103" s="5"/>
    </row>
    <row r="104" spans="1:14" ht="15.5" x14ac:dyDescent="0.35">
      <c r="A104" s="38" t="s">
        <v>100</v>
      </c>
      <c r="B104" s="23" t="s">
        <v>123</v>
      </c>
      <c r="C104" s="8"/>
      <c r="D104" s="8"/>
      <c r="E104" s="8"/>
      <c r="F104" s="8"/>
      <c r="G104" s="10"/>
      <c r="H104" s="25"/>
      <c r="I104" s="2"/>
      <c r="J104" s="2"/>
      <c r="K104" s="26"/>
      <c r="L104" s="40" t="s">
        <v>112</v>
      </c>
      <c r="M104" s="10"/>
      <c r="N104" s="5"/>
    </row>
    <row r="105" spans="1:14" ht="15.5" x14ac:dyDescent="0.35">
      <c r="A105" s="38" t="s">
        <v>102</v>
      </c>
      <c r="B105" s="23" t="s">
        <v>124</v>
      </c>
      <c r="C105" s="8"/>
      <c r="D105" s="8"/>
      <c r="E105" s="8"/>
      <c r="F105" s="8"/>
      <c r="G105" s="10"/>
      <c r="H105" s="25"/>
      <c r="I105" s="2"/>
      <c r="J105" s="2"/>
      <c r="K105" s="26"/>
      <c r="L105" s="40" t="s">
        <v>112</v>
      </c>
      <c r="M105" s="10"/>
      <c r="N105" s="5"/>
    </row>
    <row r="106" spans="1:14" ht="15.5" x14ac:dyDescent="0.35">
      <c r="A106" s="38" t="s">
        <v>104</v>
      </c>
      <c r="B106" s="23" t="s">
        <v>125</v>
      </c>
      <c r="C106" s="8"/>
      <c r="D106" s="8"/>
      <c r="E106" s="8"/>
      <c r="F106" s="8"/>
      <c r="G106" s="10"/>
      <c r="H106" s="24"/>
      <c r="I106" s="18"/>
      <c r="J106" s="18"/>
      <c r="K106" s="19"/>
      <c r="L106" s="40" t="s">
        <v>112</v>
      </c>
      <c r="M106" s="10"/>
      <c r="N106" s="5"/>
    </row>
    <row r="107" spans="1:14" ht="24" hidden="1" customHeight="1" x14ac:dyDescent="0.35">
      <c r="A107" s="37" t="s">
        <v>126</v>
      </c>
      <c r="B107" s="8"/>
      <c r="C107" s="8"/>
      <c r="D107" s="8"/>
      <c r="E107" s="8"/>
      <c r="F107" s="8"/>
      <c r="G107" s="10"/>
      <c r="H107" s="37" t="s">
        <v>108</v>
      </c>
      <c r="I107" s="8"/>
      <c r="J107" s="8"/>
      <c r="K107" s="10"/>
      <c r="L107" s="37" t="s">
        <v>75</v>
      </c>
      <c r="M107" s="10"/>
      <c r="N107" s="30"/>
    </row>
    <row r="108" spans="1:14" ht="15.5" hidden="1" x14ac:dyDescent="0.35">
      <c r="A108" s="38" t="s">
        <v>76</v>
      </c>
      <c r="B108" s="23"/>
      <c r="C108" s="8"/>
      <c r="D108" s="8"/>
      <c r="E108" s="8"/>
      <c r="F108" s="8"/>
      <c r="G108" s="10"/>
      <c r="H108" s="39"/>
      <c r="I108" s="14"/>
      <c r="J108" s="14"/>
      <c r="K108" s="15"/>
      <c r="L108" s="23"/>
      <c r="M108" s="10"/>
      <c r="N108" s="5"/>
    </row>
    <row r="109" spans="1:14" ht="15.5" hidden="1" x14ac:dyDescent="0.35">
      <c r="A109" s="38" t="s">
        <v>80</v>
      </c>
      <c r="B109" s="23"/>
      <c r="C109" s="8"/>
      <c r="D109" s="8"/>
      <c r="E109" s="8"/>
      <c r="F109" s="8"/>
      <c r="G109" s="10"/>
      <c r="H109" s="25"/>
      <c r="I109" s="2"/>
      <c r="J109" s="2"/>
      <c r="K109" s="26"/>
      <c r="L109" s="23"/>
      <c r="M109" s="10"/>
      <c r="N109" s="5"/>
    </row>
    <row r="110" spans="1:14" ht="15.5" hidden="1" x14ac:dyDescent="0.35">
      <c r="A110" s="38" t="s">
        <v>82</v>
      </c>
      <c r="B110" s="23"/>
      <c r="C110" s="8"/>
      <c r="D110" s="8"/>
      <c r="E110" s="8"/>
      <c r="F110" s="8"/>
      <c r="G110" s="10"/>
      <c r="H110" s="25"/>
      <c r="I110" s="2"/>
      <c r="J110" s="2"/>
      <c r="K110" s="26"/>
      <c r="L110" s="23"/>
      <c r="M110" s="10"/>
      <c r="N110" s="5"/>
    </row>
    <row r="111" spans="1:14" ht="15.5" hidden="1" x14ac:dyDescent="0.35">
      <c r="A111" s="38" t="s">
        <v>84</v>
      </c>
      <c r="B111" s="23"/>
      <c r="C111" s="8"/>
      <c r="D111" s="8"/>
      <c r="E111" s="8"/>
      <c r="F111" s="8"/>
      <c r="G111" s="10"/>
      <c r="H111" s="25"/>
      <c r="I111" s="2"/>
      <c r="J111" s="2"/>
      <c r="K111" s="26"/>
      <c r="L111" s="23"/>
      <c r="M111" s="10"/>
      <c r="N111" s="5"/>
    </row>
    <row r="112" spans="1:14" ht="15.5" hidden="1" x14ac:dyDescent="0.35">
      <c r="A112" s="38" t="s">
        <v>86</v>
      </c>
      <c r="B112" s="23"/>
      <c r="C112" s="8"/>
      <c r="D112" s="8"/>
      <c r="E112" s="8"/>
      <c r="F112" s="8"/>
      <c r="G112" s="10"/>
      <c r="H112" s="25"/>
      <c r="I112" s="2"/>
      <c r="J112" s="2"/>
      <c r="K112" s="26"/>
      <c r="L112" s="23"/>
      <c r="M112" s="10"/>
      <c r="N112" s="5"/>
    </row>
    <row r="113" spans="1:14" ht="15.5" hidden="1" x14ac:dyDescent="0.35">
      <c r="A113" s="38" t="s">
        <v>88</v>
      </c>
      <c r="B113" s="23"/>
      <c r="C113" s="8"/>
      <c r="D113" s="8"/>
      <c r="E113" s="8"/>
      <c r="F113" s="8"/>
      <c r="G113" s="10"/>
      <c r="H113" s="25"/>
      <c r="I113" s="2"/>
      <c r="J113" s="2"/>
      <c r="K113" s="26"/>
      <c r="L113" s="23"/>
      <c r="M113" s="10"/>
      <c r="N113" s="5"/>
    </row>
    <row r="114" spans="1:14" ht="15.5" hidden="1" x14ac:dyDescent="0.35">
      <c r="A114" s="38" t="s">
        <v>90</v>
      </c>
      <c r="B114" s="23"/>
      <c r="C114" s="8"/>
      <c r="D114" s="8"/>
      <c r="E114" s="8"/>
      <c r="F114" s="8"/>
      <c r="G114" s="10"/>
      <c r="H114" s="25"/>
      <c r="I114" s="2"/>
      <c r="J114" s="2"/>
      <c r="K114" s="26"/>
      <c r="L114" s="23"/>
      <c r="M114" s="10"/>
      <c r="N114" s="5"/>
    </row>
    <row r="115" spans="1:14" ht="15.5" hidden="1" x14ac:dyDescent="0.35">
      <c r="A115" s="38" t="s">
        <v>92</v>
      </c>
      <c r="B115" s="23"/>
      <c r="C115" s="8"/>
      <c r="D115" s="8"/>
      <c r="E115" s="8"/>
      <c r="F115" s="8"/>
      <c r="G115" s="10"/>
      <c r="H115" s="25"/>
      <c r="I115" s="2"/>
      <c r="J115" s="2"/>
      <c r="K115" s="26"/>
      <c r="L115" s="23"/>
      <c r="M115" s="10"/>
      <c r="N115" s="5"/>
    </row>
    <row r="116" spans="1:14" ht="15.5" hidden="1" x14ac:dyDescent="0.35">
      <c r="A116" s="38" t="s">
        <v>94</v>
      </c>
      <c r="B116" s="23"/>
      <c r="C116" s="8"/>
      <c r="D116" s="8"/>
      <c r="E116" s="8"/>
      <c r="F116" s="8"/>
      <c r="G116" s="10"/>
      <c r="H116" s="25"/>
      <c r="I116" s="2"/>
      <c r="J116" s="2"/>
      <c r="K116" s="26"/>
      <c r="L116" s="23"/>
      <c r="M116" s="10"/>
      <c r="N116" s="5"/>
    </row>
    <row r="117" spans="1:14" ht="15.5" hidden="1" x14ac:dyDescent="0.35">
      <c r="A117" s="38" t="s">
        <v>96</v>
      </c>
      <c r="B117" s="23"/>
      <c r="C117" s="8"/>
      <c r="D117" s="8"/>
      <c r="E117" s="8"/>
      <c r="F117" s="8"/>
      <c r="G117" s="10"/>
      <c r="H117" s="25"/>
      <c r="I117" s="2"/>
      <c r="J117" s="2"/>
      <c r="K117" s="26"/>
      <c r="L117" s="23"/>
      <c r="M117" s="10"/>
      <c r="N117" s="5"/>
    </row>
    <row r="118" spans="1:14" ht="15.5" hidden="1" x14ac:dyDescent="0.35">
      <c r="A118" s="38" t="s">
        <v>98</v>
      </c>
      <c r="B118" s="23"/>
      <c r="C118" s="8"/>
      <c r="D118" s="8"/>
      <c r="E118" s="8"/>
      <c r="F118" s="8"/>
      <c r="G118" s="10"/>
      <c r="H118" s="25"/>
      <c r="I118" s="2"/>
      <c r="J118" s="2"/>
      <c r="K118" s="26"/>
      <c r="L118" s="23"/>
      <c r="M118" s="10"/>
      <c r="N118" s="5"/>
    </row>
    <row r="119" spans="1:14" ht="15.5" hidden="1" x14ac:dyDescent="0.35">
      <c r="A119" s="38" t="s">
        <v>100</v>
      </c>
      <c r="B119" s="23"/>
      <c r="C119" s="8"/>
      <c r="D119" s="8"/>
      <c r="E119" s="8"/>
      <c r="F119" s="8"/>
      <c r="G119" s="10"/>
      <c r="H119" s="25"/>
      <c r="I119" s="2"/>
      <c r="J119" s="2"/>
      <c r="K119" s="26"/>
      <c r="L119" s="23"/>
      <c r="M119" s="10"/>
      <c r="N119" s="5"/>
    </row>
    <row r="120" spans="1:14" ht="15.5" hidden="1" x14ac:dyDescent="0.35">
      <c r="A120" s="38" t="s">
        <v>102</v>
      </c>
      <c r="B120" s="23"/>
      <c r="C120" s="8"/>
      <c r="D120" s="8"/>
      <c r="E120" s="8"/>
      <c r="F120" s="8"/>
      <c r="G120" s="10"/>
      <c r="H120" s="25"/>
      <c r="I120" s="2"/>
      <c r="J120" s="2"/>
      <c r="K120" s="26"/>
      <c r="L120" s="23"/>
      <c r="M120" s="10"/>
      <c r="N120" s="5"/>
    </row>
    <row r="121" spans="1:14" ht="15.5" hidden="1" x14ac:dyDescent="0.35">
      <c r="A121" s="38" t="s">
        <v>104</v>
      </c>
      <c r="B121" s="23"/>
      <c r="C121" s="8"/>
      <c r="D121" s="8"/>
      <c r="E121" s="8"/>
      <c r="F121" s="8"/>
      <c r="G121" s="10"/>
      <c r="H121" s="24"/>
      <c r="I121" s="18"/>
      <c r="J121" s="18"/>
      <c r="K121" s="19"/>
      <c r="L121" s="23"/>
      <c r="M121" s="10"/>
      <c r="N121" s="5"/>
    </row>
    <row r="122" spans="1:14" ht="115.5" customHeight="1" x14ac:dyDescent="0.35">
      <c r="A122" s="23" t="s">
        <v>127</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128</v>
      </c>
      <c r="B124" s="2"/>
      <c r="C124" s="2"/>
      <c r="D124" s="2"/>
      <c r="E124" s="2"/>
      <c r="F124" s="2"/>
      <c r="G124" s="2"/>
      <c r="H124" s="2"/>
      <c r="I124" s="2"/>
      <c r="J124" s="2"/>
      <c r="K124" s="2"/>
      <c r="L124" s="2"/>
      <c r="M124" s="2"/>
      <c r="N124" s="30"/>
    </row>
    <row r="125" spans="1:14" ht="46.5" x14ac:dyDescent="0.35">
      <c r="A125" s="42" t="s">
        <v>129</v>
      </c>
      <c r="B125" s="43" t="s">
        <v>130</v>
      </c>
      <c r="C125" s="8"/>
      <c r="D125" s="8"/>
      <c r="E125" s="8"/>
      <c r="F125" s="8"/>
      <c r="G125" s="10"/>
      <c r="H125" s="43" t="s">
        <v>131</v>
      </c>
      <c r="I125" s="8"/>
      <c r="J125" s="8"/>
      <c r="K125" s="10"/>
      <c r="L125" s="44" t="s">
        <v>132</v>
      </c>
      <c r="M125" s="10"/>
      <c r="N125" s="5"/>
    </row>
    <row r="126" spans="1:14" ht="15.5" x14ac:dyDescent="0.35">
      <c r="A126" s="45" t="s">
        <v>133</v>
      </c>
      <c r="B126" s="46" t="s">
        <v>134</v>
      </c>
      <c r="C126" s="14"/>
      <c r="D126" s="14"/>
      <c r="E126" s="14"/>
      <c r="F126" s="14"/>
      <c r="G126" s="15"/>
      <c r="H126" s="47" t="s">
        <v>135</v>
      </c>
      <c r="I126" s="14"/>
      <c r="J126" s="14"/>
      <c r="K126" s="48" t="s">
        <v>136</v>
      </c>
      <c r="L126" s="49">
        <f>1-SUM(L129:M131)</f>
        <v>0.65</v>
      </c>
      <c r="M126" s="15"/>
      <c r="N126" s="5"/>
    </row>
    <row r="127" spans="1:14" ht="15.5" x14ac:dyDescent="0.35">
      <c r="A127" s="50"/>
      <c r="B127" s="25"/>
      <c r="C127" s="2"/>
      <c r="D127" s="2"/>
      <c r="E127" s="2"/>
      <c r="F127" s="2"/>
      <c r="G127" s="26"/>
      <c r="H127" s="24"/>
      <c r="I127" s="18"/>
      <c r="J127" s="18"/>
      <c r="K127" s="34"/>
      <c r="L127" s="25"/>
      <c r="M127" s="26"/>
      <c r="N127" s="5"/>
    </row>
    <row r="128" spans="1:14" ht="63" customHeight="1" x14ac:dyDescent="0.35">
      <c r="A128" s="34"/>
      <c r="B128" s="24"/>
      <c r="C128" s="18"/>
      <c r="D128" s="18"/>
      <c r="E128" s="18"/>
      <c r="F128" s="18"/>
      <c r="G128" s="19"/>
      <c r="H128" s="51" t="s">
        <v>137</v>
      </c>
      <c r="I128" s="8"/>
      <c r="J128" s="8"/>
      <c r="K128" s="52" t="s">
        <v>138</v>
      </c>
      <c r="L128" s="24"/>
      <c r="M128" s="19"/>
      <c r="N128" s="5"/>
    </row>
    <row r="129" spans="1:14" ht="68.25" hidden="1" customHeight="1" x14ac:dyDescent="0.35">
      <c r="A129" s="42" t="s">
        <v>139</v>
      </c>
      <c r="B129" s="51" t="s">
        <v>140</v>
      </c>
      <c r="C129" s="8"/>
      <c r="D129" s="8"/>
      <c r="E129" s="8"/>
      <c r="F129" s="8"/>
      <c r="G129" s="10"/>
      <c r="H129" s="51" t="s">
        <v>141</v>
      </c>
      <c r="I129" s="8"/>
      <c r="J129" s="8"/>
      <c r="K129" s="10"/>
      <c r="L129" s="53"/>
      <c r="M129" s="10"/>
      <c r="N129" s="5"/>
    </row>
    <row r="130" spans="1:14" ht="62" x14ac:dyDescent="0.35">
      <c r="A130" s="42" t="s">
        <v>142</v>
      </c>
      <c r="B130" s="51" t="s">
        <v>143</v>
      </c>
      <c r="C130" s="8"/>
      <c r="D130" s="8"/>
      <c r="E130" s="8"/>
      <c r="F130" s="8"/>
      <c r="G130" s="10"/>
      <c r="H130" s="51" t="s">
        <v>144</v>
      </c>
      <c r="I130" s="8"/>
      <c r="J130" s="8"/>
      <c r="K130" s="54" t="s">
        <v>145</v>
      </c>
      <c r="L130" s="53">
        <v>0.35</v>
      </c>
      <c r="M130" s="10"/>
      <c r="N130" s="5"/>
    </row>
    <row r="131" spans="1:14" ht="31" hidden="1" x14ac:dyDescent="0.35">
      <c r="A131" s="42" t="s">
        <v>146</v>
      </c>
      <c r="B131" s="55" t="s">
        <v>147</v>
      </c>
      <c r="C131" s="8"/>
      <c r="D131" s="8"/>
      <c r="E131" s="8"/>
      <c r="F131" s="8"/>
      <c r="G131" s="10"/>
      <c r="H131" s="51" t="s">
        <v>148</v>
      </c>
      <c r="I131" s="8"/>
      <c r="J131" s="8"/>
      <c r="K131" s="10"/>
      <c r="L131" s="53"/>
      <c r="M131" s="10"/>
      <c r="N131" s="5"/>
    </row>
    <row r="132" spans="1:14" ht="15.5" x14ac:dyDescent="0.35">
      <c r="A132" s="43" t="s">
        <v>149</v>
      </c>
      <c r="B132" s="8"/>
      <c r="C132" s="8"/>
      <c r="D132" s="8"/>
      <c r="E132" s="8"/>
      <c r="F132" s="8"/>
      <c r="G132" s="8"/>
      <c r="H132" s="8"/>
      <c r="I132" s="8"/>
      <c r="J132" s="8"/>
      <c r="K132" s="8"/>
      <c r="L132" s="8"/>
      <c r="M132" s="10"/>
      <c r="N132" s="5"/>
    </row>
    <row r="133" spans="1:14" ht="15.5" x14ac:dyDescent="0.35">
      <c r="A133" s="55" t="s">
        <v>150</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6" t="s">
        <v>151</v>
      </c>
      <c r="B135" s="10"/>
      <c r="C135" s="57">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6" t="s">
        <v>152</v>
      </c>
      <c r="B137" s="10"/>
      <c r="C137" s="9" t="str">
        <f>E15</f>
        <v>Conf.dr.ing. Radu MATEI</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8" t="s">
        <v>153</v>
      </c>
      <c r="B139" s="15"/>
      <c r="C139" s="9" t="str">
        <f t="shared" ref="C139:C141" si="0">E17</f>
        <v>Conf.dr.ing. Radu MATEI</v>
      </c>
      <c r="D139" s="8"/>
      <c r="E139" s="8"/>
      <c r="F139" s="8"/>
      <c r="G139" s="10"/>
      <c r="H139" s="9" t="str">
        <f t="shared" ref="H139:H141" si="1">E20</f>
        <v>Drd.ing. Andrei Iulian Iancu</v>
      </c>
      <c r="I139" s="8"/>
      <c r="J139" s="8"/>
      <c r="K139" s="8"/>
      <c r="L139" s="8"/>
      <c r="M139" s="10"/>
      <c r="N139" s="5"/>
    </row>
    <row r="140" spans="1:14" ht="32.25" customHeight="1" x14ac:dyDescent="0.35">
      <c r="A140" s="25"/>
      <c r="B140" s="26"/>
      <c r="C140" s="9" t="str">
        <f t="shared" si="0"/>
        <v>Drd.ing. Florian Alexandru Brașoveanu</v>
      </c>
      <c r="D140" s="8"/>
      <c r="E140" s="8"/>
      <c r="F140" s="8"/>
      <c r="G140" s="10"/>
      <c r="H140" s="9">
        <f t="shared" si="1"/>
        <v>0</v>
      </c>
      <c r="I140" s="8"/>
      <c r="J140" s="8"/>
      <c r="K140" s="8"/>
      <c r="L140" s="8"/>
      <c r="M140" s="10"/>
      <c r="N140" s="5"/>
    </row>
    <row r="141" spans="1:14" ht="32.25" customHeight="1" x14ac:dyDescent="0.35">
      <c r="A141" s="24"/>
      <c r="B141" s="19"/>
      <c r="C141" s="9" t="str">
        <f t="shared" si="0"/>
        <v>Drd. Ing. Tudor Andrei Paleu</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6" t="s">
        <v>154</v>
      </c>
      <c r="B143" s="10"/>
      <c r="C143" s="59">
        <f>[1]Date!C25</f>
        <v>45915</v>
      </c>
      <c r="D143" s="10"/>
      <c r="E143" s="56" t="s">
        <v>155</v>
      </c>
      <c r="F143" s="8"/>
      <c r="G143" s="10"/>
      <c r="H143" s="60" t="str">
        <f>[1]Date!C27</f>
        <v>Conf.dr.ing. Mihai POSTOLACHE</v>
      </c>
      <c r="I143" s="8"/>
      <c r="J143" s="8"/>
      <c r="K143" s="8"/>
      <c r="L143" s="8"/>
      <c r="M143" s="10"/>
      <c r="N143" s="5"/>
    </row>
    <row r="144" spans="1:14" ht="21.75" customHeight="1" x14ac:dyDescent="0.35">
      <c r="A144" s="61"/>
      <c r="B144" s="61"/>
      <c r="C144" s="62"/>
      <c r="D144" s="62"/>
      <c r="E144" s="61"/>
      <c r="F144" s="61"/>
      <c r="G144" s="61"/>
      <c r="H144" s="62"/>
      <c r="I144" s="62"/>
      <c r="J144" s="62"/>
      <c r="K144" s="62"/>
      <c r="L144" s="62"/>
      <c r="M144" s="62"/>
      <c r="N144" s="5"/>
    </row>
    <row r="145" spans="1:14" ht="28.5" customHeight="1" x14ac:dyDescent="0.35">
      <c r="A145" s="56" t="s">
        <v>156</v>
      </c>
      <c r="B145" s="10"/>
      <c r="C145" s="59">
        <f>[1]Date!C26</f>
        <v>45918</v>
      </c>
      <c r="D145" s="10"/>
      <c r="E145" s="56" t="s">
        <v>157</v>
      </c>
      <c r="F145" s="8"/>
      <c r="G145" s="10"/>
      <c r="H145" s="60" t="str">
        <f>[1]Date!C28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J130"/>
    <mergeCell ref="L130:M130"/>
    <mergeCell ref="B125:G125"/>
    <mergeCell ref="H125:K125"/>
    <mergeCell ref="L125:M125"/>
    <mergeCell ref="A126:A128"/>
    <mergeCell ref="B126:G128"/>
    <mergeCell ref="H126:J127"/>
    <mergeCell ref="K126:K127"/>
    <mergeCell ref="L126:M128"/>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2026-03-01T09:02:14Z</dcterms:created>
  <dcterms:modified xsi:type="dcterms:W3CDTF">2026-03-01T09:02:23Z</dcterms:modified>
</cp:coreProperties>
</file>