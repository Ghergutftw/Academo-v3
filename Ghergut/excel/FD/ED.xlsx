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1E729D0A-3DA5-40DF-8D9D-0BA893483A26}" xr6:coauthVersionLast="47" xr6:coauthVersionMax="47" xr10:uidLastSave="{00000000-0000-0000-0000-000000000000}"/>
  <bookViews>
    <workbookView xWindow="-110" yWindow="-110" windowWidth="25820" windowHeight="15500" xr2:uid="{00D06A6E-80F9-4140-9C4B-FF8AE933D35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13" i="1" l="1" a="1"/>
  <c r="E13" i="1" s="1"/>
  <c r="G26" i="1" a="1"/>
  <c r="G26" i="1" s="1"/>
  <c r="G27" i="1" s="1"/>
  <c r="E14" i="1" a="1"/>
  <c r="E14" i="1" s="1"/>
  <c r="I26" i="1" a="1"/>
  <c r="I26" i="1" s="1"/>
  <c r="I27" i="1" s="1"/>
  <c r="C36" i="1" a="1"/>
  <c r="C36" i="1" s="1"/>
  <c r="E23" i="1" a="1"/>
  <c r="E23" i="1" s="1"/>
  <c r="I23" i="1" a="1"/>
  <c r="I23" i="1" s="1"/>
  <c r="M14" i="1" a="1"/>
  <c r="M14" i="1" s="1"/>
  <c r="M23" i="1" a="1"/>
  <c r="M23" i="1" s="1"/>
  <c r="M32" i="1" a="1"/>
  <c r="M32" i="1" s="1"/>
  <c r="E26" i="1" a="1"/>
  <c r="E26" i="1" s="1"/>
  <c r="C34" i="1" a="1"/>
  <c r="C34" i="1" s="1"/>
  <c r="M33" i="1" s="1"/>
  <c r="K26" i="1" a="1"/>
  <c r="K26" i="1" s="1"/>
  <c r="K27"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BDAD4D7A-0B50-465B-A2D0-6323883F98E0}">
      <text>
        <r>
          <rPr>
            <sz val="10"/>
            <color rgb="FF000000"/>
            <rFont val="Aptos Narrow"/>
            <scheme val="minor"/>
          </rPr>
          <t>Pondere din nota de la E / V</t>
        </r>
      </text>
    </comment>
    <comment ref="K127" authorId="0" shapeId="0" xr:uid="{71CFC18E-01D1-4AA8-8FEC-27464A01B125}">
      <text>
        <r>
          <rPr>
            <sz val="10"/>
            <color rgb="FF000000"/>
            <rFont val="Aptos Narrow"/>
            <scheme val="minor"/>
          </rPr>
          <t>Pondere din nota de la E / V</t>
        </r>
      </text>
    </comment>
    <comment ref="K128" authorId="0" shapeId="0" xr:uid="{7C61AE9E-EF7C-41C6-AD99-85D5A9C7848B}">
      <text>
        <r>
          <rPr>
            <sz val="10"/>
            <color rgb="FF000000"/>
            <rFont val="Aptos Narrow"/>
            <scheme val="minor"/>
          </rPr>
          <t>Pondere din nota de la E / V</t>
        </r>
      </text>
    </comment>
  </commentList>
</comments>
</file>

<file path=xl/sharedStrings.xml><?xml version="1.0" encoding="utf-8"?>
<sst xmlns="http://schemas.openxmlformats.org/spreadsheetml/2006/main" count="234" uniqueCount="157">
  <si>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</si>
  <si>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</si>
  <si>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</si>
  <si>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</si>
  <si>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</si>
  <si>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</si>
  <si>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</si>
  <si>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</si>
  <si>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</si>
  <si>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</si>
  <si>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</si>
  <si>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</si>
  <si>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</si>
  <si>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Electronică digitală</t>
  </si>
  <si>
    <t>(în limba engleză, conform Suplimentului la diplomă)</t>
  </si>
  <si>
    <t>2.1.2. Codul disciplinei</t>
  </si>
  <si>
    <t xml:space="preserve">2.1.3. Categoria formativă </t>
  </si>
  <si>
    <t>2.2 Titularul / titularii activităţilor de curs</t>
  </si>
  <si>
    <t>Conf.dr.ing. Radu MATEI</t>
  </si>
  <si>
    <t>2.3 Titularul / titularii activităţilor de aplicaţii (S, L, P, Pr)</t>
  </si>
  <si>
    <t>Drd.ing. Florian Alexandru Brașoveanu</t>
  </si>
  <si>
    <t>Ing. Alexandru Flavius Buruiană</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</si>
  <si>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</si>
  <si>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</si>
  <si>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</si>
  <si>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</si>
  <si>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</si>
  <si>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</si>
  <si>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</si>
  <si>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</si>
  <si>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</si>
  <si>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</si>
  <si>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</si>
  <si>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</si>
  <si>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</si>
  <si>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</si>
  <si>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</si>
  <si>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</si>
  <si>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</si>
  <si>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</si>
  <si>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</si>
  <si>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</si>
  <si>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</si>
  <si>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</si>
  <si>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</si>
  <si>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</si>
  <si>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</si>
  <si>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</si>
  <si>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</si>
  <si>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</si>
  <si>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</si>
  <si>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</si>
  <si>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</si>
  <si>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Studentul cunoaste notiunile de baza privind dispozitivele electronice si circuitele electronice analogice.</t>
  </si>
  <si>
    <t>5. Condiţii</t>
  </si>
  <si>
    <t>5.1 de desfăşurare a cursului</t>
  </si>
  <si>
    <t>Cursul se desfasoara intr-o sala echipata cu tabla (whiteboard) si videoproiector.</t>
  </si>
  <si>
    <t>5.2 de desfăşurare a seminarului / laboratorului / proiectului</t>
  </si>
  <si>
    <t>Laboratorul se desfasoara intr-o sala echipata cu retea de calculatoare.</t>
  </si>
  <si>
    <t>6. Obiectivul general al disciplinei</t>
  </si>
  <si>
    <t>Disciplina "Electronica digitala" prezinta notiunile fundamentale legate de sisteme de numeratie si conversia acestora, portile logice si structura lor de circuit in diverse tehnologii, parametrii si performantele portilor logice, circuite logice combinationale si secventiale si aplicatii ale acestora, memorii semiconductoare, circuite de conversia datelor A/N si N/A etc.</t>
  </si>
  <si>
    <t>7. Rezultatele învățării</t>
  </si>
  <si>
    <t>Cunoștințe</t>
  </si>
  <si>
    <t>Studentul / Absolventul:</t>
  </si>
  <si>
    <t>- explică etapele de analiza ale unui circuit electric, elemente de conectivitate și hardware folosite și semnale electrice, pentru circuite analogice elementare (filtre RC)
- enunta corect regulile si teoremele algebrei Boole, operatia de minimizare a functiilor logice aplicand regulile algebrei booleene si metodele grafice (diagrama Veitch-Karnaugh)
- descrie modurile de functionare ale portilor logice discrete si tipurile de functii logice cu 2 sau mai multe intrari, interpreteaza si rezuma simbolistica portilor logice si fenomenele electrice din circuit, precum si caracteristicile de transfer si comutatie.
- descrie functionarea la nivel de tranzistor a circuitelor logice in tehnologie TTL, Schottky TTL, NMOS, CMOS, BiCMOS, ECL, I2L prin intelegerea fenomenelor electrice si a caracteristiclor de transfer.
- descrie functionarea portilor TTL la nivel de tranzistor, caracteristicile de transferi si factorii de amplificare.                                                                                                                                                                                  -  interpreteaza functionalitatile tranzitoarelor MOS si a caracteristicilor de tranfer si amplificare, si proiectarea portilor cu tranzistoare cMOS.
- descrie functionarea circuitelor combinationale de diverse tipuri, utilizand algebra booleana
- rezuma principalele tipuri de circuite aritmetice, structura si sinteza acestora.
- deduce constructia si functionarea circuitelor logice programabile de tip PAL, LUT si FPGA, arhitecturi ale acestora si modul de utilizare si implementare.
- descrie functionarea circuitelor basculante bistabile de diverse tipuri si alegerea lor corecta in functie de aplicatie
- descrie functionarea diverselor circuite digitale secventiale, stiind sa le utilizeze corect in functie de aplicatie 
- descrie functionarea automatelor cu stari finite in diverse configuratii
- explica procesul de cuantizare, caracteristicile de transfer si erorile convertoarelor ; A/N si N/A  
- prezinta principiile functionare ale diverselor tipuri de convertoare A/N si N/A</t>
  </si>
  <si>
    <t>Aptitudini</t>
  </si>
  <si>
    <t>- converteste corect numerele dintr-o baza de numeratie (zecimal, binar, hexazecimal) in alta;
- aplica corect regulile si teoremele algebrei Boole;
- minimizeaza corect functiile logice aplicand regulile algebrei booleene si metodele grafice (diagrama Veitch-Karnaugh);
- deseneaza corect structura unui circuit logic combinational pornind de la expresia minimizata a functiei logice ;     
- alege structura optima a unui circuit combinational pentru o aplicatie concreta, in functie de avantajele si dezavantajele structurilor existente si alte restrictii impuse;
- proiecteaza structura unui circuit combinational simplu
- alege varianta optima a unui convertor A/N sau N/A in functie de aplicatie</t>
  </si>
  <si>
    <t>Responsabilitate și autonomie</t>
  </si>
  <si>
    <t>- asumă responsabilitatea pentru dezvoltarea și testarea unor circuite digitale conforme cu specificațiile
- organizează și gestionează etapele unui proiect de sinteză digitală, respectând termenele și standardele tehnice
- colaborează eficient în echipă și lucrează individual pentru rezolvarea sarcinilor de laborator și/sau proiect
- demonstrează autonomie în procesul de învățare și se adaptează la tehnologii și instrumente de proiectare emergente</t>
  </si>
  <si>
    <t xml:space="preserve">8. Metode de predare </t>
  </si>
  <si>
    <t>Prezentarea cursului cu ajutorul videoproiectorului, rezolvarea la tablă a unor mici probleme si aplicatii legate de cursul predat, facand apel si la noţiunile cunoscute de la discipline din anul anterior (in special dispozitivele si circuitele electronice analogice).
Expunere interactiva, stimularea unui dialog permanent cu studenţii pe durata expunerii, ca o modalitate eficienta de fixare a informaţiilor transmise la curs.</t>
  </si>
  <si>
    <t>9. Conţinuturi</t>
  </si>
  <si>
    <t>9.1. Curs</t>
  </si>
  <si>
    <t>Metode de predare</t>
  </si>
  <si>
    <t>Timp alocat</t>
  </si>
  <si>
    <t>1</t>
  </si>
  <si>
    <t>Generalitati privind circuitele digitale. Circuite RC si filtre de semnal (functionarea circuitelor elementare RC si analiza acestora in domeniul operational, circuite de integrare si derivare).</t>
  </si>
  <si>
    <t>Cursul este prezentat in principal pe videoproiector, materia fiind bine structurata pe capitole. Unele mici probleme de calcul sau alte aplicatii se realizeaza la tabla. Continutul disciplinei se bazeaza pe dispozitivele studiate in anul anterior la disciplina Circuite Electronice Analogice.
Se urmareste si stimularea unui dialog permanent cu studenţii, ca o modalitate de fixare a informaţiilor transmise în cadrul prelegerii.</t>
  </si>
  <si>
    <t>2 ore</t>
  </si>
  <si>
    <t>2</t>
  </si>
  <si>
    <t>Algebra Boole, operatori booleeni, teoreme. Sisteme de numeratie, conversia unui numar intre baze de numeratie</t>
  </si>
  <si>
    <t>3</t>
  </si>
  <si>
    <t>Porti logice (NOT, AND, OR, NAND, NOR); performantele si parametrii portilor logice (timp de propagare, margine de zgomot, imunitate la perturbatii); hazard combinational</t>
  </si>
  <si>
    <t>4</t>
  </si>
  <si>
    <t>Tehnologii de realizare a porților logice: TTL, Schottky TTL, NMOS, CMOS, BiCMOS, ECL, I2L. Functionarea la nivel de tranzistor</t>
  </si>
  <si>
    <t>5</t>
  </si>
  <si>
    <t>Circuite logice TTL (constructie si functionare, poarta TTL standard, caracteristici si parametri, nivele logice si amplificare, timp de propagare, TTL Schottky, tipuri de porti TTL, porti logice).</t>
  </si>
  <si>
    <t>6</t>
  </si>
  <si>
    <t>Inversorul CMOS - functionare, caracteristici, proprietati; calculul tensiunii de prag logic, margine de zgomot etc.; dimensionarea inversorului CMOS.                Porti logice (NAND, NOR) in tehnologie CMOS - functionare, caracteristici, proprietati; calculul tensiunii de prag logic, margine de zgomot etc.;</t>
  </si>
  <si>
    <t>7</t>
  </si>
  <si>
    <t xml:space="preserve">Circuite combinaționale: decodificatoare/demultiplexoare, codificatoare/multiplexoare; convertoare de cod si generatoare de paritate;
circuite de afișare cu 7 segmente, comparatoare digitale. </t>
  </si>
  <si>
    <t>8</t>
  </si>
  <si>
    <t>Circuite aritmetice: sumatorul pe jumătate, sumatorul întreg, sumatorul pe 4 biți, sumatoare cu transport anticipat, scăzător pe 2 biți, sumatoare scăzătoare in cod BCD, circuite de înmulțire/divizare</t>
  </si>
  <si>
    <t>9</t>
  </si>
  <si>
    <t>Arii logice programabile, memorii. Structuri Logice Programabile (PAL combinational, PAL versatil, circuite FPGA, circuite LUT, arhitectura FPGA)</t>
  </si>
  <si>
    <t>10</t>
  </si>
  <si>
    <t>Circuite basculante bistabile (bistabile cu tranzistoare npn si cMOS, RS, JK, latch, D, T, sincrone si asincrone, conversii de bistabile, master-slave ).</t>
  </si>
  <si>
    <t>11</t>
  </si>
  <si>
    <t>Circuite integrate secvențiale: registre, numărătoare asincrone, numărătoare sincrone</t>
  </si>
  <si>
    <t>12</t>
  </si>
  <si>
    <t>Automate Mealy și Moore</t>
  </si>
  <si>
    <t>13</t>
  </si>
  <si>
    <t>Interfațarea intre circuite digitale si circuite analogice. Codificare, cuantizare, caracteristici de transfer si erori ale convertoarelor ; A/N si N/A</t>
  </si>
  <si>
    <t>14</t>
  </si>
  <si>
    <t>Convertoare analog-numerice (A/N) si convertoare numeric-analogice (N/A)</t>
  </si>
  <si>
    <t>Bibliografie curs:
1.        T. Floyd, Digital Fundamentals, Prentice Hall, 2006.
2.        M. Morris Mano, M. D. Ciletti, Digital Design, Pearson Education, 4th edition, 2008.
3.        R. F. Tinder, Engineering Digital Design, Academic Press, 2000.
4.        J.F. Wakerly, Digital Design Principles and Practices, Pearson Education, 4th edition, 2006.
5.        W. Jung, Op Amp Applications Handbook – Analog Device, Elsevier, 2005.</t>
  </si>
  <si>
    <t>9.2a Seminar</t>
  </si>
  <si>
    <t>Metode de lucru</t>
  </si>
  <si>
    <t>9.2b Laborator</t>
  </si>
  <si>
    <t>Prezentarea echipamentelor si programelor software din laborator. Circuite formatoare de impulsuri, realizate cu tranzistoare și elemente pasive (circuite RC de integrare si derivare, circuite fromatoare de impulsuri  realizate cu tranzitoare bipolare).</t>
  </si>
  <si>
    <t>Prezentarea pe scurt a aspectelor teoretice, utile pentru desfasurarea lucrarii de laborator.
Implementarea si simularea într-un software dedicat a diverselor circuite digitale.</t>
  </si>
  <si>
    <t>Tranzistorul bipolar in regim de comutator de tensiune (caracteristica de comutație a tranzistorului bipolar, Întârzierile tranzistorului bipolar in regim de comutație, comparație intre poarta DTL și TTL, caracteristica porții TTL standard)</t>
  </si>
  <si>
    <t>Porți logice TTL (caracteristica porții TTL standard, tipuri de porți logice TTL,  porți logice pentru magistrale, poarta cu Trigger Schmitt)</t>
  </si>
  <si>
    <t>Porți logice în tehnologie Schottky TTL (Tranzistorul Schottky în regim dinamic, Poarta Schottky TTL standard (74SXX), Poarta Low Power Schottky TTL (74LSXX), Poarta Advanced Low Power Schottky TTL (74ALSXX), Poarta Advanced Schottky TTL (74ASXX)).</t>
  </si>
  <si>
    <t>Porți logice în tehnologiile I2L (Poarta Direct Coupled Transistor Logic; Efectul de „hogging current”, funcționarea și caracteristica de transfer a porții logice I2L).</t>
  </si>
  <si>
    <t>Porți logice în tehnologie MOS și BiCMOS (Caracteristica tranzistoarelor NMOS si PMOS, Poarta logica NMOS, Poarta logica pseudo-NMOS,  Implementarea funcțiilor logice NMOS,Poarta logica CMOS, Poarta CMOS dinamica, Porți logice in tehnologie BiCMOS).</t>
  </si>
  <si>
    <t>Circuite basculante cu bistabile (Bistabil RS sincron / asincron, Bistabilul D,Bistabil JK sincron / asincron, Bistabil T, RS Master-Slave, JK Master-Slave)</t>
  </si>
  <si>
    <t xml:space="preserve">Aplicații de sinteza a circuitelor combinaționale cu: porți logice, decodificatoare si multiplexoare. </t>
  </si>
  <si>
    <t>Analiza si simularea unor circuite aritmetice (sumatoare)</t>
  </si>
  <si>
    <t>Aplicații cu registre digitale și numărătoare asincrone; numărător in inel, numărător Johnson. Aplicații cu numărătoare sincrone.</t>
  </si>
  <si>
    <t>Sinteza automatelor cu stari finite utilizand circuite logice combinationale (Realizarea detectoarelor de secventa, Realizarea numaratoarelor specializate, Sinteza prin multiplexoare si demultiplexoare, Sinteza prin bistabile).</t>
  </si>
  <si>
    <t>Analiza convertoarelor digital analogice (DAC): DAC cu amplificator sumator, DAC cu rețea in scara R-2R.</t>
  </si>
  <si>
    <t>Analiza convertoarelor analog - numerice (ADC): ADC paralel, ADC cu rampa digitala, ADC cu aproximații succesive.</t>
  </si>
  <si>
    <t>Test practic de laborator</t>
  </si>
  <si>
    <t>9.2c Proiect</t>
  </si>
  <si>
    <t xml:space="preserve">Bibliografie aplicaţii (seminar / laborator / proiect):
1. Micro-Cap 11 Electronic Circuit Analysis Program, User’s Guide, Copyright 1982-2014 by Spectrum Software
2. Micro-Cap 11 Electronic Circuit Analysis Program, Reference Manual, Copyright 1982-2014 by Spectrum Software
3. W. Jung, Op Amp Applications Handbook – Analog Device, Elsevier, 2005.
4. S. Kang, Y. Leblebici, CMOS Digital Integrated Circuits, 3rd Edition, 2002.
5. Texas Instruments,  Principles of Data Acquisition and Conversion. 2015.
6. Thomas C. Hayes, Paul Horowitz, Learning the Art of Electronics: A Hands-On Lab Course, Cambridge Univ. Press,2016
</t>
  </si>
  <si>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</si>
  <si>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</si>
  <si>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</si>
  <si>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</si>
  <si>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</si>
  <si>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</si>
  <si>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rezolva problemele enunțate.</t>
  </si>
  <si>
    <t>Teste pe parcurs</t>
  </si>
  <si>
    <t>20%</t>
  </si>
  <si>
    <t>Teme de casa (referate)</t>
  </si>
  <si>
    <t>15%</t>
  </si>
  <si>
    <t>Evaluare finala (examen). Lucrare scrisă cu durata de 3h. Studenţii nu au acces la material documentar</t>
  </si>
  <si>
    <t>65%</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</si>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</sst>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CC65-BF4A-47A3-83FB-42B606ABDE8C}">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Digital Electronics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AIA204</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2</v>
      </c>
      <c r="D23" s="28" t="s">
        <v>23</v>
      </c>
      <c r="E23" s="27">
        <f t="array" aca="1" ref="E23" ca="1">INDEX([1]Date!A8:A21, MATCH(E12,[1]Date!C8:C21,0),0)</f>
        <v>1</v>
      </c>
      <c r="F23" s="29" t="s">
        <v>24</v>
      </c>
      <c r="G23" s="8"/>
      <c r="H23" s="10"/>
      <c r="I23" s="22" t="str">
        <f t="array" aca="1" ref="I23" ca="1">INDEX([1]Date!M8:M21, MATCH(E12,[1]Date!C8:C21,0),0)</f>
        <v>C</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INDEX([1]Date!H8:H21, MATCH(E12,[1]Date!C8:C21,0),0)</f>
        <v>2</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20</v>
      </c>
      <c r="N29" s="5"/>
    </row>
    <row r="30" spans="1:14" ht="15.5" x14ac:dyDescent="0.35">
      <c r="A30" s="7" t="s">
        <v>42</v>
      </c>
      <c r="B30" s="8"/>
      <c r="C30" s="8"/>
      <c r="D30" s="8"/>
      <c r="E30" s="8"/>
      <c r="F30" s="8"/>
      <c r="G30" s="8"/>
      <c r="H30" s="8"/>
      <c r="I30" s="8"/>
      <c r="J30" s="8"/>
      <c r="K30" s="8"/>
      <c r="L30" s="10"/>
      <c r="M30" s="32">
        <v>10</v>
      </c>
      <c r="N30" s="5"/>
    </row>
    <row r="31" spans="1:14" ht="15.5" x14ac:dyDescent="0.35">
      <c r="A31" s="7" t="s">
        <v>43</v>
      </c>
      <c r="B31" s="8"/>
      <c r="C31" s="8"/>
      <c r="D31" s="8"/>
      <c r="E31" s="8"/>
      <c r="F31" s="8"/>
      <c r="G31" s="8"/>
      <c r="H31" s="8"/>
      <c r="I31" s="8"/>
      <c r="J31" s="8"/>
      <c r="K31" s="8"/>
      <c r="L31" s="10"/>
      <c r="M31" s="32">
        <v>14</v>
      </c>
      <c r="N31" s="5"/>
    </row>
    <row r="32" spans="1:14" ht="15.5" x14ac:dyDescent="0.35">
      <c r="A32" s="7" t="s">
        <v>44</v>
      </c>
      <c r="B32" s="8"/>
      <c r="C32" s="8"/>
      <c r="D32" s="8"/>
      <c r="E32" s="8"/>
      <c r="F32" s="8"/>
      <c r="G32" s="8"/>
      <c r="H32" s="8"/>
      <c r="I32" s="8"/>
      <c r="J32" s="8"/>
      <c r="K32" s="8"/>
      <c r="L32" s="10"/>
      <c r="M32" s="27">
        <f t="array" aca="1" ref="M32" ca="1">IF(INDEX([1]Date!M8:M21, MATCH(E12,[1]Date!C8:C21,0),0)="E",3,0)</f>
        <v>0</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44</v>
      </c>
      <c r="D34" s="5"/>
      <c r="E34" s="5"/>
      <c r="F34" s="5"/>
      <c r="G34" s="5"/>
      <c r="H34" s="5"/>
      <c r="I34" s="5"/>
      <c r="J34" s="5"/>
      <c r="K34" s="5"/>
      <c r="L34" s="5"/>
      <c r="M34" s="5"/>
      <c r="N34" s="5"/>
    </row>
    <row r="35" spans="1:14" ht="15.5" x14ac:dyDescent="0.35">
      <c r="A35" s="7" t="s">
        <v>47</v>
      </c>
      <c r="B35" s="10"/>
      <c r="C35" s="27">
        <f ca="1">C27+M32+C34</f>
        <v>100</v>
      </c>
      <c r="D35" s="5"/>
      <c r="E35" s="5"/>
      <c r="F35" s="5"/>
      <c r="G35" s="5"/>
      <c r="H35" s="5"/>
      <c r="I35" s="5"/>
      <c r="J35" s="5"/>
      <c r="K35" s="5"/>
      <c r="L35" s="5"/>
      <c r="M35" s="5"/>
      <c r="N35" s="5"/>
    </row>
    <row r="36" spans="1:14" ht="15.5" x14ac:dyDescent="0.35">
      <c r="A36" s="7" t="s">
        <v>48</v>
      </c>
      <c r="B36" s="10"/>
      <c r="C36" s="27">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t="s">
        <v>77</v>
      </c>
      <c r="I62" s="14"/>
      <c r="J62" s="14"/>
      <c r="K62" s="15"/>
      <c r="L62" s="41" t="s">
        <v>78</v>
      </c>
      <c r="M62" s="10"/>
      <c r="N62" s="5"/>
    </row>
    <row r="63" spans="1:14" ht="15.5" x14ac:dyDescent="0.35">
      <c r="A63" s="39" t="s">
        <v>79</v>
      </c>
      <c r="B63" s="23" t="s">
        <v>80</v>
      </c>
      <c r="C63" s="8"/>
      <c r="D63" s="8"/>
      <c r="E63" s="8"/>
      <c r="F63" s="8"/>
      <c r="G63" s="10"/>
      <c r="H63" s="25"/>
      <c r="I63" s="2"/>
      <c r="J63" s="2"/>
      <c r="K63" s="26"/>
      <c r="L63" s="41" t="s">
        <v>78</v>
      </c>
      <c r="M63" s="10"/>
      <c r="N63" s="5"/>
    </row>
    <row r="64" spans="1:14" ht="15.5" x14ac:dyDescent="0.35">
      <c r="A64" s="39" t="s">
        <v>81</v>
      </c>
      <c r="B64" s="23" t="s">
        <v>82</v>
      </c>
      <c r="C64" s="8"/>
      <c r="D64" s="8"/>
      <c r="E64" s="8"/>
      <c r="F64" s="8"/>
      <c r="G64" s="10"/>
      <c r="H64" s="25"/>
      <c r="I64" s="2"/>
      <c r="J64" s="2"/>
      <c r="K64" s="26"/>
      <c r="L64" s="41" t="s">
        <v>78</v>
      </c>
      <c r="M64" s="10"/>
      <c r="N64" s="5"/>
    </row>
    <row r="65" spans="1:14" ht="15.5" x14ac:dyDescent="0.35">
      <c r="A65" s="39" t="s">
        <v>83</v>
      </c>
      <c r="B65" s="23" t="s">
        <v>84</v>
      </c>
      <c r="C65" s="8"/>
      <c r="D65" s="8"/>
      <c r="E65" s="8"/>
      <c r="F65" s="8"/>
      <c r="G65" s="10"/>
      <c r="H65" s="25"/>
      <c r="I65" s="2"/>
      <c r="J65" s="2"/>
      <c r="K65" s="26"/>
      <c r="L65" s="41" t="s">
        <v>78</v>
      </c>
      <c r="M65" s="10"/>
      <c r="N65" s="5"/>
    </row>
    <row r="66" spans="1:14" ht="15.5" x14ac:dyDescent="0.35">
      <c r="A66" s="39" t="s">
        <v>85</v>
      </c>
      <c r="B66" s="23" t="s">
        <v>86</v>
      </c>
      <c r="C66" s="8"/>
      <c r="D66" s="8"/>
      <c r="E66" s="8"/>
      <c r="F66" s="8"/>
      <c r="G66" s="10"/>
      <c r="H66" s="25"/>
      <c r="I66" s="2"/>
      <c r="J66" s="2"/>
      <c r="K66" s="26"/>
      <c r="L66" s="41" t="s">
        <v>78</v>
      </c>
      <c r="M66" s="10"/>
      <c r="N66" s="5"/>
    </row>
    <row r="67" spans="1:14" ht="15.5" x14ac:dyDescent="0.35">
      <c r="A67" s="39" t="s">
        <v>87</v>
      </c>
      <c r="B67" s="23" t="s">
        <v>88</v>
      </c>
      <c r="C67" s="8"/>
      <c r="D67" s="8"/>
      <c r="E67" s="8"/>
      <c r="F67" s="8"/>
      <c r="G67" s="10"/>
      <c r="H67" s="25"/>
      <c r="I67" s="2"/>
      <c r="J67" s="2"/>
      <c r="K67" s="26"/>
      <c r="L67" s="41" t="s">
        <v>78</v>
      </c>
      <c r="M67" s="10"/>
      <c r="N67" s="5"/>
    </row>
    <row r="68" spans="1:14" ht="15.5" x14ac:dyDescent="0.35">
      <c r="A68" s="39" t="s">
        <v>89</v>
      </c>
      <c r="B68" s="23" t="s">
        <v>90</v>
      </c>
      <c r="C68" s="8"/>
      <c r="D68" s="8"/>
      <c r="E68" s="8"/>
      <c r="F68" s="8"/>
      <c r="G68" s="10"/>
      <c r="H68" s="25"/>
      <c r="I68" s="2"/>
      <c r="J68" s="2"/>
      <c r="K68" s="26"/>
      <c r="L68" s="41" t="s">
        <v>78</v>
      </c>
      <c r="M68" s="10"/>
      <c r="N68" s="5"/>
    </row>
    <row r="69" spans="1:14" ht="15.5" x14ac:dyDescent="0.35">
      <c r="A69" s="39" t="s">
        <v>91</v>
      </c>
      <c r="B69" s="23" t="s">
        <v>92</v>
      </c>
      <c r="C69" s="8"/>
      <c r="D69" s="8"/>
      <c r="E69" s="8"/>
      <c r="F69" s="8"/>
      <c r="G69" s="10"/>
      <c r="H69" s="25"/>
      <c r="I69" s="2"/>
      <c r="J69" s="2"/>
      <c r="K69" s="26"/>
      <c r="L69" s="41" t="s">
        <v>78</v>
      </c>
      <c r="M69" s="10"/>
      <c r="N69" s="5"/>
    </row>
    <row r="70" spans="1:14" ht="15.5" x14ac:dyDescent="0.35">
      <c r="A70" s="39" t="s">
        <v>93</v>
      </c>
      <c r="B70" s="23" t="s">
        <v>94</v>
      </c>
      <c r="C70" s="8"/>
      <c r="D70" s="8"/>
      <c r="E70" s="8"/>
      <c r="F70" s="8"/>
      <c r="G70" s="10"/>
      <c r="H70" s="25"/>
      <c r="I70" s="2"/>
      <c r="J70" s="2"/>
      <c r="K70" s="26"/>
      <c r="L70" s="41" t="s">
        <v>78</v>
      </c>
      <c r="M70" s="10"/>
      <c r="N70" s="5"/>
    </row>
    <row r="71" spans="1:14" ht="15.5" x14ac:dyDescent="0.35">
      <c r="A71" s="39" t="s">
        <v>95</v>
      </c>
      <c r="B71" s="23" t="s">
        <v>96</v>
      </c>
      <c r="C71" s="8"/>
      <c r="D71" s="8"/>
      <c r="E71" s="8"/>
      <c r="F71" s="8"/>
      <c r="G71" s="10"/>
      <c r="H71" s="25"/>
      <c r="I71" s="2"/>
      <c r="J71" s="2"/>
      <c r="K71" s="26"/>
      <c r="L71" s="41" t="s">
        <v>78</v>
      </c>
      <c r="M71" s="10"/>
      <c r="N71" s="5"/>
    </row>
    <row r="72" spans="1:14" ht="15.5" x14ac:dyDescent="0.35">
      <c r="A72" s="39" t="s">
        <v>97</v>
      </c>
      <c r="B72" s="23" t="s">
        <v>98</v>
      </c>
      <c r="C72" s="8"/>
      <c r="D72" s="8"/>
      <c r="E72" s="8"/>
      <c r="F72" s="8"/>
      <c r="G72" s="10"/>
      <c r="H72" s="25"/>
      <c r="I72" s="2"/>
      <c r="J72" s="2"/>
      <c r="K72" s="26"/>
      <c r="L72" s="41" t="s">
        <v>78</v>
      </c>
      <c r="M72" s="10"/>
      <c r="N72" s="5"/>
    </row>
    <row r="73" spans="1:14" ht="15.5" x14ac:dyDescent="0.35">
      <c r="A73" s="39" t="s">
        <v>99</v>
      </c>
      <c r="B73" s="23" t="s">
        <v>100</v>
      </c>
      <c r="C73" s="8"/>
      <c r="D73" s="8"/>
      <c r="E73" s="8"/>
      <c r="F73" s="8"/>
      <c r="G73" s="10"/>
      <c r="H73" s="25"/>
      <c r="I73" s="2"/>
      <c r="J73" s="2"/>
      <c r="K73" s="26"/>
      <c r="L73" s="41" t="s">
        <v>78</v>
      </c>
      <c r="M73" s="10"/>
      <c r="N73" s="5"/>
    </row>
    <row r="74" spans="1:14" ht="15.5" x14ac:dyDescent="0.35">
      <c r="A74" s="39" t="s">
        <v>101</v>
      </c>
      <c r="B74" s="23" t="s">
        <v>102</v>
      </c>
      <c r="C74" s="8"/>
      <c r="D74" s="8"/>
      <c r="E74" s="8"/>
      <c r="F74" s="8"/>
      <c r="G74" s="10"/>
      <c r="H74" s="25"/>
      <c r="I74" s="2"/>
      <c r="J74" s="2"/>
      <c r="K74" s="26"/>
      <c r="L74" s="41" t="s">
        <v>78</v>
      </c>
      <c r="M74" s="10"/>
      <c r="N74" s="5"/>
    </row>
    <row r="75" spans="1:14" ht="15.5" x14ac:dyDescent="0.35">
      <c r="A75" s="39" t="s">
        <v>103</v>
      </c>
      <c r="B75" s="23" t="s">
        <v>104</v>
      </c>
      <c r="C75" s="8"/>
      <c r="D75" s="8"/>
      <c r="E75" s="8"/>
      <c r="F75" s="8"/>
      <c r="G75" s="10"/>
      <c r="H75" s="24"/>
      <c r="I75" s="18"/>
      <c r="J75" s="18"/>
      <c r="K75" s="19"/>
      <c r="L75" s="41" t="s">
        <v>78</v>
      </c>
      <c r="M75" s="10"/>
      <c r="N75" s="5"/>
    </row>
    <row r="76" spans="1:14" ht="15.5" x14ac:dyDescent="0.35">
      <c r="A76" s="37" t="s">
        <v>105</v>
      </c>
      <c r="B76" s="8"/>
      <c r="C76" s="8"/>
      <c r="D76" s="8"/>
      <c r="E76" s="8"/>
      <c r="F76" s="8"/>
      <c r="G76" s="8"/>
      <c r="H76" s="8"/>
      <c r="I76" s="8"/>
      <c r="J76" s="8"/>
      <c r="K76" s="8"/>
      <c r="L76" s="8"/>
      <c r="M76" s="10"/>
      <c r="N76" s="5"/>
    </row>
    <row r="77" spans="1:14" ht="24.75" hidden="1" customHeight="1" x14ac:dyDescent="0.35">
      <c r="A77" s="38" t="s">
        <v>106</v>
      </c>
      <c r="B77" s="8"/>
      <c r="C77" s="8"/>
      <c r="D77" s="8"/>
      <c r="E77" s="8"/>
      <c r="F77" s="8"/>
      <c r="G77" s="10"/>
      <c r="H77" s="38" t="s">
        <v>107</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79</v>
      </c>
      <c r="B79" s="23"/>
      <c r="C79" s="8"/>
      <c r="D79" s="8"/>
      <c r="E79" s="8"/>
      <c r="F79" s="8"/>
      <c r="G79" s="10"/>
      <c r="H79" s="25"/>
      <c r="I79" s="2"/>
      <c r="J79" s="2"/>
      <c r="K79" s="26"/>
      <c r="L79" s="23"/>
      <c r="M79" s="10"/>
      <c r="N79" s="5"/>
    </row>
    <row r="80" spans="1:14" ht="15.5" hidden="1" x14ac:dyDescent="0.35">
      <c r="A80" s="39" t="s">
        <v>81</v>
      </c>
      <c r="B80" s="23"/>
      <c r="C80" s="8"/>
      <c r="D80" s="8"/>
      <c r="E80" s="8"/>
      <c r="F80" s="8"/>
      <c r="G80" s="10"/>
      <c r="H80" s="25"/>
      <c r="I80" s="2"/>
      <c r="J80" s="2"/>
      <c r="K80" s="26"/>
      <c r="L80" s="23"/>
      <c r="M80" s="10"/>
      <c r="N80" s="5"/>
    </row>
    <row r="81" spans="1:14" ht="15.5" hidden="1" x14ac:dyDescent="0.35">
      <c r="A81" s="39" t="s">
        <v>83</v>
      </c>
      <c r="B81" s="23"/>
      <c r="C81" s="8"/>
      <c r="D81" s="8"/>
      <c r="E81" s="8"/>
      <c r="F81" s="8"/>
      <c r="G81" s="10"/>
      <c r="H81" s="25"/>
      <c r="I81" s="2"/>
      <c r="J81" s="2"/>
      <c r="K81" s="26"/>
      <c r="L81" s="23"/>
      <c r="M81" s="10"/>
      <c r="N81" s="5"/>
    </row>
    <row r="82" spans="1:14" ht="15.5" hidden="1" x14ac:dyDescent="0.35">
      <c r="A82" s="39" t="s">
        <v>85</v>
      </c>
      <c r="B82" s="23"/>
      <c r="C82" s="8"/>
      <c r="D82" s="8"/>
      <c r="E82" s="8"/>
      <c r="F82" s="8"/>
      <c r="G82" s="10"/>
      <c r="H82" s="25"/>
      <c r="I82" s="2"/>
      <c r="J82" s="2"/>
      <c r="K82" s="26"/>
      <c r="L82" s="23"/>
      <c r="M82" s="10"/>
      <c r="N82" s="5"/>
    </row>
    <row r="83" spans="1:14" ht="15.5" hidden="1" x14ac:dyDescent="0.35">
      <c r="A83" s="39" t="s">
        <v>87</v>
      </c>
      <c r="B83" s="23"/>
      <c r="C83" s="8"/>
      <c r="D83" s="8"/>
      <c r="E83" s="8"/>
      <c r="F83" s="8"/>
      <c r="G83" s="10"/>
      <c r="H83" s="25"/>
      <c r="I83" s="2"/>
      <c r="J83" s="2"/>
      <c r="K83" s="26"/>
      <c r="L83" s="23"/>
      <c r="M83" s="10"/>
      <c r="N83" s="5"/>
    </row>
    <row r="84" spans="1:14" ht="15.5" hidden="1" x14ac:dyDescent="0.35">
      <c r="A84" s="39" t="s">
        <v>89</v>
      </c>
      <c r="B84" s="23"/>
      <c r="C84" s="8"/>
      <c r="D84" s="8"/>
      <c r="E84" s="8"/>
      <c r="F84" s="8"/>
      <c r="G84" s="10"/>
      <c r="H84" s="25"/>
      <c r="I84" s="2"/>
      <c r="J84" s="2"/>
      <c r="K84" s="26"/>
      <c r="L84" s="23"/>
      <c r="M84" s="10"/>
      <c r="N84" s="5"/>
    </row>
    <row r="85" spans="1:14" ht="15.5" hidden="1" x14ac:dyDescent="0.35">
      <c r="A85" s="39" t="s">
        <v>91</v>
      </c>
      <c r="B85" s="23"/>
      <c r="C85" s="8"/>
      <c r="D85" s="8"/>
      <c r="E85" s="8"/>
      <c r="F85" s="8"/>
      <c r="G85" s="10"/>
      <c r="H85" s="25"/>
      <c r="I85" s="2"/>
      <c r="J85" s="2"/>
      <c r="K85" s="26"/>
      <c r="L85" s="23"/>
      <c r="M85" s="10"/>
      <c r="N85" s="5"/>
    </row>
    <row r="86" spans="1:14" ht="15.5" hidden="1" x14ac:dyDescent="0.35">
      <c r="A86" s="39" t="s">
        <v>93</v>
      </c>
      <c r="B86" s="23"/>
      <c r="C86" s="8"/>
      <c r="D86" s="8"/>
      <c r="E86" s="8"/>
      <c r="F86" s="8"/>
      <c r="G86" s="10"/>
      <c r="H86" s="25"/>
      <c r="I86" s="2"/>
      <c r="J86" s="2"/>
      <c r="K86" s="26"/>
      <c r="L86" s="23"/>
      <c r="M86" s="10"/>
      <c r="N86" s="5"/>
    </row>
    <row r="87" spans="1:14" ht="15.5" hidden="1" x14ac:dyDescent="0.35">
      <c r="A87" s="39" t="s">
        <v>95</v>
      </c>
      <c r="B87" s="23"/>
      <c r="C87" s="8"/>
      <c r="D87" s="8"/>
      <c r="E87" s="8"/>
      <c r="F87" s="8"/>
      <c r="G87" s="10"/>
      <c r="H87" s="25"/>
      <c r="I87" s="2"/>
      <c r="J87" s="2"/>
      <c r="K87" s="26"/>
      <c r="L87" s="23"/>
      <c r="M87" s="10"/>
      <c r="N87" s="5"/>
    </row>
    <row r="88" spans="1:14" ht="15.5" hidden="1" x14ac:dyDescent="0.35">
      <c r="A88" s="39" t="s">
        <v>97</v>
      </c>
      <c r="B88" s="23"/>
      <c r="C88" s="8"/>
      <c r="D88" s="8"/>
      <c r="E88" s="8"/>
      <c r="F88" s="8"/>
      <c r="G88" s="10"/>
      <c r="H88" s="25"/>
      <c r="I88" s="2"/>
      <c r="J88" s="2"/>
      <c r="K88" s="26"/>
      <c r="L88" s="23"/>
      <c r="M88" s="10"/>
      <c r="N88" s="5"/>
    </row>
    <row r="89" spans="1:14" ht="15.5" hidden="1" x14ac:dyDescent="0.35">
      <c r="A89" s="39" t="s">
        <v>99</v>
      </c>
      <c r="B89" s="23"/>
      <c r="C89" s="8"/>
      <c r="D89" s="8"/>
      <c r="E89" s="8"/>
      <c r="F89" s="8"/>
      <c r="G89" s="10"/>
      <c r="H89" s="25"/>
      <c r="I89" s="2"/>
      <c r="J89" s="2"/>
      <c r="K89" s="26"/>
      <c r="L89" s="23"/>
      <c r="M89" s="10"/>
      <c r="N89" s="5"/>
    </row>
    <row r="90" spans="1:14" ht="15.5" hidden="1" x14ac:dyDescent="0.35">
      <c r="A90" s="39" t="s">
        <v>101</v>
      </c>
      <c r="B90" s="23"/>
      <c r="C90" s="8"/>
      <c r="D90" s="8"/>
      <c r="E90" s="8"/>
      <c r="F90" s="8"/>
      <c r="G90" s="10"/>
      <c r="H90" s="25"/>
      <c r="I90" s="2"/>
      <c r="J90" s="2"/>
      <c r="K90" s="26"/>
      <c r="L90" s="23"/>
      <c r="M90" s="10"/>
      <c r="N90" s="5"/>
    </row>
    <row r="91" spans="1:14" ht="15.5" hidden="1" x14ac:dyDescent="0.35">
      <c r="A91" s="39" t="s">
        <v>103</v>
      </c>
      <c r="B91" s="23"/>
      <c r="C91" s="8"/>
      <c r="D91" s="8"/>
      <c r="E91" s="8"/>
      <c r="F91" s="8"/>
      <c r="G91" s="10"/>
      <c r="H91" s="24"/>
      <c r="I91" s="18"/>
      <c r="J91" s="18"/>
      <c r="K91" s="19"/>
      <c r="L91" s="23"/>
      <c r="M91" s="10"/>
      <c r="N91" s="5"/>
    </row>
    <row r="92" spans="1:14" ht="24" customHeight="1" x14ac:dyDescent="0.35">
      <c r="A92" s="38" t="s">
        <v>108</v>
      </c>
      <c r="B92" s="8"/>
      <c r="C92" s="8"/>
      <c r="D92" s="8"/>
      <c r="E92" s="8"/>
      <c r="F92" s="8"/>
      <c r="G92" s="10"/>
      <c r="H92" s="38" t="s">
        <v>107</v>
      </c>
      <c r="I92" s="8"/>
      <c r="J92" s="8"/>
      <c r="K92" s="10"/>
      <c r="L92" s="38" t="s">
        <v>74</v>
      </c>
      <c r="M92" s="10"/>
      <c r="N92" s="30"/>
    </row>
    <row r="93" spans="1:14" ht="15.5" x14ac:dyDescent="0.35">
      <c r="A93" s="39" t="s">
        <v>75</v>
      </c>
      <c r="B93" s="23" t="s">
        <v>109</v>
      </c>
      <c r="C93" s="8"/>
      <c r="D93" s="8"/>
      <c r="E93" s="8"/>
      <c r="F93" s="8"/>
      <c r="G93" s="10"/>
      <c r="H93" s="40" t="s">
        <v>110</v>
      </c>
      <c r="I93" s="14"/>
      <c r="J93" s="14"/>
      <c r="K93" s="15"/>
      <c r="L93" s="41" t="s">
        <v>78</v>
      </c>
      <c r="M93" s="10"/>
      <c r="N93" s="5"/>
    </row>
    <row r="94" spans="1:14" ht="15.5" x14ac:dyDescent="0.35">
      <c r="A94" s="39" t="s">
        <v>79</v>
      </c>
      <c r="B94" s="23" t="s">
        <v>111</v>
      </c>
      <c r="C94" s="8"/>
      <c r="D94" s="8"/>
      <c r="E94" s="8"/>
      <c r="F94" s="8"/>
      <c r="G94" s="10"/>
      <c r="H94" s="25"/>
      <c r="I94" s="2"/>
      <c r="J94" s="2"/>
      <c r="K94" s="26"/>
      <c r="L94" s="41" t="s">
        <v>78</v>
      </c>
      <c r="M94" s="10"/>
      <c r="N94" s="5"/>
    </row>
    <row r="95" spans="1:14" ht="15.5" x14ac:dyDescent="0.35">
      <c r="A95" s="39" t="s">
        <v>81</v>
      </c>
      <c r="B95" s="23" t="s">
        <v>112</v>
      </c>
      <c r="C95" s="8"/>
      <c r="D95" s="8"/>
      <c r="E95" s="8"/>
      <c r="F95" s="8"/>
      <c r="G95" s="10"/>
      <c r="H95" s="25"/>
      <c r="I95" s="2"/>
      <c r="J95" s="2"/>
      <c r="K95" s="26"/>
      <c r="L95" s="41" t="s">
        <v>78</v>
      </c>
      <c r="M95" s="10"/>
      <c r="N95" s="5"/>
    </row>
    <row r="96" spans="1:14" ht="15.5" x14ac:dyDescent="0.35">
      <c r="A96" s="39" t="s">
        <v>83</v>
      </c>
      <c r="B96" s="23" t="s">
        <v>113</v>
      </c>
      <c r="C96" s="8"/>
      <c r="D96" s="8"/>
      <c r="E96" s="8"/>
      <c r="F96" s="8"/>
      <c r="G96" s="10"/>
      <c r="H96" s="25"/>
      <c r="I96" s="2"/>
      <c r="J96" s="2"/>
      <c r="K96" s="26"/>
      <c r="L96" s="41" t="s">
        <v>78</v>
      </c>
      <c r="M96" s="10"/>
      <c r="N96" s="5"/>
    </row>
    <row r="97" spans="1:14" ht="15.5" x14ac:dyDescent="0.35">
      <c r="A97" s="39" t="s">
        <v>85</v>
      </c>
      <c r="B97" s="23" t="s">
        <v>114</v>
      </c>
      <c r="C97" s="8"/>
      <c r="D97" s="8"/>
      <c r="E97" s="8"/>
      <c r="F97" s="8"/>
      <c r="G97" s="10"/>
      <c r="H97" s="25"/>
      <c r="I97" s="2"/>
      <c r="J97" s="2"/>
      <c r="K97" s="26"/>
      <c r="L97" s="41" t="s">
        <v>78</v>
      </c>
      <c r="M97" s="10"/>
      <c r="N97" s="5"/>
    </row>
    <row r="98" spans="1:14" ht="15.5" x14ac:dyDescent="0.35">
      <c r="A98" s="39" t="s">
        <v>87</v>
      </c>
      <c r="B98" s="23" t="s">
        <v>115</v>
      </c>
      <c r="C98" s="8"/>
      <c r="D98" s="8"/>
      <c r="E98" s="8"/>
      <c r="F98" s="8"/>
      <c r="G98" s="10"/>
      <c r="H98" s="25"/>
      <c r="I98" s="2"/>
      <c r="J98" s="2"/>
      <c r="K98" s="26"/>
      <c r="L98" s="41" t="s">
        <v>78</v>
      </c>
      <c r="M98" s="10"/>
      <c r="N98" s="5"/>
    </row>
    <row r="99" spans="1:14" ht="15.5" x14ac:dyDescent="0.35">
      <c r="A99" s="39" t="s">
        <v>89</v>
      </c>
      <c r="B99" s="23" t="s">
        <v>116</v>
      </c>
      <c r="C99" s="8"/>
      <c r="D99" s="8"/>
      <c r="E99" s="8"/>
      <c r="F99" s="8"/>
      <c r="G99" s="10"/>
      <c r="H99" s="25"/>
      <c r="I99" s="2"/>
      <c r="J99" s="2"/>
      <c r="K99" s="26"/>
      <c r="L99" s="41" t="s">
        <v>78</v>
      </c>
      <c r="M99" s="10"/>
      <c r="N99" s="5"/>
    </row>
    <row r="100" spans="1:14" ht="15.5" x14ac:dyDescent="0.35">
      <c r="A100" s="39" t="s">
        <v>91</v>
      </c>
      <c r="B100" s="23" t="s">
        <v>117</v>
      </c>
      <c r="C100" s="8"/>
      <c r="D100" s="8"/>
      <c r="E100" s="8"/>
      <c r="F100" s="8"/>
      <c r="G100" s="10"/>
      <c r="H100" s="25"/>
      <c r="I100" s="2"/>
      <c r="J100" s="2"/>
      <c r="K100" s="26"/>
      <c r="L100" s="41" t="s">
        <v>78</v>
      </c>
      <c r="M100" s="10"/>
      <c r="N100" s="5"/>
    </row>
    <row r="101" spans="1:14" ht="15.5" x14ac:dyDescent="0.35">
      <c r="A101" s="39" t="s">
        <v>93</v>
      </c>
      <c r="B101" s="23" t="s">
        <v>118</v>
      </c>
      <c r="C101" s="8"/>
      <c r="D101" s="8"/>
      <c r="E101" s="8"/>
      <c r="F101" s="8"/>
      <c r="G101" s="10"/>
      <c r="H101" s="25"/>
      <c r="I101" s="2"/>
      <c r="J101" s="2"/>
      <c r="K101" s="26"/>
      <c r="L101" s="41" t="s">
        <v>78</v>
      </c>
      <c r="M101" s="10"/>
      <c r="N101" s="5"/>
    </row>
    <row r="102" spans="1:14" ht="15.5" x14ac:dyDescent="0.35">
      <c r="A102" s="39" t="s">
        <v>95</v>
      </c>
      <c r="B102" s="23" t="s">
        <v>119</v>
      </c>
      <c r="C102" s="8"/>
      <c r="D102" s="8"/>
      <c r="E102" s="8"/>
      <c r="F102" s="8"/>
      <c r="G102" s="10"/>
      <c r="H102" s="25"/>
      <c r="I102" s="2"/>
      <c r="J102" s="2"/>
      <c r="K102" s="26"/>
      <c r="L102" s="41" t="s">
        <v>78</v>
      </c>
      <c r="M102" s="10"/>
      <c r="N102" s="5"/>
    </row>
    <row r="103" spans="1:14" ht="15.5" x14ac:dyDescent="0.35">
      <c r="A103" s="39" t="s">
        <v>97</v>
      </c>
      <c r="B103" s="23" t="s">
        <v>120</v>
      </c>
      <c r="C103" s="8"/>
      <c r="D103" s="8"/>
      <c r="E103" s="8"/>
      <c r="F103" s="8"/>
      <c r="G103" s="10"/>
      <c r="H103" s="25"/>
      <c r="I103" s="2"/>
      <c r="J103" s="2"/>
      <c r="K103" s="26"/>
      <c r="L103" s="41" t="s">
        <v>78</v>
      </c>
      <c r="M103" s="10"/>
      <c r="N103" s="5"/>
    </row>
    <row r="104" spans="1:14" ht="15.5" x14ac:dyDescent="0.35">
      <c r="A104" s="39" t="s">
        <v>99</v>
      </c>
      <c r="B104" s="23" t="s">
        <v>121</v>
      </c>
      <c r="C104" s="8"/>
      <c r="D104" s="8"/>
      <c r="E104" s="8"/>
      <c r="F104" s="8"/>
      <c r="G104" s="10"/>
      <c r="H104" s="25"/>
      <c r="I104" s="2"/>
      <c r="J104" s="2"/>
      <c r="K104" s="26"/>
      <c r="L104" s="41" t="s">
        <v>78</v>
      </c>
      <c r="M104" s="10"/>
      <c r="N104" s="5"/>
    </row>
    <row r="105" spans="1:14" ht="15.5" x14ac:dyDescent="0.35">
      <c r="A105" s="39" t="s">
        <v>101</v>
      </c>
      <c r="B105" s="23" t="s">
        <v>122</v>
      </c>
      <c r="C105" s="8"/>
      <c r="D105" s="8"/>
      <c r="E105" s="8"/>
      <c r="F105" s="8"/>
      <c r="G105" s="10"/>
      <c r="H105" s="25"/>
      <c r="I105" s="2"/>
      <c r="J105" s="2"/>
      <c r="K105" s="26"/>
      <c r="L105" s="41" t="s">
        <v>78</v>
      </c>
      <c r="M105" s="10"/>
      <c r="N105" s="5"/>
    </row>
    <row r="106" spans="1:14" ht="15.5" x14ac:dyDescent="0.35">
      <c r="A106" s="39" t="s">
        <v>103</v>
      </c>
      <c r="B106" s="23" t="s">
        <v>123</v>
      </c>
      <c r="C106" s="8"/>
      <c r="D106" s="8"/>
      <c r="E106" s="8"/>
      <c r="F106" s="8"/>
      <c r="G106" s="10"/>
      <c r="H106" s="24"/>
      <c r="I106" s="18"/>
      <c r="J106" s="18"/>
      <c r="K106" s="19"/>
      <c r="L106" s="41" t="s">
        <v>78</v>
      </c>
      <c r="M106" s="10"/>
      <c r="N106" s="5"/>
    </row>
    <row r="107" spans="1:14" ht="24" hidden="1" customHeight="1" x14ac:dyDescent="0.35">
      <c r="A107" s="38" t="s">
        <v>124</v>
      </c>
      <c r="B107" s="8"/>
      <c r="C107" s="8"/>
      <c r="D107" s="8"/>
      <c r="E107" s="8"/>
      <c r="F107" s="8"/>
      <c r="G107" s="10"/>
      <c r="H107" s="38" t="s">
        <v>107</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79</v>
      </c>
      <c r="B109" s="23"/>
      <c r="C109" s="8"/>
      <c r="D109" s="8"/>
      <c r="E109" s="8"/>
      <c r="F109" s="8"/>
      <c r="G109" s="10"/>
      <c r="H109" s="25"/>
      <c r="I109" s="2"/>
      <c r="J109" s="2"/>
      <c r="K109" s="26"/>
      <c r="L109" s="23"/>
      <c r="M109" s="10"/>
      <c r="N109" s="5"/>
    </row>
    <row r="110" spans="1:14" ht="15.5" hidden="1" x14ac:dyDescent="0.35">
      <c r="A110" s="39" t="s">
        <v>81</v>
      </c>
      <c r="B110" s="23"/>
      <c r="C110" s="8"/>
      <c r="D110" s="8"/>
      <c r="E110" s="8"/>
      <c r="F110" s="8"/>
      <c r="G110" s="10"/>
      <c r="H110" s="25"/>
      <c r="I110" s="2"/>
      <c r="J110" s="2"/>
      <c r="K110" s="26"/>
      <c r="L110" s="23"/>
      <c r="M110" s="10"/>
      <c r="N110" s="5"/>
    </row>
    <row r="111" spans="1:14" ht="15.5" hidden="1" x14ac:dyDescent="0.35">
      <c r="A111" s="39" t="s">
        <v>83</v>
      </c>
      <c r="B111" s="23"/>
      <c r="C111" s="8"/>
      <c r="D111" s="8"/>
      <c r="E111" s="8"/>
      <c r="F111" s="8"/>
      <c r="G111" s="10"/>
      <c r="H111" s="25"/>
      <c r="I111" s="2"/>
      <c r="J111" s="2"/>
      <c r="K111" s="26"/>
      <c r="L111" s="23"/>
      <c r="M111" s="10"/>
      <c r="N111" s="5"/>
    </row>
    <row r="112" spans="1:14" ht="15.5" hidden="1" x14ac:dyDescent="0.35">
      <c r="A112" s="39" t="s">
        <v>85</v>
      </c>
      <c r="B112" s="23"/>
      <c r="C112" s="8"/>
      <c r="D112" s="8"/>
      <c r="E112" s="8"/>
      <c r="F112" s="8"/>
      <c r="G112" s="10"/>
      <c r="H112" s="25"/>
      <c r="I112" s="2"/>
      <c r="J112" s="2"/>
      <c r="K112" s="26"/>
      <c r="L112" s="23"/>
      <c r="M112" s="10"/>
      <c r="N112" s="5"/>
    </row>
    <row r="113" spans="1:14" ht="15.5" hidden="1" x14ac:dyDescent="0.35">
      <c r="A113" s="39" t="s">
        <v>87</v>
      </c>
      <c r="B113" s="23"/>
      <c r="C113" s="8"/>
      <c r="D113" s="8"/>
      <c r="E113" s="8"/>
      <c r="F113" s="8"/>
      <c r="G113" s="10"/>
      <c r="H113" s="25"/>
      <c r="I113" s="2"/>
      <c r="J113" s="2"/>
      <c r="K113" s="26"/>
      <c r="L113" s="23"/>
      <c r="M113" s="10"/>
      <c r="N113" s="5"/>
    </row>
    <row r="114" spans="1:14" ht="15.5" hidden="1" x14ac:dyDescent="0.35">
      <c r="A114" s="39" t="s">
        <v>89</v>
      </c>
      <c r="B114" s="23"/>
      <c r="C114" s="8"/>
      <c r="D114" s="8"/>
      <c r="E114" s="8"/>
      <c r="F114" s="8"/>
      <c r="G114" s="10"/>
      <c r="H114" s="25"/>
      <c r="I114" s="2"/>
      <c r="J114" s="2"/>
      <c r="K114" s="26"/>
      <c r="L114" s="23"/>
      <c r="M114" s="10"/>
      <c r="N114" s="5"/>
    </row>
    <row r="115" spans="1:14" ht="15.5" hidden="1" x14ac:dyDescent="0.35">
      <c r="A115" s="39" t="s">
        <v>91</v>
      </c>
      <c r="B115" s="23"/>
      <c r="C115" s="8"/>
      <c r="D115" s="8"/>
      <c r="E115" s="8"/>
      <c r="F115" s="8"/>
      <c r="G115" s="10"/>
      <c r="H115" s="25"/>
      <c r="I115" s="2"/>
      <c r="J115" s="2"/>
      <c r="K115" s="26"/>
      <c r="L115" s="23"/>
      <c r="M115" s="10"/>
      <c r="N115" s="5"/>
    </row>
    <row r="116" spans="1:14" ht="15.5" hidden="1" x14ac:dyDescent="0.35">
      <c r="A116" s="39" t="s">
        <v>93</v>
      </c>
      <c r="B116" s="23"/>
      <c r="C116" s="8"/>
      <c r="D116" s="8"/>
      <c r="E116" s="8"/>
      <c r="F116" s="8"/>
      <c r="G116" s="10"/>
      <c r="H116" s="25"/>
      <c r="I116" s="2"/>
      <c r="J116" s="2"/>
      <c r="K116" s="26"/>
      <c r="L116" s="23"/>
      <c r="M116" s="10"/>
      <c r="N116" s="5"/>
    </row>
    <row r="117" spans="1:14" ht="15.5" hidden="1" x14ac:dyDescent="0.35">
      <c r="A117" s="39" t="s">
        <v>95</v>
      </c>
      <c r="B117" s="23"/>
      <c r="C117" s="8"/>
      <c r="D117" s="8"/>
      <c r="E117" s="8"/>
      <c r="F117" s="8"/>
      <c r="G117" s="10"/>
      <c r="H117" s="25"/>
      <c r="I117" s="2"/>
      <c r="J117" s="2"/>
      <c r="K117" s="26"/>
      <c r="L117" s="23"/>
      <c r="M117" s="10"/>
      <c r="N117" s="5"/>
    </row>
    <row r="118" spans="1:14" ht="15.5" hidden="1" x14ac:dyDescent="0.35">
      <c r="A118" s="39" t="s">
        <v>97</v>
      </c>
      <c r="B118" s="23"/>
      <c r="C118" s="8"/>
      <c r="D118" s="8"/>
      <c r="E118" s="8"/>
      <c r="F118" s="8"/>
      <c r="G118" s="10"/>
      <c r="H118" s="25"/>
      <c r="I118" s="2"/>
      <c r="J118" s="2"/>
      <c r="K118" s="26"/>
      <c r="L118" s="23"/>
      <c r="M118" s="10"/>
      <c r="N118" s="5"/>
    </row>
    <row r="119" spans="1:14" ht="15.5" hidden="1" x14ac:dyDescent="0.35">
      <c r="A119" s="39" t="s">
        <v>99</v>
      </c>
      <c r="B119" s="23"/>
      <c r="C119" s="8"/>
      <c r="D119" s="8"/>
      <c r="E119" s="8"/>
      <c r="F119" s="8"/>
      <c r="G119" s="10"/>
      <c r="H119" s="25"/>
      <c r="I119" s="2"/>
      <c r="J119" s="2"/>
      <c r="K119" s="26"/>
      <c r="L119" s="23"/>
      <c r="M119" s="10"/>
      <c r="N119" s="5"/>
    </row>
    <row r="120" spans="1:14" ht="15.5" hidden="1" x14ac:dyDescent="0.35">
      <c r="A120" s="39" t="s">
        <v>101</v>
      </c>
      <c r="B120" s="23"/>
      <c r="C120" s="8"/>
      <c r="D120" s="8"/>
      <c r="E120" s="8"/>
      <c r="F120" s="8"/>
      <c r="G120" s="10"/>
      <c r="H120" s="25"/>
      <c r="I120" s="2"/>
      <c r="J120" s="2"/>
      <c r="K120" s="26"/>
      <c r="L120" s="23"/>
      <c r="M120" s="10"/>
      <c r="N120" s="5"/>
    </row>
    <row r="121" spans="1:14" ht="15.5" hidden="1" x14ac:dyDescent="0.35">
      <c r="A121" s="39" t="s">
        <v>103</v>
      </c>
      <c r="B121" s="23"/>
      <c r="C121" s="8"/>
      <c r="D121" s="8"/>
      <c r="E121" s="8"/>
      <c r="F121" s="8"/>
      <c r="G121" s="10"/>
      <c r="H121" s="24"/>
      <c r="I121" s="18"/>
      <c r="J121" s="18"/>
      <c r="K121" s="19"/>
      <c r="L121" s="23"/>
      <c r="M121" s="10"/>
      <c r="N121" s="5"/>
    </row>
    <row r="122" spans="1:14" ht="115.5" customHeight="1" x14ac:dyDescent="0.35">
      <c r="A122" s="23" t="s">
        <v>125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126</v>
      </c>
      <c r="B124" s="2"/>
      <c r="C124" s="2"/>
      <c r="D124" s="2"/>
      <c r="E124" s="2"/>
      <c r="F124" s="2"/>
      <c r="G124" s="2"/>
      <c r="H124" s="2"/>
      <c r="I124" s="2"/>
      <c r="J124" s="2"/>
      <c r="K124" s="2"/>
      <c r="L124" s="2"/>
      <c r="M124" s="2"/>
      <c r="N124" s="30"/>
    </row>
    <row r="125" spans="1:14" ht="46.5" x14ac:dyDescent="0.35">
      <c r="A125" s="42" t="s">
        <v>127</v>
      </c>
      <c r="B125" s="43" t="s">
        <v>128</v>
      </c>
      <c r="C125" s="8"/>
      <c r="D125" s="8"/>
      <c r="E125" s="8"/>
      <c r="F125" s="8"/>
      <c r="G125" s="10"/>
      <c r="H125" s="43" t="s">
        <v>129</v>
      </c>
      <c r="I125" s="8"/>
      <c r="J125" s="8"/>
      <c r="K125" s="10"/>
      <c r="L125" s="44" t="s">
        <v>130</v>
      </c>
      <c r="M125" s="10"/>
      <c r="N125" s="5"/>
    </row>
    <row r="126" spans="1:14" ht="15.5" x14ac:dyDescent="0.35">
      <c r="A126" s="45" t="s">
        <v>131</v>
      </c>
      <c r="B126" s="46" t="s">
        <v>132</v>
      </c>
      <c r="C126" s="14"/>
      <c r="D126" s="14"/>
      <c r="E126" s="14"/>
      <c r="F126" s="14"/>
      <c r="G126" s="15"/>
      <c r="H126" s="47" t="s">
        <v>133</v>
      </c>
      <c r="I126" s="8"/>
      <c r="J126" s="8"/>
      <c r="K126" s="48" t="s">
        <v>134</v>
      </c>
      <c r="L126" s="49">
        <f>1-SUM(L129:M131)</f>
        <v>0.85</v>
      </c>
      <c r="M126" s="15"/>
      <c r="N126" s="5"/>
    </row>
    <row r="127" spans="1:14" ht="15.5" x14ac:dyDescent="0.35">
      <c r="A127" s="50"/>
      <c r="B127" s="25"/>
      <c r="C127" s="2"/>
      <c r="D127" s="2"/>
      <c r="E127" s="2"/>
      <c r="F127" s="2"/>
      <c r="G127" s="26"/>
      <c r="H127" s="51" t="s">
        <v>135</v>
      </c>
      <c r="I127" s="8"/>
      <c r="J127" s="8"/>
      <c r="K127" s="48" t="s">
        <v>136</v>
      </c>
      <c r="L127" s="25"/>
      <c r="M127" s="26"/>
      <c r="N127" s="5"/>
    </row>
    <row r="128" spans="1:14" ht="74.25" customHeight="1" x14ac:dyDescent="0.35">
      <c r="A128" s="35"/>
      <c r="B128" s="24"/>
      <c r="C128" s="18"/>
      <c r="D128" s="18"/>
      <c r="E128" s="18"/>
      <c r="F128" s="18"/>
      <c r="G128" s="19"/>
      <c r="H128" s="51" t="s">
        <v>137</v>
      </c>
      <c r="I128" s="8"/>
      <c r="J128" s="8"/>
      <c r="K128" s="48" t="s">
        <v>138</v>
      </c>
      <c r="L128" s="24"/>
      <c r="M128" s="19"/>
      <c r="N128" s="5"/>
    </row>
    <row r="129" spans="1:14" ht="68.25" hidden="1" customHeight="1" x14ac:dyDescent="0.35">
      <c r="A129" s="42" t="s">
        <v>139</v>
      </c>
      <c r="B129" s="51" t="s">
        <v>140</v>
      </c>
      <c r="C129" s="8"/>
      <c r="D129" s="8"/>
      <c r="E129" s="8"/>
      <c r="F129" s="8"/>
      <c r="G129" s="10"/>
      <c r="H129" s="51" t="s">
        <v>141</v>
      </c>
      <c r="I129" s="8"/>
      <c r="J129" s="8"/>
      <c r="K129" s="10"/>
      <c r="L129" s="52"/>
      <c r="M129" s="10"/>
      <c r="N129" s="5"/>
    </row>
    <row r="130" spans="1:14" ht="46.5" x14ac:dyDescent="0.35">
      <c r="A130" s="42" t="s">
        <v>142</v>
      </c>
      <c r="B130" s="51" t="s">
        <v>143</v>
      </c>
      <c r="C130" s="8"/>
      <c r="D130" s="8"/>
      <c r="E130" s="8"/>
      <c r="F130" s="8"/>
      <c r="G130" s="10"/>
      <c r="H130" s="51" t="s">
        <v>144</v>
      </c>
      <c r="I130" s="8"/>
      <c r="J130" s="8"/>
      <c r="K130" s="10"/>
      <c r="L130" s="52">
        <v>0.15</v>
      </c>
      <c r="M130" s="10"/>
      <c r="N130" s="5"/>
    </row>
    <row r="131" spans="1:14" ht="31" hidden="1" x14ac:dyDescent="0.35">
      <c r="A131" s="42" t="s">
        <v>145</v>
      </c>
      <c r="B131" s="53" t="s">
        <v>146</v>
      </c>
      <c r="C131" s="8"/>
      <c r="D131" s="8"/>
      <c r="E131" s="8"/>
      <c r="F131" s="8"/>
      <c r="G131" s="10"/>
      <c r="H131" s="51" t="s">
        <v>147</v>
      </c>
      <c r="I131" s="8"/>
      <c r="J131" s="8"/>
      <c r="K131" s="10"/>
      <c r="L131" s="52">
        <v>0</v>
      </c>
      <c r="M131" s="10"/>
      <c r="N131" s="5"/>
    </row>
    <row r="132" spans="1:14" ht="15.5" x14ac:dyDescent="0.35">
      <c r="A132" s="43" t="s">
        <v>148</v>
      </c>
      <c r="B132" s="8"/>
      <c r="C132" s="8"/>
      <c r="D132" s="8"/>
      <c r="E132" s="8"/>
      <c r="F132" s="8"/>
      <c r="G132" s="8"/>
      <c r="H132" s="8"/>
      <c r="I132" s="8"/>
      <c r="J132" s="8"/>
      <c r="K132" s="8"/>
      <c r="L132" s="8"/>
      <c r="M132" s="10"/>
      <c r="N132" s="5"/>
    </row>
    <row r="133" spans="1:14" ht="15.5" x14ac:dyDescent="0.35">
      <c r="A133" s="54" t="s">
        <v>149</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150</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151</v>
      </c>
      <c r="B137" s="10"/>
      <c r="C137" s="9" t="str">
        <f>E15</f>
        <v>Conf.dr.ing. Radu MATEI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152</v>
      </c>
      <c r="B139" s="15"/>
      <c r="C139" s="9" t="str">
        <f t="shared" ref="C139:C141" si="0">E17</f>
        <v>Conf.dr.ing. Radu MATEI</v>
      </c>
      <c r="D139" s="8"/>
      <c r="E139" s="8"/>
      <c r="F139" s="8"/>
      <c r="G139" s="10"/>
      <c r="H139" s="9">
        <f t="shared" ref="H139:H141" si="1">E20</f>
        <v>0</v>
      </c>
      <c r="I139" s="8"/>
      <c r="J139" s="8"/>
      <c r="K139" s="8"/>
      <c r="L139" s="8"/>
      <c r="M139" s="10"/>
      <c r="N139" s="5"/>
    </row>
    <row r="140" spans="1:14" ht="32.25" customHeight="1" x14ac:dyDescent="0.35">
      <c r="A140" s="25"/>
      <c r="B140" s="26"/>
      <c r="C140" s="9" t="str">
        <f t="shared" si="0"/>
        <v>Drd.ing. Florian Alexandru Brașoveanu</v>
      </c>
      <c r="D140" s="8"/>
      <c r="E140" s="8"/>
      <c r="F140" s="8"/>
      <c r="G140" s="10"/>
      <c r="H140" s="9">
        <f t="shared" si="1"/>
        <v>0</v>
      </c>
      <c r="I140" s="8"/>
      <c r="J140" s="8"/>
      <c r="K140" s="8"/>
      <c r="L140" s="8"/>
      <c r="M140" s="10"/>
      <c r="N140" s="5"/>
    </row>
    <row r="141" spans="1:14" ht="32.25" customHeight="1" x14ac:dyDescent="0.35">
      <c r="A141" s="24"/>
      <c r="B141" s="19"/>
      <c r="C141" s="9" t="str">
        <f t="shared" si="0"/>
        <v>Ing. Alexandru Flavius Buruiană</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153</v>
      </c>
      <c r="B143" s="10"/>
      <c r="C143" s="58">
        <f>[1]Date!C29</f>
        <v>45915</v>
      </c>
      <c r="D143" s="10"/>
      <c r="E143" s="55" t="s">
        <v>154</v>
      </c>
      <c r="F143" s="8"/>
      <c r="G143" s="10"/>
      <c r="H143" s="59" t="str">
        <f>[1]Date!C31</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155</v>
      </c>
      <c r="B145" s="10"/>
      <c r="C145" s="58">
        <f>[1]Date!C30</f>
        <v>45918</v>
      </c>
      <c r="D145" s="10"/>
      <c r="E145" s="55" t="s">
        <v>156</v>
      </c>
      <c r="F145" s="8"/>
      <c r="G145" s="10"/>
      <c r="H145" s="59"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2026-03-01T09:09:01Z</dcterms:created>
  <dcterms:modified xsi:type="dcterms:W3CDTF">2026-03-01T09:09:05Z</dcterms:modified>
</cp:coreProperties>
</file>