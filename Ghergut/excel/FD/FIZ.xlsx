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9EF72E57-97A4-4F22-AE19-84372A448B86}" xr6:coauthVersionLast="47" xr6:coauthVersionMax="47" xr10:uidLastSave="{00000000-0000-0000-0000-000000000000}"/>
  <bookViews>
    <workbookView xWindow="-110" yWindow="-110" windowWidth="25820" windowHeight="15500" xr2:uid="{2B890A77-E4F9-4A66-990E-AA95F7CF9F9B}"/>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I26" i="1" a="1"/>
  <c r="I26" i="1" s="1"/>
  <c r="I27" i="1" s="1"/>
  <c r="C23" i="1"/>
  <c r="E14" i="1" a="1"/>
  <c r="E14" i="1" s="1"/>
  <c r="C9" i="1"/>
  <c r="C8" i="1"/>
  <c r="C7" i="1"/>
  <c r="A2" i="1"/>
  <c r="E13" i="1" a="1"/>
  <c r="E13" i="1" s="1"/>
  <c r="K26" i="1" a="1"/>
  <c r="K26" i="1" s="1"/>
  <c r="K27" i="1" s="1"/>
  <c r="C34" i="1" a="1"/>
  <c r="C34" i="1" s="1"/>
  <c r="M33" i="1" s="1"/>
  <c r="G26" i="1" l="1" a="1"/>
  <c r="G26" i="1" s="1"/>
  <c r="G27" i="1" s="1"/>
  <c r="M14" i="1" a="1"/>
  <c r="M14"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EFE16BED-B035-4D67-8549-AE52C30FC836}">
      <text>
        <r>
          <rPr>
            <sz val="10"/>
            <color rgb="FF000000"/>
            <rFont val="Aptos Narrow"/>
            <scheme val="minor"/>
          </rPr>
          <t>Pondere din nota de la E / V</t>
        </r>
      </text>
    </comment>
    <comment ref="K127" authorId="0" shapeId="0" xr:uid="{6CCD7E87-4098-406E-B947-44685C32D646}">
      <text>
        <r>
          <rPr>
            <sz val="10"/>
            <color rgb="FF000000"/>
            <rFont val="Aptos Narrow"/>
            <scheme val="minor"/>
          </rPr>
          <t>Pondere din nota de la E / V</t>
        </r>
      </text>
    </comment>
    <comment ref="K128" authorId="0" shapeId="0" xr:uid="{EDB9B61F-5070-4DDE-B667-5E6F87634FE1}">
      <text>
        <r>
          <rPr>
            <sz val="10"/>
            <color rgb="FF000000"/>
            <rFont val="Aptos Narrow"/>
            <scheme val="minor"/>
          </rPr>
          <t>Pondere din nota de la E / V</t>
        </r>
      </text>
    </comment>
  </commentList>
</comments>
</file>

<file path=xl/sharedStrings.xml><?xml version="1.0" encoding="utf-8"?>
<sst xmlns="http://schemas.openxmlformats.org/spreadsheetml/2006/main" count="237" uniqueCount="163">
  <si>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</si>
  <si>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</si>
  <si>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</si>
  <si>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</si>
  <si>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</si>
  <si>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</si>
  <si>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</si>
  <si>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</si>
  <si>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</si>
  <si>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</si>
  <si>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</si>
  <si>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</si>
  <si>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</si>
  <si>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Fizică</t>
  </si>
  <si>
    <t>(în limba engleză, conform Suplimentului la diplomă)</t>
  </si>
  <si>
    <t>2.1.2. Codul disciplinei</t>
  </si>
  <si>
    <t xml:space="preserve">2.1.3. Categoria formativă </t>
  </si>
  <si>
    <t>2.2 Titularul / titularii activităţilor de curs</t>
  </si>
  <si>
    <t>Conf. dr. fiz. Ciobanu Iulia Brindusa</t>
  </si>
  <si>
    <t>2.3 Titularul / titularii activităţilor de aplicaţii (S, L, P, Pr)</t>
  </si>
  <si>
    <t xml:space="preserve">Conf. dr. fiz. Ciobanu Iulia Brindusa								</t>
  </si>
  <si>
    <t>Sef lucr. dr. fiz. Coman Tudor Bogdan</t>
  </si>
  <si>
    <t>Dr. fiz. Asandulesa Mihai Gabriel</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</si>
  <si>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</si>
  <si>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</si>
  <si>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</si>
  <si>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</si>
  <si>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</si>
  <si>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</si>
  <si>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</si>
  <si>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</si>
  <si>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</si>
  <si>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</si>
  <si>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</si>
  <si>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</si>
  <si>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</si>
  <si>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</si>
  <si>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</si>
  <si>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</si>
  <si>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</si>
  <si>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</si>
  <si>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</si>
  <si>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</si>
  <si>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</si>
  <si>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</si>
  <si>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</si>
  <si>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</si>
  <si>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</si>
  <si>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</si>
  <si>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</si>
  <si>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</si>
  <si>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</si>
  <si>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</si>
  <si>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</si>
  <si>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operatii cu vectori (adunare, produs scalar, produs vectorial), derivarea unei functii, integrarea functiilor.</t>
  </si>
  <si>
    <t>5. Condiţii</t>
  </si>
  <si>
    <t>5.1 de desfăşurare a cursului</t>
  </si>
  <si>
    <t>- tablă, calculator, videoproiector, conexiune internet</t>
  </si>
  <si>
    <t>5.2 de desfăşurare a seminarului / laboratorului / proiectului</t>
  </si>
  <si>
    <t>- tablă magnetica, tabla inteligenta, videoproiector, calculator, conexiune internet (retea de calculatoare in laborator)</t>
  </si>
  <si>
    <t>6. Obiectivul general al disciplinei</t>
  </si>
  <si>
    <t>Însuşirea noţiunilor, principiilor, teoriilor şi metodelor specifice Fizicii, in legatura directa cu aplicaţiile din domeniul ştiinţelor inginereşti. Studentul este incurajat sa-si dezvolte abilităţi de modelare si interpretare a fenomenelor, sa dobandeasca aptitudini si competente necesare studiului experimental, sa-si potenteze creativitatea in domeniul tehnic.</t>
  </si>
  <si>
    <t>7. Rezultatele învățării</t>
  </si>
  <si>
    <t>Cunoștințe</t>
  </si>
  <si>
    <t>Studentul / Absolventul:</t>
  </si>
  <si>
    <t>- descrie structura corpusculara a materiei, in contextul Modelului Standard, evidentiind comportarea electronului si a fotonului, in scopul modelarii qbitului;
- defineste marimile care descriu evolutia mecanica a particulelor, din punct de vedere cinematic (viteza, acceleratie) si dinamic (impuls, forta, moment al fortei, moment cinetic, lucru mecanic, energie cinetica, potentiala si totala), specificand unitatile de masura;
- explica si interpreteaza enuntul principiilor si al legilor mecanicii clasice in cazul evolutiei unor sisteme fizice particulare;
- defineste marimile caracteristice fluidelor (densitate, presiune, coeficient si modul de compresibilitate, coeficient de vascozitate, numarul lui Mach, numarul lui Reynolds, debit masic, debit volumic), specificand unitatile de masura;
- explica si interpreteaza ecuatia fundamentala a staticii fluidelor si ecuatiile specifice dinamicii fluidelor (ecuatia de continuitate, ecuatia de miscare Euler, ecuatia Navier-Stokes, legea Hagen-Poiseiulle);
- defineste notiunile specifice fenomenelor ondulatorii (unda in sensul general, unda mecanica, unda electromagnetica, unda stationara, functia de unda, frontul de unda, viteza de faza, amplitudinea, perioada, frecventa, pulsatia, lungimea de unda, intensitatea undei), specificand unitatile de masura ale marimilor;
- defineste notiunile specifice fenomenelor ondulatorii (unda in sensul general, unda mecanica, unda electromagnetica, unda stationara, functia de unda, frontul de unda, viteza de faza, amplitudinea, perioada, frecventa, pulsatia, lungimea de unda, intensitatea undei), specificand unitatile de masura ale marimilor;
- intrepreteaza ecuatia diferentiala a undelor in medii ideale si solutiile particulare ale acesteia (unda plana monocromatica, unda circulara si unda sferica);
- explica particularitatile undelor sonore si marimile specifice (frecventa, viteza, intensitate, nivel sonor);
- defineste notiunile de baza ale Electrostaticii (sarcina electrica, distributii de sarcina electrica, forte de interactiune electrostatica, intensitatea si potentialul campului electric, energia in camp electrostatic, capacitatea electrica), ale Electrocineticii (curentul electric de conductie, intensitatea si densitatea superficiala a curentului electric, tensiunea electrica, conductivitatea si rezistivitatea electrica, conductanta si rezistenta electrica) si ale Electromagnetismului (forta Lorentz, forta Laplace, campul electromagnetic, fenomenul de inductie electromagnetica, inductanta electrica), specificand unitatile de masura ale marimilor;
- interpreteaza legea lui Coulomb si alte tipuri de interactiuni electrostatice care se deduc din aceasta (pentru distributii discrete sau continue de sarcini electrice);
- explica relatia de legatura dintre intensitatea si potentialul campului electric;
- explica legea lui Ohm in forma locala si forma globala;
- interpreteaza ecuatiile lui Maxwell, evidentiind aspectul fenomenologic;
- recunoaste contextul in care se aplica TRR;
- interpreteaza comportarea masei si a energiei in TRR;
- defineste aspectul ondulatoriu al substantei si aspectul corpuscular al undelor electromagnetice;
- explica comportarea duala a materiei, apeland la ipoteza lui de Broglie si la ecuatia lui Schrodinger;
- defineste notiunile care intervin in explicarea conductiei electrice pe baza modelului Bloch-Brillouin (nivel energetic, banda de energie, benzi permise si benzi interzise, energie de activare, electron de conductie, gol);
- explica modelul Bloch-Brillouin si clasificarea solidelor cristaline in functie de conductia electrica;
- explica comportarea marimilor specifice conductiei electrice in functie de temperaratura pentru semiconductorii intrinseci.</t>
  </si>
  <si>
    <t>Aptitudini</t>
  </si>
  <si>
    <t>- aplica principiul fundamental al mecanicii pentru a deduce ecuatiile de miscare ale particulei sau ale elementului de fluid;
- aplica notiunile specifice fenomenelor ondulatorii in studiul undelor stationare mecanice si electromagnetice;
- aplica legea lui Ohm si legile lui Kirchhoff in cazuri particulare concrete;
- analizeaza fenomenul de inductie electromagnetica in cazuri practice concrete (circuitul RLC, transformatorul electric monofazat, propagarea undelor electromagnetice stationare);
- aplica notiunile de fizica cuantica in studiul atomului de hidrogen;
- interpreteaza efectul fotoelectric pe baza notiunilor de fizica cuantica;
- aplica modelul Bloch-Brillouin in studiul conductiei electrice a semiconductorilor;
- rezolva aplicatii simple ale fenomenelor studiate specificand unitatile de masura;
- descrie fenomene fizice cu aplicatii in inginerie (senzori si traductoare, generatorul de semnal, dioda semiconductoare, celula solara);
- masoara marimi fizice prin metode analogice si digitale;
- prelucreaza marimile fizice masurate cu ajutorul programelor de calcul (Excel, Measure, Measure Lab);
- interpreteaza rezultatele experimentale pe baza calculelor si a reprezentarilor grafice;
- discuta valorile erorilor de masura evaluate si sursele acestora.</t>
  </si>
  <si>
    <t>Responsabilitate și autonomie</t>
  </si>
  <si>
    <t xml:space="preserve"> - argumenteaza, pe baza notiunilor, principiilor si metodelor de modelare din fizica, concluziile formulate la cerintele teoretice si practice;
- apreciaza valentele formative ale aplicatiilor teoretice si experimentale, discutate la curs, laborator, sau propuse ca tema in programul de studiu individual; 
- manifesta respect si toleranta fata de colegii cu care colaboreaza in echipa de studiu;
- se integreaza in echipa/grupul de lucru pe parcursul procesului de masurare, prelucrare si interpretare a datelor experimentale.</t>
  </si>
  <si>
    <t xml:space="preserve">8. Metode de predare </t>
  </si>
  <si>
    <t xml:space="preserve">Prezentare la tablă, însoțită de întrebări de sondaj, cu rol de feed-back şi de stimulare a auditoriului.
Utilizarea videoproiectorului pentru discutia aplicațiilor din domeniul ingineriei.
</t>
  </si>
  <si>
    <t>9. Conţinuturi</t>
  </si>
  <si>
    <t>9.1. Curs</t>
  </si>
  <si>
    <t>Metode de predare</t>
  </si>
  <si>
    <t>Timp alocat</t>
  </si>
  <si>
    <t>1</t>
  </si>
  <si>
    <r>
      <rPr>
        <b/>
        <i/>
        <sz val="12"/>
        <color theme="1"/>
        <rFont val="Arial"/>
      </rPr>
      <t>Introducere in studiul Fizicii. Structura materiei pe baza Modelului Standard</t>
    </r>
    <r>
      <rPr>
        <sz val="12"/>
        <color theme="1"/>
        <rFont val="Arial"/>
      </rPr>
      <t xml:space="preserve"> (particule elementare, tipuri de interactiuni fundamentale, bozoni si fermioni, momentul cinetic de spin al electronului si qbitul)</t>
    </r>
  </si>
  <si>
    <t>2 ore</t>
  </si>
  <si>
    <t>2</t>
  </si>
  <si>
    <r>
      <rPr>
        <b/>
        <i/>
        <sz val="12"/>
        <color theme="1"/>
        <rFont val="Arial"/>
      </rPr>
      <t>Principii ale fizicii clasice. Legi de conservare</t>
    </r>
    <r>
      <rPr>
        <sz val="12"/>
        <color theme="1"/>
        <rFont val="Arial"/>
      </rPr>
      <t xml:space="preserve"> (notiuni de cinematica si dinamica clasica, principii ale mecanicii clasice, integrarea ecuatiilor de miscare, fortele conservative si energia potentiala, teoreme fundamentale ale mecanicii clasice)</t>
    </r>
  </si>
  <si>
    <t>4 ore</t>
  </si>
  <si>
    <t>3</t>
  </si>
  <si>
    <r>
      <rPr>
        <b/>
        <i/>
        <sz val="12"/>
        <color theme="1"/>
        <rFont val="Arial"/>
      </rPr>
      <t>Mecanica fluidelor</t>
    </r>
    <r>
      <rPr>
        <sz val="12"/>
        <color theme="1"/>
        <rFont val="Arial"/>
      </rPr>
      <t xml:space="preserve"> (definitii, exemple, marimi caracteristice, ecuatia fundamentala a staticii fluidelor, fluide incompresibile, presiunea hidrostatica, fluide compresibile, formula barometrica, ecuatia de continuitate, ecuatia de miscare Euler pentru fluide ideale, legea lui Bernoulli, ecuatia Navier-Stokes pentru fluide vascoase newtoniene, legea Hagen-Poiseuille pentru debitul volumic al fluidelor vascoase)</t>
    </r>
  </si>
  <si>
    <t>4</t>
  </si>
  <si>
    <r>
      <rPr>
        <b/>
        <i/>
        <sz val="12"/>
        <color theme="1"/>
        <rFont val="Arial"/>
      </rPr>
      <t>Fenomene ondulatorii</t>
    </r>
    <r>
      <rPr>
        <sz val="12"/>
        <color theme="1"/>
        <rFont val="Arial"/>
      </rPr>
      <t xml:space="preserve"> (notiuni introductive, ecuatia undei plane si marimi caracteristice, ecuatia diferentiala a undelor si solutii particulare, viteza de propagare a undelor mecanice prin diverse medii, intensitatea si puterea undelor mecanice, unde mecanice stationare, unde sonore si marimi caracteristice)</t>
    </r>
  </si>
  <si>
    <t>5</t>
  </si>
  <si>
    <r>
      <rPr>
        <b/>
        <i/>
        <sz val="12"/>
        <color theme="1"/>
        <rFont val="Arial"/>
      </rPr>
      <t>Electricitate si magnetism</t>
    </r>
    <r>
      <rPr>
        <sz val="12"/>
        <color theme="1"/>
        <rFont val="Arial"/>
      </rPr>
      <t xml:space="preserve">
Electrostica (sarcina electrica, corpuri incarcate electric, distributii continue de sarcini electrice, legea lui Coulomb, forte de interactiune electrostatica, intensitatea campului electric, fluxul campului electric si legea lui Gauss, potentialul campului electric si tensiunea electrica, polarizarea dielecticilor, capacitatea electrica, energia campului electrostatic). 
Electrocinetica (tipuri de curenti electrici, intensitatea si densitatea superficiala a curentului electric, ecuatia de continuitate, legea lui Ohm). 
Electromagnetism (forta Lorentz, campul electromagnetic si ecuatiile lui Maxwell, fenomenul de inductie electromagnetica, unde electromagnetice</t>
    </r>
  </si>
  <si>
    <t>6 ore</t>
  </si>
  <si>
    <t>6</t>
  </si>
  <si>
    <r>
      <rPr>
        <b/>
        <i/>
        <sz val="12"/>
        <color theme="1"/>
        <rFont val="Arial"/>
      </rPr>
      <t>Elemente de teoria relativitatii</t>
    </r>
    <r>
      <rPr>
        <sz val="12"/>
        <color theme="1"/>
        <rFont val="Arial"/>
      </rPr>
      <t xml:space="preserve"> (principiile teoriei relativitatii restranse-TRR, formulele de transformare Lorentz-Einstein si aplicatii cinematice, masa, impulsul si energia particulei in TRR)</t>
    </r>
  </si>
  <si>
    <t xml:space="preserve">2 ore </t>
  </si>
  <si>
    <t>7</t>
  </si>
  <si>
    <r>
      <rPr>
        <b/>
        <i/>
        <sz val="12"/>
        <color theme="1"/>
        <rFont val="Arial"/>
      </rPr>
      <t>Elemente de fizica cuantica</t>
    </r>
    <r>
      <rPr>
        <sz val="12"/>
        <color theme="1"/>
        <rFont val="Arial"/>
      </rPr>
      <t xml:space="preserve"> (comportarea duala a materiei, ipoteza lui de Broglie, efectul fotoelectric, ecuatia lui Schrodinger, particula in groapa de potential, atomul de hidrogen in fizica cuantica, modelarea bitului quantic) </t>
    </r>
  </si>
  <si>
    <t xml:space="preserve">3 ore </t>
  </si>
  <si>
    <t>8</t>
  </si>
  <si>
    <r>
      <rPr>
        <b/>
        <i/>
        <sz val="12"/>
        <color theme="1"/>
        <rFont val="Arial"/>
      </rPr>
      <t>Fizica starii solide</t>
    </r>
    <r>
      <rPr>
        <sz val="12"/>
        <color theme="1"/>
        <rFont val="Arial"/>
      </rPr>
      <t xml:space="preserve"> (modelul Bloch-Brillouin al benzilor de energie, fenomenul de conductie electrica in cazul semiconductorilor intrinseci si al semiconductorilor extrinseci)</t>
    </r>
  </si>
  <si>
    <t>3 ore</t>
  </si>
  <si>
    <t>9</t>
  </si>
  <si>
    <t>10</t>
  </si>
  <si>
    <t>11</t>
  </si>
  <si>
    <t>12</t>
  </si>
  <si>
    <t>13</t>
  </si>
  <si>
    <t>14</t>
  </si>
  <si>
    <t xml:space="preserve">Bibliografie curs:
1. R. Feynman, (1970), Fizica modernă, Vol. 1, 2, 3, Editura Tehnică, Bucureşti
2. D. Halliday, R. Resnick, (1980), Fizică, Vol.1-2, Editura Didactică şi Pedagogică, Bucuresti
3. Cursul de Fizica Berkeley, (1981), Vol. 1-5, Editura Didactică şi Pedagogică, Bucureşti
4. C. Cotae, M. Agop, B. Ciobanu, (1999), Fizică, Vol. I, Mecanică şi termodinamică clasică, Editura Ştefan Procopiu, Iaşi
5. B. Ciobanu, M. Agop, C. Cotae, (1999), Fizică, Vol. II, Optică şi electromagnetism, Editura Ştefan Procopiu, Iaşi
6. A. F. J. Levi, Applied Quantum Mechanics, (2006), Second edition, Cambridge University Press
7. I. B. Ciobanu, (2009), Elemente de mecanică cuantică, Editura PIM, Iaşi
8. I. B. Ciobanu, G. Apreotesei, (2009), Fizică generală. Aplicaţii, Editura PIM, Iaşi
9. G. Apreotesei, I. B. Ciobanu, (2010), Electricitate şi magnetism. Fenomene optice. Aplicaţii, Editura PIM, Iaşi 
10. G. Apreotesei, I. B. Ciobanu, (2011), Elemente de fizică pentru învăţământul superior, Editura PIM, Iaşi
11. I. B. Ciobanu, G. Apreotesei, (2015), Modelarea fenomenelor fizice cu aplicaţii în inginerie, Editura PIM, Iaşi
12. G. Apreotesei, I. B. Ciobanu, (2021), Fizica pentru învăţământul tehnic superior. Teorie şi aplicaţii, Editura PIM, Iaşi
</t>
  </si>
  <si>
    <t>9.2a Seminar</t>
  </si>
  <si>
    <t>Metode de lucru</t>
  </si>
  <si>
    <t>Sisteme de marimi si unitati de masura. Multipli si submultipli. Operatii cu vectori si exemple din Fizica. Derivarea functiilor si exemple din Fizica. Operatori vectoriali diferentiali (formule, semnificatii, exemple din Fizica)</t>
  </si>
  <si>
    <t xml:space="preserve">Rezolvarea de catre studenti a problemelor, pe baza cunostintelor acumulate la curs, laborator si in orele de studiu individual. Incurajarea studentilor in prezentarea unor solutii proprii, originale, argumentate fenomenologic, prin metode matematice eficiente si elegante. </t>
  </si>
  <si>
    <t>Mecanica clasica. Rezolvari de probleme</t>
  </si>
  <si>
    <t>Mecanica fluidelor. Rezolvari de probleme</t>
  </si>
  <si>
    <t>Fenomene ondulatorii. Rezolvari de probleme</t>
  </si>
  <si>
    <t>Electromagnetism. Rezolvari de probleme</t>
  </si>
  <si>
    <t>Fizica cuantica. Rezolvari de probleme</t>
  </si>
  <si>
    <t>Fizica solidului. Rezolvari de probleme</t>
  </si>
  <si>
    <t>9.2b Laborator</t>
  </si>
  <si>
    <t>Instructaj de protectia muncii. Notiuni de prelucrare a datelor experimentale</t>
  </si>
  <si>
    <t xml:space="preserve">Participarea studentilor la discutii premergatoare efectuarii experimentului, pe baza materialului bibliografic studiat in prealabil. 
Trecerea in revista a scopului lucrarii de laborator, a notiunilor, fenomenelor si marimilor necesare pentru intelegerea aplicatiei practice.
Prezentarea si discutarea dispozitivul experimental.
Studentii vor efectua masuratori individuale, sau in echipa, si vor prelucra valorile experimentale prin metode specifice (programe de achizitie si de calcul, trasari de grafice, evaluarea erorilor de masura).
Studentii vor interpreta rezultatele, sursele de eroare si vor fi incurajati sa propuna solutii experimentale proprii. </t>
  </si>
  <si>
    <r>
      <rPr>
        <b/>
        <sz val="12"/>
        <color theme="1"/>
        <rFont val="Arial"/>
      </rPr>
      <t>L1.</t>
    </r>
    <r>
      <rPr>
        <sz val="12"/>
        <color theme="1"/>
        <rFont val="Arial"/>
      </rPr>
      <t xml:space="preserve"> Oscilatii armonice. Studiul propagarii undelor mecanice prin gaze</t>
    </r>
  </si>
  <si>
    <r>
      <rPr>
        <b/>
        <sz val="12"/>
        <color theme="1"/>
        <rFont val="Arial"/>
      </rPr>
      <t>L2.</t>
    </r>
    <r>
      <rPr>
        <sz val="12"/>
        <color theme="1"/>
        <rFont val="Arial"/>
      </rPr>
      <t xml:space="preserve"> Oscilatii amortizate in circiute RLC serie</t>
    </r>
  </si>
  <si>
    <r>
      <rPr>
        <b/>
        <sz val="12"/>
        <color theme="1"/>
        <rFont val="Arial"/>
      </rPr>
      <t>L3.</t>
    </r>
    <r>
      <rPr>
        <sz val="12"/>
        <color theme="1"/>
        <rFont val="Arial"/>
      </rPr>
      <t xml:space="preserve"> Moduri naturale de vibratie sub actiunea fortei Laplace</t>
    </r>
  </si>
  <si>
    <r>
      <rPr>
        <b/>
        <sz val="12"/>
        <color theme="1"/>
        <rFont val="Arial"/>
      </rPr>
      <t>L4.</t>
    </r>
    <r>
      <rPr>
        <sz val="12"/>
        <color theme="1"/>
        <rFont val="Arial"/>
      </rPr>
      <t xml:space="preserve"> Studiul miscarii sarcinilor electrice in camp magnetic. Determinarea sarcinii specifice a electronului</t>
    </r>
  </si>
  <si>
    <r>
      <rPr>
        <b/>
        <sz val="12"/>
        <color theme="1"/>
        <rFont val="Arial"/>
      </rPr>
      <t>L5.</t>
    </r>
    <r>
      <rPr>
        <sz val="12"/>
        <color theme="1"/>
        <rFont val="Arial"/>
      </rPr>
      <t xml:space="preserve"> Studiul fenomenului de inductie electromagnetica si al producerii undelor electromagnetice stationare</t>
    </r>
  </si>
  <si>
    <r>
      <rPr>
        <b/>
        <sz val="12"/>
        <color theme="1"/>
        <rFont val="Arial"/>
      </rPr>
      <t xml:space="preserve">L6. </t>
    </r>
    <r>
      <rPr>
        <sz val="12"/>
        <color theme="1"/>
        <rFont val="Arial"/>
      </rPr>
      <t>Studiul transformatorului</t>
    </r>
  </si>
  <si>
    <r>
      <rPr>
        <b/>
        <sz val="12"/>
        <color theme="1"/>
        <rFont val="Arial"/>
      </rPr>
      <t>L7.</t>
    </r>
    <r>
      <rPr>
        <sz val="12"/>
        <color theme="1"/>
        <rFont val="Arial"/>
      </rPr>
      <t xml:space="preserve"> Studiul legilor lui Kirchhoff pentru circuite electrice. Determinarea emisivitatii termice a unui element neliniar de circuit</t>
    </r>
  </si>
  <si>
    <r>
      <rPr>
        <b/>
        <sz val="12"/>
        <color theme="1"/>
        <rFont val="Arial"/>
      </rPr>
      <t>L8.</t>
    </r>
    <r>
      <rPr>
        <sz val="12"/>
        <color theme="1"/>
        <rFont val="Arial"/>
      </rPr>
      <t xml:space="preserve"> Studiul efectului fotoelectric extern</t>
    </r>
  </si>
  <si>
    <r>
      <rPr>
        <b/>
        <sz val="12"/>
        <color theme="1"/>
        <rFont val="Arial"/>
      </rPr>
      <t>L9.</t>
    </r>
    <r>
      <rPr>
        <sz val="12"/>
        <color theme="1"/>
        <rFont val="Arial"/>
      </rPr>
      <t xml:space="preserve"> Studiul conductiei electrice pe baza modelului Bloch-Brillouin. Determinarea energiei de activare a unui semiconductor intrinsec</t>
    </r>
  </si>
  <si>
    <r>
      <rPr>
        <b/>
        <sz val="12"/>
        <color theme="1"/>
        <rFont val="Arial"/>
      </rPr>
      <t>L10.</t>
    </r>
    <r>
      <rPr>
        <sz val="12"/>
        <color theme="1"/>
        <rFont val="Arial"/>
      </rPr>
      <t xml:space="preserve"> Studiul diodei semiconductoare</t>
    </r>
  </si>
  <si>
    <r>
      <rPr>
        <b/>
        <sz val="12"/>
        <color theme="1"/>
        <rFont val="Arial"/>
      </rPr>
      <t>L11.</t>
    </r>
    <r>
      <rPr>
        <sz val="12"/>
        <color theme="1"/>
        <rFont val="Arial"/>
      </rPr>
      <t xml:space="preserve"> Studiul efectului Hall la semiconductorilor extrinseci</t>
    </r>
  </si>
  <si>
    <r>
      <rPr>
        <b/>
        <sz val="12"/>
        <color theme="1"/>
        <rFont val="Arial"/>
      </rPr>
      <t>L12.</t>
    </r>
    <r>
      <rPr>
        <sz val="12"/>
        <color theme="1"/>
        <rFont val="Arial"/>
      </rPr>
      <t xml:space="preserve"> Efectul fotovoltaic. Determinarea eficientei celulei solare</t>
    </r>
  </si>
  <si>
    <t>Sedinta de recuperari. Definitivarea situatiei de laborator</t>
  </si>
  <si>
    <t>9.2c Proiect</t>
  </si>
  <si>
    <r>
      <rPr>
        <sz val="12"/>
        <color theme="1"/>
        <rFont val="Arial"/>
      </rPr>
      <t xml:space="preserve">Bibliografie aplicaţii (seminar si laborator):
1. Iulia Brînduşa Ciobanu, Gabriela Apreotesei, </t>
    </r>
    <r>
      <rPr>
        <i/>
        <sz val="12"/>
        <color theme="1"/>
        <rFont val="Arial"/>
      </rPr>
      <t>Fenomene fizice şi aplicaţi</t>
    </r>
    <r>
      <rPr>
        <sz val="12"/>
        <color theme="1"/>
        <rFont val="Arial"/>
      </rPr>
      <t xml:space="preserve">i, Editura PIM, Iaşi, 2022
2. Gabriela Apreotesei, Iulia Brînduşa Ciobanu, </t>
    </r>
    <r>
      <rPr>
        <i/>
        <sz val="12"/>
        <color theme="1"/>
        <rFont val="Arial"/>
      </rPr>
      <t>Fizica pentru învâţământul tehnic superior. Teorie şi aplicaţii</t>
    </r>
    <r>
      <rPr>
        <sz val="12"/>
        <color theme="1"/>
        <rFont val="Arial"/>
      </rPr>
      <t xml:space="preserve">, Editura PIM, Iaşi, 2021
</t>
    </r>
  </si>
  <si>
    <t>10. Evaluare</t>
  </si>
  <si>
    <t>Tip activitate</t>
  </si>
  <si>
    <t>10.1 Criterii de evaluare</t>
  </si>
  <si>
    <t>10.2 Metode de evaluare</t>
  </si>
  <si>
    <t>10.3 Pondere din nota finală [%]</t>
  </si>
  <si>
    <t>10.4 Examen / Verificare</t>
  </si>
  <si>
    <t>Completitudinea şi corectitudinea cunoştinţelor predate. 
Coerenţa logică, fluenţa, forţa de argumentare. 
Capacitatea de analiză, de interpretare personală, originalitatea, creativitatea. 
Gradul de asimilare a limbajului de specialitate şi capacitatea de comunicare.
Capacitatea de a prelucra datele și problemele enunțate.</t>
  </si>
  <si>
    <t>- test de evaluare (teorie si probleme) in saptamana a 7-a.</t>
  </si>
  <si>
    <t>40%</t>
  </si>
  <si>
    <t>- test de evaluare (teorie si probleme) in saptamana a 11-a.</t>
  </si>
  <si>
    <t>- test de evaluare (teorie si probleme) in saptamana a 13-a.</t>
  </si>
  <si>
    <t>20%</t>
  </si>
  <si>
    <t>10.5a Seminar</t>
  </si>
  <si>
    <t>Capacitatea de aplicare în practică a cunoştinţelor învăţate. Capacitatea de analiză, de interpretare personală, originalitatea, creativitatea.</t>
  </si>
  <si>
    <t>- participare activă la rezolvarea exercitiilor si problemelor, la tabla, sau individual, in banca.</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</si>
  <si>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</si>
  <si>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</si>
  <si>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raspunsuri la intrebarile din referatele de laborator;
 - efectuarea de masuratori si prelucrarea acestora;
 - prezentarea rezultatelor finale (grafice, calcul al erorilor si interpretari).</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</si>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</sst>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b/>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164" fontId="2"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FC22-2551-4C48-807C-704891C82F5B}">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Physics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AIA.FIZ.104</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t="s">
        <v>22</v>
      </c>
      <c r="F19" s="8"/>
      <c r="G19" s="8"/>
      <c r="H19" s="8"/>
      <c r="I19" s="8"/>
      <c r="J19" s="8"/>
      <c r="K19" s="8"/>
      <c r="L19" s="8"/>
      <c r="M19" s="10"/>
      <c r="N19" s="5"/>
    </row>
    <row r="20" spans="1:14" ht="15.5"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23</v>
      </c>
      <c r="B23" s="10"/>
      <c r="C23" s="27">
        <f>[1]Date!B4</f>
        <v>1</v>
      </c>
      <c r="D23" s="28" t="s">
        <v>24</v>
      </c>
      <c r="E23" s="27">
        <f t="array" aca="1" ref="E23" ca="1">INDEX([1]Date!A8:A21, MATCH(E12,[1]Date!C8:C21,0),0)</f>
        <v>1</v>
      </c>
      <c r="F23" s="29" t="s">
        <v>25</v>
      </c>
      <c r="G23" s="8"/>
      <c r="H23" s="10"/>
      <c r="I23" s="22" t="str">
        <f t="array" aca="1" ref="I23" ca="1">INDEX([1]Date!M8:M21, MATCH(E12,[1]Date!C8:C21,0),0)</f>
        <v>V</v>
      </c>
      <c r="J23" s="29" t="s">
        <v>26</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31">
        <f ca="1">SUM(E26+G26+I26+K26)</f>
        <v>5</v>
      </c>
      <c r="D26" s="28" t="s">
        <v>29</v>
      </c>
      <c r="E26" s="27">
        <f t="array" aca="1" ref="E26" ca="1">INDEX([1]Date!H8:H21, MATCH(E12,[1]Date!C8:C21,0),0)</f>
        <v>2</v>
      </c>
      <c r="F26" s="28" t="s">
        <v>30</v>
      </c>
      <c r="G26" s="27">
        <f t="array" aca="1" ref="G26" ca="1">INDEX([1]Date!I8:I21, MATCH(E12,[1]Date!C8:C21,0),0)</f>
        <v>1</v>
      </c>
      <c r="H26" s="28" t="s">
        <v>31</v>
      </c>
      <c r="I26" s="31">
        <f t="array" aca="1" ref="I26" ca="1">INDEX([1]Date!J8:J21, MATCH(E12,[1]Date!C8:C21,0),0)</f>
        <v>2</v>
      </c>
      <c r="J26" s="28" t="s">
        <v>32</v>
      </c>
      <c r="K26" s="27">
        <f t="array" aca="1" ref="K26" ca="1">INDEX([1]Date!K8:K21, MATCH(E12,[1]Date!C8:C21,0),0)</f>
        <v>0</v>
      </c>
      <c r="L26" s="7" t="s">
        <v>33</v>
      </c>
      <c r="M26" s="10"/>
      <c r="N26" s="30"/>
    </row>
    <row r="27" spans="1:14" ht="31" x14ac:dyDescent="0.35">
      <c r="A27" s="7" t="s">
        <v>34</v>
      </c>
      <c r="B27" s="10"/>
      <c r="C27" s="27">
        <f ca="1">C26*14</f>
        <v>70</v>
      </c>
      <c r="D27" s="28" t="s">
        <v>35</v>
      </c>
      <c r="E27" s="27">
        <f ca="1">E26*14</f>
        <v>28</v>
      </c>
      <c r="F27" s="28" t="s">
        <v>36</v>
      </c>
      <c r="G27" s="27">
        <f ca="1">G26*14</f>
        <v>14</v>
      </c>
      <c r="H27" s="28" t="s">
        <v>37</v>
      </c>
      <c r="I27" s="27">
        <f ca="1">I26*14</f>
        <v>28</v>
      </c>
      <c r="J27" s="28" t="s">
        <v>38</v>
      </c>
      <c r="K27" s="27">
        <f ca="1">K26*14</f>
        <v>0</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2">
        <v>25</v>
      </c>
      <c r="N29" s="5"/>
    </row>
    <row r="30" spans="1:14" ht="15.5" x14ac:dyDescent="0.35">
      <c r="A30" s="7" t="s">
        <v>43</v>
      </c>
      <c r="B30" s="8"/>
      <c r="C30" s="8"/>
      <c r="D30" s="8"/>
      <c r="E30" s="8"/>
      <c r="F30" s="8"/>
      <c r="G30" s="8"/>
      <c r="H30" s="8"/>
      <c r="I30" s="8"/>
      <c r="J30" s="8"/>
      <c r="K30" s="8"/>
      <c r="L30" s="10"/>
      <c r="M30" s="32">
        <v>10</v>
      </c>
      <c r="N30" s="5"/>
    </row>
    <row r="31" spans="1:14" ht="15.5" x14ac:dyDescent="0.35">
      <c r="A31" s="7" t="s">
        <v>44</v>
      </c>
      <c r="B31" s="8"/>
      <c r="C31" s="8"/>
      <c r="D31" s="8"/>
      <c r="E31" s="8"/>
      <c r="F31" s="8"/>
      <c r="G31" s="8"/>
      <c r="H31" s="8"/>
      <c r="I31" s="8"/>
      <c r="J31" s="8"/>
      <c r="K31" s="8"/>
      <c r="L31" s="10"/>
      <c r="M31" s="32">
        <v>30</v>
      </c>
      <c r="N31" s="5"/>
    </row>
    <row r="32" spans="1:14" ht="15.5" x14ac:dyDescent="0.35">
      <c r="A32" s="7" t="s">
        <v>45</v>
      </c>
      <c r="B32" s="8"/>
      <c r="C32" s="8"/>
      <c r="D32" s="8"/>
      <c r="E32" s="8"/>
      <c r="F32" s="8"/>
      <c r="G32" s="8"/>
      <c r="H32" s="8"/>
      <c r="I32" s="8"/>
      <c r="J32" s="8"/>
      <c r="K32" s="8"/>
      <c r="L32" s="10"/>
      <c r="M32" s="27">
        <f t="array" aca="1" ref="M32" ca="1">IF(INDEX([1]Date!M8:M21, MATCH(E12,[1]Date!C8:C21,0),0)="E",3,0)</f>
        <v>0</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INDEX([1]Date!L8:L21, MATCH(E12,[1]Date!C8:C21,0),0)</f>
        <v>65</v>
      </c>
      <c r="D34" s="5"/>
      <c r="E34" s="5"/>
      <c r="F34" s="5"/>
      <c r="G34" s="5"/>
      <c r="H34" s="5"/>
      <c r="I34" s="5"/>
      <c r="J34" s="5"/>
      <c r="K34" s="5"/>
      <c r="L34" s="5"/>
      <c r="M34" s="5"/>
      <c r="N34" s="5"/>
    </row>
    <row r="35" spans="1:14" ht="15.5" x14ac:dyDescent="0.35">
      <c r="A35" s="7" t="s">
        <v>48</v>
      </c>
      <c r="B35" s="10"/>
      <c r="C35" s="27">
        <f ca="1">C27+M32+C34</f>
        <v>135</v>
      </c>
      <c r="D35" s="5"/>
      <c r="E35" s="5"/>
      <c r="F35" s="5"/>
      <c r="G35" s="5"/>
      <c r="H35" s="5"/>
      <c r="I35" s="5"/>
      <c r="J35" s="5"/>
      <c r="K35" s="5"/>
      <c r="L35" s="5"/>
      <c r="M35" s="5"/>
      <c r="N35" s="5"/>
    </row>
    <row r="36" spans="1:14" ht="15.5" x14ac:dyDescent="0.35">
      <c r="A36" s="7" t="s">
        <v>49</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t="s">
        <v>54</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2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3" t="s">
        <v>63</v>
      </c>
      <c r="B50" s="34" t="s">
        <v>64</v>
      </c>
      <c r="C50" s="8"/>
      <c r="D50" s="8"/>
      <c r="E50" s="8"/>
      <c r="F50" s="8"/>
      <c r="G50" s="8"/>
      <c r="H50" s="8"/>
      <c r="I50" s="8"/>
      <c r="J50" s="8"/>
      <c r="K50" s="8"/>
      <c r="L50" s="8"/>
      <c r="M50" s="10"/>
      <c r="N50" s="5"/>
    </row>
    <row r="51" spans="1:14" ht="15.5" x14ac:dyDescent="0.35">
      <c r="A51" s="35"/>
      <c r="B51" s="36" t="s">
        <v>65</v>
      </c>
      <c r="C51" s="8"/>
      <c r="D51" s="8"/>
      <c r="E51" s="8"/>
      <c r="F51" s="8"/>
      <c r="G51" s="8"/>
      <c r="H51" s="8"/>
      <c r="I51" s="8"/>
      <c r="J51" s="8"/>
      <c r="K51" s="8"/>
      <c r="L51" s="8"/>
      <c r="M51" s="10"/>
      <c r="N51" s="5"/>
    </row>
    <row r="52" spans="1:14" ht="15.5" x14ac:dyDescent="0.35">
      <c r="A52" s="33" t="s">
        <v>66</v>
      </c>
      <c r="B52" s="34" t="s">
        <v>64</v>
      </c>
      <c r="C52" s="8"/>
      <c r="D52" s="8"/>
      <c r="E52" s="8"/>
      <c r="F52" s="8"/>
      <c r="G52" s="8"/>
      <c r="H52" s="8"/>
      <c r="I52" s="8"/>
      <c r="J52" s="8"/>
      <c r="K52" s="8"/>
      <c r="L52" s="8"/>
      <c r="M52" s="10"/>
      <c r="N52" s="5"/>
    </row>
    <row r="53" spans="1:14" ht="15.5" x14ac:dyDescent="0.35">
      <c r="A53" s="35"/>
      <c r="B53" s="36" t="s">
        <v>67</v>
      </c>
      <c r="C53" s="8"/>
      <c r="D53" s="8"/>
      <c r="E53" s="8"/>
      <c r="F53" s="8"/>
      <c r="G53" s="8"/>
      <c r="H53" s="8"/>
      <c r="I53" s="8"/>
      <c r="J53" s="8"/>
      <c r="K53" s="8"/>
      <c r="L53" s="8"/>
      <c r="M53" s="10"/>
      <c r="N53" s="5"/>
    </row>
    <row r="54" spans="1:14" ht="18" customHeight="1" x14ac:dyDescent="0.35">
      <c r="A54" s="33" t="s">
        <v>68</v>
      </c>
      <c r="B54" s="34" t="s">
        <v>64</v>
      </c>
      <c r="C54" s="8"/>
      <c r="D54" s="8"/>
      <c r="E54" s="8"/>
      <c r="F54" s="8"/>
      <c r="G54" s="8"/>
      <c r="H54" s="8"/>
      <c r="I54" s="8"/>
      <c r="J54" s="8"/>
      <c r="K54" s="8"/>
      <c r="L54" s="8"/>
      <c r="M54" s="10"/>
      <c r="N54" s="5"/>
    </row>
    <row r="55" spans="1:14" ht="117" customHeight="1" x14ac:dyDescent="0.35">
      <c r="A55" s="35"/>
      <c r="B55" s="37"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8" t="s">
        <v>73</v>
      </c>
      <c r="B61" s="8"/>
      <c r="C61" s="8"/>
      <c r="D61" s="8"/>
      <c r="E61" s="8"/>
      <c r="F61" s="8"/>
      <c r="G61" s="10"/>
      <c r="H61" s="38" t="s">
        <v>74</v>
      </c>
      <c r="I61" s="8"/>
      <c r="J61" s="8"/>
      <c r="K61" s="10"/>
      <c r="L61" s="38" t="s">
        <v>75</v>
      </c>
      <c r="M61" s="10"/>
      <c r="N61" s="30"/>
    </row>
    <row r="62" spans="1:14" ht="15.5" x14ac:dyDescent="0.35">
      <c r="A62" s="39" t="s">
        <v>76</v>
      </c>
      <c r="B62" s="40" t="s">
        <v>77</v>
      </c>
      <c r="C62" s="8"/>
      <c r="D62" s="8"/>
      <c r="E62" s="8"/>
      <c r="F62" s="8"/>
      <c r="G62" s="10"/>
      <c r="H62" s="41" t="s">
        <v>71</v>
      </c>
      <c r="I62" s="14"/>
      <c r="J62" s="14"/>
      <c r="K62" s="15"/>
      <c r="L62" s="42" t="s">
        <v>78</v>
      </c>
      <c r="M62" s="10"/>
      <c r="N62" s="5"/>
    </row>
    <row r="63" spans="1:14" ht="15.5" x14ac:dyDescent="0.35">
      <c r="A63" s="39" t="s">
        <v>79</v>
      </c>
      <c r="B63" s="23" t="s">
        <v>80</v>
      </c>
      <c r="C63" s="8"/>
      <c r="D63" s="8"/>
      <c r="E63" s="8"/>
      <c r="F63" s="8"/>
      <c r="G63" s="10"/>
      <c r="H63" s="25"/>
      <c r="I63" s="2"/>
      <c r="J63" s="2"/>
      <c r="K63" s="26"/>
      <c r="L63" s="42" t="s">
        <v>81</v>
      </c>
      <c r="M63" s="10"/>
      <c r="N63" s="5"/>
    </row>
    <row r="64" spans="1:14" ht="15.5" x14ac:dyDescent="0.35">
      <c r="A64" s="39" t="s">
        <v>82</v>
      </c>
      <c r="B64" s="23" t="s">
        <v>83</v>
      </c>
      <c r="C64" s="8"/>
      <c r="D64" s="8"/>
      <c r="E64" s="8"/>
      <c r="F64" s="8"/>
      <c r="G64" s="10"/>
      <c r="H64" s="25"/>
      <c r="I64" s="2"/>
      <c r="J64" s="2"/>
      <c r="K64" s="26"/>
      <c r="L64" s="42" t="s">
        <v>81</v>
      </c>
      <c r="M64" s="10"/>
      <c r="N64" s="5"/>
    </row>
    <row r="65" spans="1:14" ht="15.5" x14ac:dyDescent="0.35">
      <c r="A65" s="39" t="s">
        <v>84</v>
      </c>
      <c r="B65" s="23" t="s">
        <v>85</v>
      </c>
      <c r="C65" s="8"/>
      <c r="D65" s="8"/>
      <c r="E65" s="8"/>
      <c r="F65" s="8"/>
      <c r="G65" s="10"/>
      <c r="H65" s="25"/>
      <c r="I65" s="2"/>
      <c r="J65" s="2"/>
      <c r="K65" s="26"/>
      <c r="L65" s="42" t="s">
        <v>81</v>
      </c>
      <c r="M65" s="10"/>
      <c r="N65" s="5"/>
    </row>
    <row r="66" spans="1:14" ht="15.5" x14ac:dyDescent="0.35">
      <c r="A66" s="39" t="s">
        <v>86</v>
      </c>
      <c r="B66" s="23" t="s">
        <v>87</v>
      </c>
      <c r="C66" s="8"/>
      <c r="D66" s="8"/>
      <c r="E66" s="8"/>
      <c r="F66" s="8"/>
      <c r="G66" s="10"/>
      <c r="H66" s="25"/>
      <c r="I66" s="2"/>
      <c r="J66" s="2"/>
      <c r="K66" s="26"/>
      <c r="L66" s="42" t="s">
        <v>88</v>
      </c>
      <c r="M66" s="10"/>
      <c r="N66" s="5"/>
    </row>
    <row r="67" spans="1:14" ht="15.5" x14ac:dyDescent="0.35">
      <c r="A67" s="39" t="s">
        <v>89</v>
      </c>
      <c r="B67" s="23" t="s">
        <v>90</v>
      </c>
      <c r="C67" s="8"/>
      <c r="D67" s="8"/>
      <c r="E67" s="8"/>
      <c r="F67" s="8"/>
      <c r="G67" s="10"/>
      <c r="H67" s="25"/>
      <c r="I67" s="2"/>
      <c r="J67" s="2"/>
      <c r="K67" s="26"/>
      <c r="L67" s="42" t="s">
        <v>91</v>
      </c>
      <c r="M67" s="10"/>
      <c r="N67" s="5"/>
    </row>
    <row r="68" spans="1:14" ht="15.5" x14ac:dyDescent="0.35">
      <c r="A68" s="39" t="s">
        <v>92</v>
      </c>
      <c r="B68" s="23" t="s">
        <v>93</v>
      </c>
      <c r="C68" s="8"/>
      <c r="D68" s="8"/>
      <c r="E68" s="8"/>
      <c r="F68" s="8"/>
      <c r="G68" s="10"/>
      <c r="H68" s="25"/>
      <c r="I68" s="2"/>
      <c r="J68" s="2"/>
      <c r="K68" s="26"/>
      <c r="L68" s="42" t="s">
        <v>94</v>
      </c>
      <c r="M68" s="10"/>
      <c r="N68" s="5"/>
    </row>
    <row r="69" spans="1:14" ht="15.5" x14ac:dyDescent="0.35">
      <c r="A69" s="39" t="s">
        <v>95</v>
      </c>
      <c r="B69" s="23" t="s">
        <v>96</v>
      </c>
      <c r="C69" s="8"/>
      <c r="D69" s="8"/>
      <c r="E69" s="8"/>
      <c r="F69" s="8"/>
      <c r="G69" s="10"/>
      <c r="H69" s="25"/>
      <c r="I69" s="2"/>
      <c r="J69" s="2"/>
      <c r="K69" s="26"/>
      <c r="L69" s="42" t="s">
        <v>97</v>
      </c>
      <c r="M69" s="10"/>
      <c r="N69" s="5"/>
    </row>
    <row r="70" spans="1:14" ht="15.5" x14ac:dyDescent="0.35">
      <c r="A70" s="39" t="s">
        <v>98</v>
      </c>
      <c r="B70" s="23"/>
      <c r="C70" s="8"/>
      <c r="D70" s="8"/>
      <c r="E70" s="8"/>
      <c r="F70" s="8"/>
      <c r="G70" s="10"/>
      <c r="H70" s="25"/>
      <c r="I70" s="2"/>
      <c r="J70" s="2"/>
      <c r="K70" s="26"/>
      <c r="L70" s="23"/>
      <c r="M70" s="10"/>
      <c r="N70" s="5"/>
    </row>
    <row r="71" spans="1:14" ht="15.5" hidden="1" x14ac:dyDescent="0.35">
      <c r="A71" s="39" t="s">
        <v>99</v>
      </c>
      <c r="B71" s="23"/>
      <c r="C71" s="8"/>
      <c r="D71" s="8"/>
      <c r="E71" s="8"/>
      <c r="F71" s="8"/>
      <c r="G71" s="10"/>
      <c r="H71" s="25"/>
      <c r="I71" s="2"/>
      <c r="J71" s="2"/>
      <c r="K71" s="26"/>
      <c r="L71" s="23"/>
      <c r="M71" s="10"/>
      <c r="N71" s="5"/>
    </row>
    <row r="72" spans="1:14" ht="15.5" hidden="1" x14ac:dyDescent="0.35">
      <c r="A72" s="39" t="s">
        <v>100</v>
      </c>
      <c r="B72" s="23"/>
      <c r="C72" s="8"/>
      <c r="D72" s="8"/>
      <c r="E72" s="8"/>
      <c r="F72" s="8"/>
      <c r="G72" s="10"/>
      <c r="H72" s="25"/>
      <c r="I72" s="2"/>
      <c r="J72" s="2"/>
      <c r="K72" s="26"/>
      <c r="L72" s="23"/>
      <c r="M72" s="10"/>
      <c r="N72" s="5"/>
    </row>
    <row r="73" spans="1:14" ht="15.5" hidden="1" x14ac:dyDescent="0.35">
      <c r="A73" s="39" t="s">
        <v>101</v>
      </c>
      <c r="B73" s="23"/>
      <c r="C73" s="8"/>
      <c r="D73" s="8"/>
      <c r="E73" s="8"/>
      <c r="F73" s="8"/>
      <c r="G73" s="10"/>
      <c r="H73" s="25"/>
      <c r="I73" s="2"/>
      <c r="J73" s="2"/>
      <c r="K73" s="26"/>
      <c r="L73" s="23"/>
      <c r="M73" s="10"/>
      <c r="N73" s="5"/>
    </row>
    <row r="74" spans="1:14" ht="15.5" hidden="1" x14ac:dyDescent="0.35">
      <c r="A74" s="39" t="s">
        <v>102</v>
      </c>
      <c r="B74" s="23"/>
      <c r="C74" s="8"/>
      <c r="D74" s="8"/>
      <c r="E74" s="8"/>
      <c r="F74" s="8"/>
      <c r="G74" s="10"/>
      <c r="H74" s="25"/>
      <c r="I74" s="2"/>
      <c r="J74" s="2"/>
      <c r="K74" s="26"/>
      <c r="L74" s="23"/>
      <c r="M74" s="10"/>
      <c r="N74" s="5"/>
    </row>
    <row r="75" spans="1:14" ht="15.5" hidden="1" x14ac:dyDescent="0.35">
      <c r="A75" s="39" t="s">
        <v>103</v>
      </c>
      <c r="B75" s="23"/>
      <c r="C75" s="8"/>
      <c r="D75" s="8"/>
      <c r="E75" s="8"/>
      <c r="F75" s="8"/>
      <c r="G75" s="10"/>
      <c r="H75" s="24"/>
      <c r="I75" s="18"/>
      <c r="J75" s="18"/>
      <c r="K75" s="19"/>
      <c r="L75" s="23"/>
      <c r="M75" s="10"/>
      <c r="N75" s="5"/>
    </row>
    <row r="76" spans="1:14" ht="15.5" x14ac:dyDescent="0.35">
      <c r="A76" s="37" t="s">
        <v>104</v>
      </c>
      <c r="B76" s="8"/>
      <c r="C76" s="8"/>
      <c r="D76" s="8"/>
      <c r="E76" s="8"/>
      <c r="F76" s="8"/>
      <c r="G76" s="8"/>
      <c r="H76" s="8"/>
      <c r="I76" s="8"/>
      <c r="J76" s="8"/>
      <c r="K76" s="8"/>
      <c r="L76" s="8"/>
      <c r="M76" s="10"/>
      <c r="N76" s="5"/>
    </row>
    <row r="77" spans="1:14" ht="24.75" customHeight="1" x14ac:dyDescent="0.35">
      <c r="A77" s="38" t="s">
        <v>105</v>
      </c>
      <c r="B77" s="8"/>
      <c r="C77" s="8"/>
      <c r="D77" s="8"/>
      <c r="E77" s="8"/>
      <c r="F77" s="8"/>
      <c r="G77" s="10"/>
      <c r="H77" s="38" t="s">
        <v>106</v>
      </c>
      <c r="I77" s="8"/>
      <c r="J77" s="8"/>
      <c r="K77" s="10"/>
      <c r="L77" s="38" t="s">
        <v>75</v>
      </c>
      <c r="M77" s="10"/>
      <c r="N77" s="30"/>
    </row>
    <row r="78" spans="1:14" ht="15.5" x14ac:dyDescent="0.35">
      <c r="A78" s="39" t="s">
        <v>76</v>
      </c>
      <c r="B78" s="23" t="s">
        <v>107</v>
      </c>
      <c r="C78" s="8"/>
      <c r="D78" s="8"/>
      <c r="E78" s="8"/>
      <c r="F78" s="8"/>
      <c r="G78" s="10"/>
      <c r="H78" s="41" t="s">
        <v>108</v>
      </c>
      <c r="I78" s="14"/>
      <c r="J78" s="14"/>
      <c r="K78" s="15"/>
      <c r="L78" s="42" t="s">
        <v>78</v>
      </c>
      <c r="M78" s="10"/>
      <c r="N78" s="5"/>
    </row>
    <row r="79" spans="1:14" ht="15.5" x14ac:dyDescent="0.35">
      <c r="A79" s="39" t="s">
        <v>79</v>
      </c>
      <c r="B79" s="23" t="s">
        <v>109</v>
      </c>
      <c r="C79" s="8"/>
      <c r="D79" s="8"/>
      <c r="E79" s="8"/>
      <c r="F79" s="8"/>
      <c r="G79" s="10"/>
      <c r="H79" s="25"/>
      <c r="I79" s="2"/>
      <c r="J79" s="2"/>
      <c r="K79" s="26"/>
      <c r="L79" s="42" t="s">
        <v>78</v>
      </c>
      <c r="M79" s="10"/>
      <c r="N79" s="5"/>
    </row>
    <row r="80" spans="1:14" ht="15.5" x14ac:dyDescent="0.35">
      <c r="A80" s="39" t="s">
        <v>82</v>
      </c>
      <c r="B80" s="23" t="s">
        <v>110</v>
      </c>
      <c r="C80" s="8"/>
      <c r="D80" s="8"/>
      <c r="E80" s="8"/>
      <c r="F80" s="8"/>
      <c r="G80" s="10"/>
      <c r="H80" s="25"/>
      <c r="I80" s="2"/>
      <c r="J80" s="2"/>
      <c r="K80" s="26"/>
      <c r="L80" s="42" t="s">
        <v>78</v>
      </c>
      <c r="M80" s="10"/>
      <c r="N80" s="5"/>
    </row>
    <row r="81" spans="1:14" ht="15.5" x14ac:dyDescent="0.35">
      <c r="A81" s="39" t="s">
        <v>84</v>
      </c>
      <c r="B81" s="23" t="s">
        <v>111</v>
      </c>
      <c r="C81" s="8"/>
      <c r="D81" s="8"/>
      <c r="E81" s="8"/>
      <c r="F81" s="8"/>
      <c r="G81" s="10"/>
      <c r="H81" s="25"/>
      <c r="I81" s="2"/>
      <c r="J81" s="2"/>
      <c r="K81" s="26"/>
      <c r="L81" s="42" t="s">
        <v>78</v>
      </c>
      <c r="M81" s="10"/>
      <c r="N81" s="5"/>
    </row>
    <row r="82" spans="1:14" ht="15.5" x14ac:dyDescent="0.35">
      <c r="A82" s="39" t="s">
        <v>86</v>
      </c>
      <c r="B82" s="23" t="s">
        <v>112</v>
      </c>
      <c r="C82" s="8"/>
      <c r="D82" s="8"/>
      <c r="E82" s="8"/>
      <c r="F82" s="8"/>
      <c r="G82" s="10"/>
      <c r="H82" s="25"/>
      <c r="I82" s="2"/>
      <c r="J82" s="2"/>
      <c r="K82" s="26"/>
      <c r="L82" s="42" t="s">
        <v>78</v>
      </c>
      <c r="M82" s="10"/>
      <c r="N82" s="5"/>
    </row>
    <row r="83" spans="1:14" ht="15.5" x14ac:dyDescent="0.35">
      <c r="A83" s="39" t="s">
        <v>89</v>
      </c>
      <c r="B83" s="23" t="s">
        <v>113</v>
      </c>
      <c r="C83" s="8"/>
      <c r="D83" s="8"/>
      <c r="E83" s="8"/>
      <c r="F83" s="8"/>
      <c r="G83" s="10"/>
      <c r="H83" s="25"/>
      <c r="I83" s="2"/>
      <c r="J83" s="2"/>
      <c r="K83" s="26"/>
      <c r="L83" s="42" t="s">
        <v>78</v>
      </c>
      <c r="M83" s="10"/>
      <c r="N83" s="5"/>
    </row>
    <row r="84" spans="1:14" ht="15.5" x14ac:dyDescent="0.35">
      <c r="A84" s="39" t="s">
        <v>92</v>
      </c>
      <c r="B84" s="23" t="s">
        <v>114</v>
      </c>
      <c r="C84" s="8"/>
      <c r="D84" s="8"/>
      <c r="E84" s="8"/>
      <c r="F84" s="8"/>
      <c r="G84" s="10"/>
      <c r="H84" s="25"/>
      <c r="I84" s="2"/>
      <c r="J84" s="2"/>
      <c r="K84" s="26"/>
      <c r="L84" s="42" t="s">
        <v>78</v>
      </c>
      <c r="M84" s="10"/>
      <c r="N84" s="5"/>
    </row>
    <row r="85" spans="1:14" ht="15.5" x14ac:dyDescent="0.35">
      <c r="A85" s="39" t="s">
        <v>95</v>
      </c>
      <c r="B85" s="23"/>
      <c r="C85" s="8"/>
      <c r="D85" s="8"/>
      <c r="E85" s="8"/>
      <c r="F85" s="8"/>
      <c r="G85" s="10"/>
      <c r="H85" s="25"/>
      <c r="I85" s="2"/>
      <c r="J85" s="2"/>
      <c r="K85" s="26"/>
      <c r="L85" s="23"/>
      <c r="M85" s="10"/>
      <c r="N85" s="5"/>
    </row>
    <row r="86" spans="1:14" ht="15.5" hidden="1" x14ac:dyDescent="0.35">
      <c r="A86" s="39" t="s">
        <v>98</v>
      </c>
      <c r="B86" s="23"/>
      <c r="C86" s="8"/>
      <c r="D86" s="8"/>
      <c r="E86" s="8"/>
      <c r="F86" s="8"/>
      <c r="G86" s="10"/>
      <c r="H86" s="25"/>
      <c r="I86" s="2"/>
      <c r="J86" s="2"/>
      <c r="K86" s="26"/>
      <c r="L86" s="23"/>
      <c r="M86" s="10"/>
      <c r="N86" s="5"/>
    </row>
    <row r="87" spans="1:14" ht="15.5" hidden="1" x14ac:dyDescent="0.35">
      <c r="A87" s="39" t="s">
        <v>99</v>
      </c>
      <c r="B87" s="23"/>
      <c r="C87" s="8"/>
      <c r="D87" s="8"/>
      <c r="E87" s="8"/>
      <c r="F87" s="8"/>
      <c r="G87" s="10"/>
      <c r="H87" s="25"/>
      <c r="I87" s="2"/>
      <c r="J87" s="2"/>
      <c r="K87" s="26"/>
      <c r="L87" s="23"/>
      <c r="M87" s="10"/>
      <c r="N87" s="5"/>
    </row>
    <row r="88" spans="1:14" ht="15.5" hidden="1" x14ac:dyDescent="0.35">
      <c r="A88" s="39" t="s">
        <v>100</v>
      </c>
      <c r="B88" s="23"/>
      <c r="C88" s="8"/>
      <c r="D88" s="8"/>
      <c r="E88" s="8"/>
      <c r="F88" s="8"/>
      <c r="G88" s="10"/>
      <c r="H88" s="25"/>
      <c r="I88" s="2"/>
      <c r="J88" s="2"/>
      <c r="K88" s="26"/>
      <c r="L88" s="23"/>
      <c r="M88" s="10"/>
      <c r="N88" s="5"/>
    </row>
    <row r="89" spans="1:14" ht="15.5" hidden="1" x14ac:dyDescent="0.35">
      <c r="A89" s="39" t="s">
        <v>101</v>
      </c>
      <c r="B89" s="23"/>
      <c r="C89" s="8"/>
      <c r="D89" s="8"/>
      <c r="E89" s="8"/>
      <c r="F89" s="8"/>
      <c r="G89" s="10"/>
      <c r="H89" s="25"/>
      <c r="I89" s="2"/>
      <c r="J89" s="2"/>
      <c r="K89" s="26"/>
      <c r="L89" s="23"/>
      <c r="M89" s="10"/>
      <c r="N89" s="5"/>
    </row>
    <row r="90" spans="1:14" ht="15.5" hidden="1" x14ac:dyDescent="0.35">
      <c r="A90" s="39" t="s">
        <v>102</v>
      </c>
      <c r="B90" s="23"/>
      <c r="C90" s="8"/>
      <c r="D90" s="8"/>
      <c r="E90" s="8"/>
      <c r="F90" s="8"/>
      <c r="G90" s="10"/>
      <c r="H90" s="25"/>
      <c r="I90" s="2"/>
      <c r="J90" s="2"/>
      <c r="K90" s="26"/>
      <c r="L90" s="23"/>
      <c r="M90" s="10"/>
      <c r="N90" s="5"/>
    </row>
    <row r="91" spans="1:14" ht="15.5" hidden="1" x14ac:dyDescent="0.35">
      <c r="A91" s="39" t="s">
        <v>103</v>
      </c>
      <c r="B91" s="23"/>
      <c r="C91" s="8"/>
      <c r="D91" s="8"/>
      <c r="E91" s="8"/>
      <c r="F91" s="8"/>
      <c r="G91" s="10"/>
      <c r="H91" s="24"/>
      <c r="I91" s="18"/>
      <c r="J91" s="18"/>
      <c r="K91" s="19"/>
      <c r="L91" s="23"/>
      <c r="M91" s="10"/>
      <c r="N91" s="5"/>
    </row>
    <row r="92" spans="1:14" ht="24" customHeight="1" x14ac:dyDescent="0.35">
      <c r="A92" s="38" t="s">
        <v>115</v>
      </c>
      <c r="B92" s="8"/>
      <c r="C92" s="8"/>
      <c r="D92" s="8"/>
      <c r="E92" s="8"/>
      <c r="F92" s="8"/>
      <c r="G92" s="10"/>
      <c r="H92" s="38" t="s">
        <v>106</v>
      </c>
      <c r="I92" s="8"/>
      <c r="J92" s="8"/>
      <c r="K92" s="10"/>
      <c r="L92" s="38" t="s">
        <v>75</v>
      </c>
      <c r="M92" s="10"/>
      <c r="N92" s="30"/>
    </row>
    <row r="93" spans="1:14" ht="15.5" x14ac:dyDescent="0.35">
      <c r="A93" s="39" t="s">
        <v>76</v>
      </c>
      <c r="B93" s="23" t="s">
        <v>116</v>
      </c>
      <c r="C93" s="8"/>
      <c r="D93" s="8"/>
      <c r="E93" s="8"/>
      <c r="F93" s="8"/>
      <c r="G93" s="10"/>
      <c r="H93" s="41" t="s">
        <v>117</v>
      </c>
      <c r="I93" s="14"/>
      <c r="J93" s="14"/>
      <c r="K93" s="15"/>
      <c r="L93" s="42" t="s">
        <v>78</v>
      </c>
      <c r="M93" s="10"/>
      <c r="N93" s="5"/>
    </row>
    <row r="94" spans="1:14" ht="15.5" x14ac:dyDescent="0.35">
      <c r="A94" s="39" t="s">
        <v>79</v>
      </c>
      <c r="B94" s="23" t="s">
        <v>118</v>
      </c>
      <c r="C94" s="8"/>
      <c r="D94" s="8"/>
      <c r="E94" s="8"/>
      <c r="F94" s="8"/>
      <c r="G94" s="10"/>
      <c r="H94" s="25"/>
      <c r="I94" s="2"/>
      <c r="J94" s="2"/>
      <c r="K94" s="26"/>
      <c r="L94" s="42" t="s">
        <v>78</v>
      </c>
      <c r="M94" s="10"/>
      <c r="N94" s="5"/>
    </row>
    <row r="95" spans="1:14" ht="15.5" x14ac:dyDescent="0.35">
      <c r="A95" s="39" t="s">
        <v>82</v>
      </c>
      <c r="B95" s="23" t="s">
        <v>119</v>
      </c>
      <c r="C95" s="8"/>
      <c r="D95" s="8"/>
      <c r="E95" s="8"/>
      <c r="F95" s="8"/>
      <c r="G95" s="10"/>
      <c r="H95" s="25"/>
      <c r="I95" s="2"/>
      <c r="J95" s="2"/>
      <c r="K95" s="26"/>
      <c r="L95" s="42" t="s">
        <v>78</v>
      </c>
      <c r="M95" s="10"/>
      <c r="N95" s="5"/>
    </row>
    <row r="96" spans="1:14" ht="15.5" x14ac:dyDescent="0.35">
      <c r="A96" s="39" t="s">
        <v>84</v>
      </c>
      <c r="B96" s="23" t="s">
        <v>120</v>
      </c>
      <c r="C96" s="8"/>
      <c r="D96" s="8"/>
      <c r="E96" s="8"/>
      <c r="F96" s="8"/>
      <c r="G96" s="10"/>
      <c r="H96" s="25"/>
      <c r="I96" s="2"/>
      <c r="J96" s="2"/>
      <c r="K96" s="26"/>
      <c r="L96" s="42" t="s">
        <v>78</v>
      </c>
      <c r="M96" s="10"/>
      <c r="N96" s="5"/>
    </row>
    <row r="97" spans="1:14" ht="15.5" x14ac:dyDescent="0.35">
      <c r="A97" s="39" t="s">
        <v>86</v>
      </c>
      <c r="B97" s="23" t="s">
        <v>121</v>
      </c>
      <c r="C97" s="8"/>
      <c r="D97" s="8"/>
      <c r="E97" s="8"/>
      <c r="F97" s="8"/>
      <c r="G97" s="10"/>
      <c r="H97" s="25"/>
      <c r="I97" s="2"/>
      <c r="J97" s="2"/>
      <c r="K97" s="26"/>
      <c r="L97" s="42" t="s">
        <v>78</v>
      </c>
      <c r="M97" s="10"/>
      <c r="N97" s="5"/>
    </row>
    <row r="98" spans="1:14" ht="15.5" x14ac:dyDescent="0.35">
      <c r="A98" s="39" t="s">
        <v>89</v>
      </c>
      <c r="B98" s="23" t="s">
        <v>122</v>
      </c>
      <c r="C98" s="8"/>
      <c r="D98" s="8"/>
      <c r="E98" s="8"/>
      <c r="F98" s="8"/>
      <c r="G98" s="10"/>
      <c r="H98" s="25"/>
      <c r="I98" s="2"/>
      <c r="J98" s="2"/>
      <c r="K98" s="26"/>
      <c r="L98" s="42" t="s">
        <v>78</v>
      </c>
      <c r="M98" s="10"/>
      <c r="N98" s="5"/>
    </row>
    <row r="99" spans="1:14" ht="15.5" x14ac:dyDescent="0.35">
      <c r="A99" s="39" t="s">
        <v>92</v>
      </c>
      <c r="B99" s="23" t="s">
        <v>123</v>
      </c>
      <c r="C99" s="8"/>
      <c r="D99" s="8"/>
      <c r="E99" s="8"/>
      <c r="F99" s="8"/>
      <c r="G99" s="10"/>
      <c r="H99" s="25"/>
      <c r="I99" s="2"/>
      <c r="J99" s="2"/>
      <c r="K99" s="26"/>
      <c r="L99" s="42" t="s">
        <v>78</v>
      </c>
      <c r="M99" s="10"/>
      <c r="N99" s="5"/>
    </row>
    <row r="100" spans="1:14" ht="15.5" x14ac:dyDescent="0.35">
      <c r="A100" s="39" t="s">
        <v>95</v>
      </c>
      <c r="B100" s="23" t="s">
        <v>124</v>
      </c>
      <c r="C100" s="8"/>
      <c r="D100" s="8"/>
      <c r="E100" s="8"/>
      <c r="F100" s="8"/>
      <c r="G100" s="10"/>
      <c r="H100" s="25"/>
      <c r="I100" s="2"/>
      <c r="J100" s="2"/>
      <c r="K100" s="26"/>
      <c r="L100" s="42" t="s">
        <v>78</v>
      </c>
      <c r="M100" s="10"/>
      <c r="N100" s="5"/>
    </row>
    <row r="101" spans="1:14" ht="15.5" x14ac:dyDescent="0.35">
      <c r="A101" s="39" t="s">
        <v>98</v>
      </c>
      <c r="B101" s="23" t="s">
        <v>125</v>
      </c>
      <c r="C101" s="8"/>
      <c r="D101" s="8"/>
      <c r="E101" s="8"/>
      <c r="F101" s="8"/>
      <c r="G101" s="10"/>
      <c r="H101" s="25"/>
      <c r="I101" s="2"/>
      <c r="J101" s="2"/>
      <c r="K101" s="26"/>
      <c r="L101" s="42" t="s">
        <v>78</v>
      </c>
      <c r="M101" s="10"/>
      <c r="N101" s="5"/>
    </row>
    <row r="102" spans="1:14" ht="15.5" x14ac:dyDescent="0.35">
      <c r="A102" s="39" t="s">
        <v>99</v>
      </c>
      <c r="B102" s="23" t="s">
        <v>126</v>
      </c>
      <c r="C102" s="8"/>
      <c r="D102" s="8"/>
      <c r="E102" s="8"/>
      <c r="F102" s="8"/>
      <c r="G102" s="10"/>
      <c r="H102" s="25"/>
      <c r="I102" s="2"/>
      <c r="J102" s="2"/>
      <c r="K102" s="26"/>
      <c r="L102" s="42" t="s">
        <v>78</v>
      </c>
      <c r="M102" s="10"/>
      <c r="N102" s="5"/>
    </row>
    <row r="103" spans="1:14" ht="15.5" x14ac:dyDescent="0.35">
      <c r="A103" s="39" t="s">
        <v>100</v>
      </c>
      <c r="B103" s="23" t="s">
        <v>127</v>
      </c>
      <c r="C103" s="8"/>
      <c r="D103" s="8"/>
      <c r="E103" s="8"/>
      <c r="F103" s="8"/>
      <c r="G103" s="10"/>
      <c r="H103" s="25"/>
      <c r="I103" s="2"/>
      <c r="J103" s="2"/>
      <c r="K103" s="26"/>
      <c r="L103" s="42" t="s">
        <v>78</v>
      </c>
      <c r="M103" s="10"/>
      <c r="N103" s="5"/>
    </row>
    <row r="104" spans="1:14" ht="15.5" x14ac:dyDescent="0.35">
      <c r="A104" s="39" t="s">
        <v>101</v>
      </c>
      <c r="B104" s="23" t="s">
        <v>128</v>
      </c>
      <c r="C104" s="8"/>
      <c r="D104" s="8"/>
      <c r="E104" s="8"/>
      <c r="F104" s="8"/>
      <c r="G104" s="10"/>
      <c r="H104" s="25"/>
      <c r="I104" s="2"/>
      <c r="J104" s="2"/>
      <c r="K104" s="26"/>
      <c r="L104" s="42" t="s">
        <v>78</v>
      </c>
      <c r="M104" s="10"/>
      <c r="N104" s="5"/>
    </row>
    <row r="105" spans="1:14" ht="15.5" x14ac:dyDescent="0.35">
      <c r="A105" s="39" t="s">
        <v>102</v>
      </c>
      <c r="B105" s="23" t="s">
        <v>129</v>
      </c>
      <c r="C105" s="8"/>
      <c r="D105" s="8"/>
      <c r="E105" s="8"/>
      <c r="F105" s="8"/>
      <c r="G105" s="10"/>
      <c r="H105" s="25"/>
      <c r="I105" s="2"/>
      <c r="J105" s="2"/>
      <c r="K105" s="26"/>
      <c r="L105" s="42" t="s">
        <v>78</v>
      </c>
      <c r="M105" s="10"/>
      <c r="N105" s="5"/>
    </row>
    <row r="106" spans="1:14" ht="15.5" x14ac:dyDescent="0.35">
      <c r="A106" s="39" t="s">
        <v>103</v>
      </c>
      <c r="B106" s="23" t="s">
        <v>130</v>
      </c>
      <c r="C106" s="8"/>
      <c r="D106" s="8"/>
      <c r="E106" s="8"/>
      <c r="F106" s="8"/>
      <c r="G106" s="10"/>
      <c r="H106" s="24"/>
      <c r="I106" s="18"/>
      <c r="J106" s="18"/>
      <c r="K106" s="19"/>
      <c r="L106" s="42" t="s">
        <v>78</v>
      </c>
      <c r="M106" s="10"/>
      <c r="N106" s="5"/>
    </row>
    <row r="107" spans="1:14" ht="24" hidden="1" customHeight="1" x14ac:dyDescent="0.35">
      <c r="A107" s="38" t="s">
        <v>131</v>
      </c>
      <c r="B107" s="8"/>
      <c r="C107" s="8"/>
      <c r="D107" s="8"/>
      <c r="E107" s="8"/>
      <c r="F107" s="8"/>
      <c r="G107" s="10"/>
      <c r="H107" s="38" t="s">
        <v>106</v>
      </c>
      <c r="I107" s="8"/>
      <c r="J107" s="8"/>
      <c r="K107" s="10"/>
      <c r="L107" s="38" t="s">
        <v>75</v>
      </c>
      <c r="M107" s="10"/>
      <c r="N107" s="30"/>
    </row>
    <row r="108" spans="1:14" ht="15.5" hidden="1" x14ac:dyDescent="0.35">
      <c r="A108" s="39" t="s">
        <v>76</v>
      </c>
      <c r="B108" s="23"/>
      <c r="C108" s="8"/>
      <c r="D108" s="8"/>
      <c r="E108" s="8"/>
      <c r="F108" s="8"/>
      <c r="G108" s="10"/>
      <c r="H108" s="41"/>
      <c r="I108" s="14"/>
      <c r="J108" s="14"/>
      <c r="K108" s="15"/>
      <c r="L108" s="23"/>
      <c r="M108" s="10"/>
      <c r="N108" s="5"/>
    </row>
    <row r="109" spans="1:14" ht="15.5" hidden="1" x14ac:dyDescent="0.35">
      <c r="A109" s="39" t="s">
        <v>79</v>
      </c>
      <c r="B109" s="23"/>
      <c r="C109" s="8"/>
      <c r="D109" s="8"/>
      <c r="E109" s="8"/>
      <c r="F109" s="8"/>
      <c r="G109" s="10"/>
      <c r="H109" s="25"/>
      <c r="I109" s="2"/>
      <c r="J109" s="2"/>
      <c r="K109" s="26"/>
      <c r="L109" s="23"/>
      <c r="M109" s="10"/>
      <c r="N109" s="5"/>
    </row>
    <row r="110" spans="1:14" ht="15.5" hidden="1" x14ac:dyDescent="0.35">
      <c r="A110" s="39" t="s">
        <v>82</v>
      </c>
      <c r="B110" s="23"/>
      <c r="C110" s="8"/>
      <c r="D110" s="8"/>
      <c r="E110" s="8"/>
      <c r="F110" s="8"/>
      <c r="G110" s="10"/>
      <c r="H110" s="25"/>
      <c r="I110" s="2"/>
      <c r="J110" s="2"/>
      <c r="K110" s="26"/>
      <c r="L110" s="23"/>
      <c r="M110" s="10"/>
      <c r="N110" s="5"/>
    </row>
    <row r="111" spans="1:14" ht="15.5" hidden="1" x14ac:dyDescent="0.35">
      <c r="A111" s="39" t="s">
        <v>84</v>
      </c>
      <c r="B111" s="23"/>
      <c r="C111" s="8"/>
      <c r="D111" s="8"/>
      <c r="E111" s="8"/>
      <c r="F111" s="8"/>
      <c r="G111" s="10"/>
      <c r="H111" s="25"/>
      <c r="I111" s="2"/>
      <c r="J111" s="2"/>
      <c r="K111" s="26"/>
      <c r="L111" s="23"/>
      <c r="M111" s="10"/>
      <c r="N111" s="5"/>
    </row>
    <row r="112" spans="1:14" ht="15.5" hidden="1" x14ac:dyDescent="0.35">
      <c r="A112" s="39" t="s">
        <v>86</v>
      </c>
      <c r="B112" s="23"/>
      <c r="C112" s="8"/>
      <c r="D112" s="8"/>
      <c r="E112" s="8"/>
      <c r="F112" s="8"/>
      <c r="G112" s="10"/>
      <c r="H112" s="25"/>
      <c r="I112" s="2"/>
      <c r="J112" s="2"/>
      <c r="K112" s="26"/>
      <c r="L112" s="23"/>
      <c r="M112" s="10"/>
      <c r="N112" s="5"/>
    </row>
    <row r="113" spans="1:14" ht="15.5" hidden="1" x14ac:dyDescent="0.35">
      <c r="A113" s="39" t="s">
        <v>89</v>
      </c>
      <c r="B113" s="23"/>
      <c r="C113" s="8"/>
      <c r="D113" s="8"/>
      <c r="E113" s="8"/>
      <c r="F113" s="8"/>
      <c r="G113" s="10"/>
      <c r="H113" s="25"/>
      <c r="I113" s="2"/>
      <c r="J113" s="2"/>
      <c r="K113" s="26"/>
      <c r="L113" s="23"/>
      <c r="M113" s="10"/>
      <c r="N113" s="5"/>
    </row>
    <row r="114" spans="1:14" ht="15.5" hidden="1" x14ac:dyDescent="0.35">
      <c r="A114" s="39" t="s">
        <v>92</v>
      </c>
      <c r="B114" s="23"/>
      <c r="C114" s="8"/>
      <c r="D114" s="8"/>
      <c r="E114" s="8"/>
      <c r="F114" s="8"/>
      <c r="G114" s="10"/>
      <c r="H114" s="25"/>
      <c r="I114" s="2"/>
      <c r="J114" s="2"/>
      <c r="K114" s="26"/>
      <c r="L114" s="23"/>
      <c r="M114" s="10"/>
      <c r="N114" s="5"/>
    </row>
    <row r="115" spans="1:14" ht="15.5" hidden="1" x14ac:dyDescent="0.35">
      <c r="A115" s="39" t="s">
        <v>95</v>
      </c>
      <c r="B115" s="23"/>
      <c r="C115" s="8"/>
      <c r="D115" s="8"/>
      <c r="E115" s="8"/>
      <c r="F115" s="8"/>
      <c r="G115" s="10"/>
      <c r="H115" s="25"/>
      <c r="I115" s="2"/>
      <c r="J115" s="2"/>
      <c r="K115" s="26"/>
      <c r="L115" s="23"/>
      <c r="M115" s="10"/>
      <c r="N115" s="5"/>
    </row>
    <row r="116" spans="1:14" ht="15.5" hidden="1" x14ac:dyDescent="0.35">
      <c r="A116" s="39" t="s">
        <v>98</v>
      </c>
      <c r="B116" s="23"/>
      <c r="C116" s="8"/>
      <c r="D116" s="8"/>
      <c r="E116" s="8"/>
      <c r="F116" s="8"/>
      <c r="G116" s="10"/>
      <c r="H116" s="25"/>
      <c r="I116" s="2"/>
      <c r="J116" s="2"/>
      <c r="K116" s="26"/>
      <c r="L116" s="23"/>
      <c r="M116" s="10"/>
      <c r="N116" s="5"/>
    </row>
    <row r="117" spans="1:14" ht="15.5" hidden="1" x14ac:dyDescent="0.35">
      <c r="A117" s="39" t="s">
        <v>99</v>
      </c>
      <c r="B117" s="23"/>
      <c r="C117" s="8"/>
      <c r="D117" s="8"/>
      <c r="E117" s="8"/>
      <c r="F117" s="8"/>
      <c r="G117" s="10"/>
      <c r="H117" s="25"/>
      <c r="I117" s="2"/>
      <c r="J117" s="2"/>
      <c r="K117" s="26"/>
      <c r="L117" s="23"/>
      <c r="M117" s="10"/>
      <c r="N117" s="5"/>
    </row>
    <row r="118" spans="1:14" ht="15.5" hidden="1" x14ac:dyDescent="0.35">
      <c r="A118" s="39" t="s">
        <v>100</v>
      </c>
      <c r="B118" s="23"/>
      <c r="C118" s="8"/>
      <c r="D118" s="8"/>
      <c r="E118" s="8"/>
      <c r="F118" s="8"/>
      <c r="G118" s="10"/>
      <c r="H118" s="25"/>
      <c r="I118" s="2"/>
      <c r="J118" s="2"/>
      <c r="K118" s="26"/>
      <c r="L118" s="23"/>
      <c r="M118" s="10"/>
      <c r="N118" s="5"/>
    </row>
    <row r="119" spans="1:14" ht="15.5" hidden="1" x14ac:dyDescent="0.35">
      <c r="A119" s="39" t="s">
        <v>101</v>
      </c>
      <c r="B119" s="23"/>
      <c r="C119" s="8"/>
      <c r="D119" s="8"/>
      <c r="E119" s="8"/>
      <c r="F119" s="8"/>
      <c r="G119" s="10"/>
      <c r="H119" s="25"/>
      <c r="I119" s="2"/>
      <c r="J119" s="2"/>
      <c r="K119" s="26"/>
      <c r="L119" s="23"/>
      <c r="M119" s="10"/>
      <c r="N119" s="5"/>
    </row>
    <row r="120" spans="1:14" ht="15.5" hidden="1" x14ac:dyDescent="0.35">
      <c r="A120" s="39" t="s">
        <v>102</v>
      </c>
      <c r="B120" s="23"/>
      <c r="C120" s="8"/>
      <c r="D120" s="8"/>
      <c r="E120" s="8"/>
      <c r="F120" s="8"/>
      <c r="G120" s="10"/>
      <c r="H120" s="25"/>
      <c r="I120" s="2"/>
      <c r="J120" s="2"/>
      <c r="K120" s="26"/>
      <c r="L120" s="23"/>
      <c r="M120" s="10"/>
      <c r="N120" s="5"/>
    </row>
    <row r="121" spans="1:14" ht="15.5" hidden="1" x14ac:dyDescent="0.35">
      <c r="A121" s="39" t="s">
        <v>103</v>
      </c>
      <c r="B121" s="23"/>
      <c r="C121" s="8"/>
      <c r="D121" s="8"/>
      <c r="E121" s="8"/>
      <c r="F121" s="8"/>
      <c r="G121" s="10"/>
      <c r="H121" s="24"/>
      <c r="I121" s="18"/>
      <c r="J121" s="18"/>
      <c r="K121" s="19"/>
      <c r="L121" s="23"/>
      <c r="M121" s="10"/>
      <c r="N121" s="5"/>
    </row>
    <row r="122" spans="1:14" ht="15.5" x14ac:dyDescent="0.35">
      <c r="A122" s="23" t="s">
        <v>132</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133</v>
      </c>
      <c r="B124" s="2"/>
      <c r="C124" s="2"/>
      <c r="D124" s="2"/>
      <c r="E124" s="2"/>
      <c r="F124" s="2"/>
      <c r="G124" s="2"/>
      <c r="H124" s="2"/>
      <c r="I124" s="2"/>
      <c r="J124" s="2"/>
      <c r="K124" s="2"/>
      <c r="L124" s="2"/>
      <c r="M124" s="2"/>
      <c r="N124" s="30"/>
    </row>
    <row r="125" spans="1:14" ht="46.5" x14ac:dyDescent="0.35">
      <c r="A125" s="43" t="s">
        <v>134</v>
      </c>
      <c r="B125" s="44" t="s">
        <v>135</v>
      </c>
      <c r="C125" s="8"/>
      <c r="D125" s="8"/>
      <c r="E125" s="8"/>
      <c r="F125" s="8"/>
      <c r="G125" s="10"/>
      <c r="H125" s="44" t="s">
        <v>136</v>
      </c>
      <c r="I125" s="8"/>
      <c r="J125" s="8"/>
      <c r="K125" s="10"/>
      <c r="L125" s="45" t="s">
        <v>137</v>
      </c>
      <c r="M125" s="10"/>
      <c r="N125" s="5"/>
    </row>
    <row r="126" spans="1:14" ht="15.5" x14ac:dyDescent="0.35">
      <c r="A126" s="46" t="s">
        <v>138</v>
      </c>
      <c r="B126" s="47" t="s">
        <v>139</v>
      </c>
      <c r="C126" s="14"/>
      <c r="D126" s="14"/>
      <c r="E126" s="14"/>
      <c r="F126" s="14"/>
      <c r="G126" s="15"/>
      <c r="H126" s="48" t="s">
        <v>140</v>
      </c>
      <c r="I126" s="8"/>
      <c r="J126" s="8"/>
      <c r="K126" s="49" t="s">
        <v>141</v>
      </c>
      <c r="L126" s="50">
        <f>1-SUM(L129:M131)</f>
        <v>0.6</v>
      </c>
      <c r="M126" s="15"/>
      <c r="N126" s="5"/>
    </row>
    <row r="127" spans="1:14" ht="15.5" x14ac:dyDescent="0.35">
      <c r="A127" s="51"/>
      <c r="B127" s="25"/>
      <c r="C127" s="2"/>
      <c r="D127" s="2"/>
      <c r="E127" s="2"/>
      <c r="F127" s="2"/>
      <c r="G127" s="26"/>
      <c r="H127" s="52" t="s">
        <v>142</v>
      </c>
      <c r="I127" s="8"/>
      <c r="J127" s="8"/>
      <c r="K127" s="49" t="s">
        <v>141</v>
      </c>
      <c r="L127" s="25"/>
      <c r="M127" s="26"/>
      <c r="N127" s="5"/>
    </row>
    <row r="128" spans="1:14" ht="15.5" x14ac:dyDescent="0.35">
      <c r="A128" s="35"/>
      <c r="B128" s="24"/>
      <c r="C128" s="18"/>
      <c r="D128" s="18"/>
      <c r="E128" s="18"/>
      <c r="F128" s="18"/>
      <c r="G128" s="19"/>
      <c r="H128" s="52" t="s">
        <v>143</v>
      </c>
      <c r="I128" s="8"/>
      <c r="J128" s="8"/>
      <c r="K128" s="49" t="s">
        <v>144</v>
      </c>
      <c r="L128" s="24"/>
      <c r="M128" s="19"/>
      <c r="N128" s="5"/>
    </row>
    <row r="129" spans="1:14" ht="31" x14ac:dyDescent="0.35">
      <c r="A129" s="43" t="s">
        <v>145</v>
      </c>
      <c r="B129" s="52" t="s">
        <v>146</v>
      </c>
      <c r="C129" s="8"/>
      <c r="D129" s="8"/>
      <c r="E129" s="8"/>
      <c r="F129" s="8"/>
      <c r="G129" s="10"/>
      <c r="H129" s="52" t="s">
        <v>147</v>
      </c>
      <c r="I129" s="8"/>
      <c r="J129" s="8"/>
      <c r="K129" s="10"/>
      <c r="L129" s="53">
        <v>0.2</v>
      </c>
      <c r="M129" s="10"/>
      <c r="N129" s="5"/>
    </row>
    <row r="130" spans="1:14" ht="46.5" x14ac:dyDescent="0.35">
      <c r="A130" s="43" t="s">
        <v>148</v>
      </c>
      <c r="B130" s="52" t="s">
        <v>149</v>
      </c>
      <c r="C130" s="8"/>
      <c r="D130" s="8"/>
      <c r="E130" s="8"/>
      <c r="F130" s="8"/>
      <c r="G130" s="10"/>
      <c r="H130" s="52" t="s">
        <v>150</v>
      </c>
      <c r="I130" s="8"/>
      <c r="J130" s="8"/>
      <c r="K130" s="10"/>
      <c r="L130" s="53">
        <v>0.2</v>
      </c>
      <c r="M130" s="10"/>
      <c r="N130" s="5"/>
    </row>
    <row r="131" spans="1:14" ht="31" hidden="1" x14ac:dyDescent="0.35">
      <c r="A131" s="43" t="s">
        <v>151</v>
      </c>
      <c r="B131" s="54" t="s">
        <v>152</v>
      </c>
      <c r="C131" s="8"/>
      <c r="D131" s="8"/>
      <c r="E131" s="8"/>
      <c r="F131" s="8"/>
      <c r="G131" s="10"/>
      <c r="H131" s="52" t="s">
        <v>153</v>
      </c>
      <c r="I131" s="8"/>
      <c r="J131" s="8"/>
      <c r="K131" s="10"/>
      <c r="L131" s="53"/>
      <c r="M131" s="10"/>
      <c r="N131" s="5"/>
    </row>
    <row r="132" spans="1:14" ht="15.5" x14ac:dyDescent="0.35">
      <c r="A132" s="44" t="s">
        <v>154</v>
      </c>
      <c r="B132" s="8"/>
      <c r="C132" s="8"/>
      <c r="D132" s="8"/>
      <c r="E132" s="8"/>
      <c r="F132" s="8"/>
      <c r="G132" s="8"/>
      <c r="H132" s="8"/>
      <c r="I132" s="8"/>
      <c r="J132" s="8"/>
      <c r="K132" s="8"/>
      <c r="L132" s="8"/>
      <c r="M132" s="10"/>
      <c r="N132" s="5"/>
    </row>
    <row r="133" spans="1:14" ht="15.5" x14ac:dyDescent="0.35">
      <c r="A133" s="54" t="s">
        <v>155</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156</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157</v>
      </c>
      <c r="B137" s="10"/>
      <c r="C137" s="9" t="str">
        <f>E15</f>
        <v>Conf. dr. fiz. Ciobanu Iulia Brindusa</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158</v>
      </c>
      <c r="B139" s="15"/>
      <c r="C139" s="9" t="str">
        <f t="shared" ref="C139:C141" si="0">E17</f>
        <v xml:space="preserve">Conf. dr. fiz. Ciobanu Iulia Brindusa								</v>
      </c>
      <c r="D139" s="8"/>
      <c r="E139" s="8"/>
      <c r="F139" s="8"/>
      <c r="G139" s="10"/>
      <c r="H139" s="9">
        <f t="shared" ref="H139:H141" si="1">E20</f>
        <v>0</v>
      </c>
      <c r="I139" s="8"/>
      <c r="J139" s="8"/>
      <c r="K139" s="8"/>
      <c r="L139" s="8"/>
      <c r="M139" s="10"/>
      <c r="N139" s="5"/>
    </row>
    <row r="140" spans="1:14" ht="32.25" customHeight="1" x14ac:dyDescent="0.35">
      <c r="A140" s="25"/>
      <c r="B140" s="26"/>
      <c r="C140" s="9" t="str">
        <f t="shared" si="0"/>
        <v>Sef lucr. dr. fiz. Coman Tudor Bogdan</v>
      </c>
      <c r="D140" s="8"/>
      <c r="E140" s="8"/>
      <c r="F140" s="8"/>
      <c r="G140" s="10"/>
      <c r="H140" s="9">
        <f t="shared" si="1"/>
        <v>0</v>
      </c>
      <c r="I140" s="8"/>
      <c r="J140" s="8"/>
      <c r="K140" s="8"/>
      <c r="L140" s="8"/>
      <c r="M140" s="10"/>
      <c r="N140" s="5"/>
    </row>
    <row r="141" spans="1:14" ht="32.25" customHeight="1" x14ac:dyDescent="0.35">
      <c r="A141" s="24"/>
      <c r="B141" s="19"/>
      <c r="C141" s="9" t="str">
        <f t="shared" si="0"/>
        <v>Dr. fiz. Asandulesa Mihai Gabriel</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159</v>
      </c>
      <c r="B143" s="10"/>
      <c r="C143" s="58">
        <f>[1]Date!C25</f>
        <v>45915</v>
      </c>
      <c r="D143" s="10"/>
      <c r="E143" s="55" t="s">
        <v>160</v>
      </c>
      <c r="F143" s="8"/>
      <c r="G143" s="10"/>
      <c r="H143" s="59" t="str">
        <f>[1]Date!C27</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161</v>
      </c>
      <c r="B145" s="10"/>
      <c r="C145" s="62">
        <f>[1]Date!C26</f>
        <v>45918</v>
      </c>
      <c r="D145" s="10"/>
      <c r="E145" s="55" t="s">
        <v>162</v>
      </c>
      <c r="F145" s="8"/>
      <c r="G145" s="10"/>
      <c r="H145" s="59"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2026-03-01T09:00:48Z</dcterms:created>
  <dcterms:modified xsi:type="dcterms:W3CDTF">2026-03-01T09:00:51Z</dcterms:modified>
</cp:coreProperties>
</file>