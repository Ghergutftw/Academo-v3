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522209C7-8155-429B-91D9-7DB67EE668BA}" xr6:coauthVersionLast="47" xr6:coauthVersionMax="47" xr10:uidLastSave="{00000000-0000-0000-0000-000000000000}"/>
  <bookViews>
    <workbookView xWindow="-110" yWindow="-110" windowWidth="25820" windowHeight="15500" xr2:uid="{6B11791B-49AF-469D-9EEB-75FDD1C8CE3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23" i="1"/>
  <c r="C9" i="1"/>
  <c r="C8" i="1"/>
  <c r="C7" i="1"/>
  <c r="A2" i="1"/>
  <c r="E13" i="1" a="1"/>
  <c r="E13" i="1" s="1"/>
  <c r="M14" i="1" a="1"/>
  <c r="M14" i="1" s="1"/>
  <c r="K26" i="1" a="1"/>
  <c r="K26" i="1" s="1"/>
  <c r="K27" i="1" s="1"/>
  <c r="M23" i="1" a="1"/>
  <c r="M23" i="1" s="1"/>
  <c r="C34" i="1" a="1"/>
  <c r="C34" i="1" s="1"/>
  <c r="M33" i="1" s="1"/>
  <c r="G26" i="1" l="1" a="1"/>
  <c r="G26" i="1" s="1"/>
  <c r="G27" i="1" s="1"/>
  <c r="C36" i="1" a="1"/>
  <c r="C36" i="1" s="1"/>
  <c r="E14" i="1" a="1"/>
  <c r="E14" i="1" s="1"/>
  <c r="I26" i="1" a="1"/>
  <c r="I26" i="1" s="1"/>
  <c r="I27" i="1" s="1"/>
  <c r="E23" i="1" a="1"/>
  <c r="E23" i="1" s="1"/>
  <c r="I23" i="1" a="1"/>
  <c r="I23" i="1" s="1"/>
  <c r="M32" i="1" a="1"/>
  <c r="M32" i="1" s="1"/>
  <c r="E26" i="1" a="1"/>
  <c r="E26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34212ED7-F83C-4EAC-8720-448582179BFF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7" authorId="0" shapeId="0" xr:uid="{D3F1FBE4-2081-4C16-82C4-BB17FA704BD4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8" authorId="0" shapeId="0" xr:uid="{B81D40CB-41B7-48A9-A41B-9379D810AF0B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<sst xmlns="http://schemas.openxmlformats.org/spreadsheetml/2006/main" count="200" uniqueCount="165">
  <si>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</si>
  <si>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</si>
  <si>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</si>
  <si>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</si>
  <si>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</si>
  <si>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</si>
  <si>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</si>
  <si>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</si>
  <si>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</si>
  <si>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</si>
  <si>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</si>
  <si>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</si>
  <si>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</si>
  <si>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Microcontrolere - arhitecturi și programare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</si>
  <si>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</si>
  <si>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</si>
  <si>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</si>
  <si>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</si>
  <si>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Şef lucr.dr.ing.fiz. Aleodor-Daniel Ioan</t>
  </si>
  <si>
    <t>2.3 Titularul / titularii activităţilor de aplicaţii (S, L, P, Pr)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</si>
  <si>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</si>
  <si>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</si>
  <si>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</si>
  <si>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</si>
  <si>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</si>
  <si>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</si>
  <si>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</si>
  <si>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</si>
  <si>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</si>
  <si>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</si>
  <si>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</si>
  <si>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</si>
  <si>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</si>
  <si>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</si>
  <si>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</si>
  <si>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</si>
  <si>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</si>
  <si>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</si>
  <si>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</si>
  <si>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</si>
  <si>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</si>
  <si>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</si>
  <si>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</si>
  <si>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</si>
  <si>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</si>
  <si>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</si>
  <si>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</si>
  <si>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</si>
  <si>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</si>
  <si>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</si>
  <si>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</si>
  <si>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- multiple, de la disciplinele: BFC, FIZ, ETH, DCE, ASDN, SMP, SAE (descrise într-un document separat)</t>
  </si>
  <si>
    <t>5. Condiţii</t>
  </si>
  <si>
    <t>5.1 de desfăşurare a cursului</t>
  </si>
  <si>
    <t>- Sală amfiteatru dotată cu tablă, calculator și videoproiector</t>
  </si>
  <si>
    <t>5.2 de desfăşurare a seminarului / laboratorului / proiectului</t>
  </si>
  <si>
    <t>- Sală de laborator dotată cu tablă, calculatoare și plăci de dezvoltare</t>
  </si>
  <si>
    <t>6. Obiectivul general al disciplinei</t>
  </si>
  <si>
    <r>
      <rPr>
        <sz val="12"/>
        <color theme="1"/>
        <rFont val="Arial"/>
      </rPr>
      <t xml:space="preserve">- Învățarea arhitecturii interne a microcontrolerelor de uz general, a unor </t>
    </r>
    <r>
      <rPr>
        <i/>
        <sz val="12"/>
        <color theme="1"/>
        <rFont val="Arial"/>
      </rPr>
      <t>tehnici de programare ‎eficientă, de proiectare și implementare</t>
    </r>
    <r>
      <rPr>
        <sz val="12"/>
        <color theme="1"/>
        <rFont val="Arial"/>
      </rPr>
      <t xml:space="preserve"> a sistemelor încorporate</t>
    </r>
  </si>
  <si>
    <t>7. Rezultatele învățării</t>
  </si>
  <si>
    <t>Cunoștințe</t>
  </si>
  <si>
    <t>Studentul / Absolventul:</t>
  </si>
  <si>
    <r>
      <rPr>
        <sz val="12"/>
        <color theme="1"/>
        <rFont val="Arial"/>
      </rPr>
      <t xml:space="preserve">- </t>
    </r>
    <r>
      <rPr>
        <b/>
        <sz val="12"/>
        <color theme="1"/>
        <rFont val="Arial"/>
      </rPr>
      <t>descrie</t>
    </r>
    <r>
      <rPr>
        <sz val="12"/>
        <color theme="1"/>
        <rFont val="Arial"/>
      </rPr>
      <t xml:space="preserve"> arhitectura microcontrolerelor PIC din seria "mid-range" (C1-C2);
- </t>
    </r>
    <r>
      <rPr>
        <b/>
        <sz val="12"/>
        <color theme="1"/>
        <rFont val="Arial"/>
      </rPr>
      <t>asociază</t>
    </r>
    <r>
      <rPr>
        <sz val="12"/>
        <color theme="1"/>
        <rFont val="Arial"/>
      </rPr>
      <t xml:space="preserve"> caracteristicile arhitecturale cu particularitățile setului de instrucțiuni (C3-C4);
- </t>
    </r>
    <r>
      <rPr>
        <b/>
        <sz val="12"/>
        <color theme="1"/>
        <rFont val="Arial"/>
      </rPr>
      <t>explică</t>
    </r>
    <r>
      <rPr>
        <sz val="12"/>
        <color theme="1"/>
        <rFont val="Arial"/>
      </rPr>
      <t xml:space="preserve"> organizarea pe bancuri / pagini a memoriilor pentru date / program și </t>
    </r>
    <r>
      <rPr>
        <b/>
        <sz val="12"/>
        <color theme="1"/>
        <rFont val="Arial"/>
      </rPr>
      <t>compară</t>
    </r>
    <r>
      <rPr>
        <sz val="12"/>
        <color theme="1"/>
        <rFont val="Arial"/>
      </rPr>
      <t xml:space="preserve"> avantajele si dezavantajele rezultate (C5-C7);
- </t>
    </r>
    <r>
      <rPr>
        <b/>
        <sz val="12"/>
        <color theme="1"/>
        <rFont val="Arial"/>
      </rPr>
      <t>identifică</t>
    </r>
    <r>
      <rPr>
        <sz val="12"/>
        <color theme="1"/>
        <rFont val="Arial"/>
      </rPr>
      <t xml:space="preserve"> structura porturilor de intrare / ieșire cu funcțiile lor auxiliare (C8);
- </t>
    </r>
    <r>
      <rPr>
        <b/>
        <sz val="12"/>
        <color theme="1"/>
        <rFont val="Arial"/>
      </rPr>
      <t>distinge</t>
    </r>
    <r>
      <rPr>
        <sz val="12"/>
        <color theme="1"/>
        <rFont val="Arial"/>
      </rPr>
      <t xml:space="preserve"> modul de implementare a sistemului de întreruperi față de alte microcontrolere și </t>
    </r>
    <r>
      <rPr>
        <b/>
        <sz val="12"/>
        <color theme="1"/>
        <rFont val="Arial"/>
      </rPr>
      <t>indică</t>
    </r>
    <r>
      <rPr>
        <sz val="12"/>
        <color theme="1"/>
        <rFont val="Arial"/>
      </rPr>
      <t xml:space="preserve"> pașii necesari pentru salvarea contextului (C9);
- </t>
    </r>
    <r>
      <rPr>
        <b/>
        <sz val="12"/>
        <color theme="1"/>
        <rFont val="Arial"/>
      </rPr>
      <t>discută</t>
    </r>
    <r>
      <rPr>
        <sz val="12"/>
        <color theme="1"/>
        <rFont val="Arial"/>
      </rPr>
      <t xml:space="preserve"> particularitățile fiecărui modul periferic de intrare / ieșire și </t>
    </r>
    <r>
      <rPr>
        <b/>
        <sz val="12"/>
        <color theme="1"/>
        <rFont val="Arial"/>
      </rPr>
      <t>deduce</t>
    </r>
    <r>
      <rPr>
        <sz val="12"/>
        <color theme="1"/>
        <rFont val="Arial"/>
      </rPr>
      <t xml:space="preserve"> posibilitățile lor de utilizare (C10-C13);
- </t>
    </r>
    <r>
      <rPr>
        <b/>
        <sz val="12"/>
        <color theme="1"/>
        <rFont val="Arial"/>
      </rPr>
      <t>estimează</t>
    </r>
    <r>
      <rPr>
        <sz val="12"/>
        <color theme="1"/>
        <rFont val="Arial"/>
      </rPr>
      <t xml:space="preserve"> dificultățile de implementare a cablajelor imprimate și </t>
    </r>
    <r>
      <rPr>
        <b/>
        <sz val="12"/>
        <color theme="1"/>
        <rFont val="Arial"/>
      </rPr>
      <t>menționează</t>
    </r>
    <r>
      <rPr>
        <sz val="12"/>
        <color theme="1"/>
        <rFont val="Arial"/>
      </rPr>
      <t xml:space="preserve"> câteva soluții euristice pentru ameliorarea lor (C14).</t>
    </r>
  </si>
  <si>
    <t>Aptitudini</t>
  </si>
  <si>
    <r>
      <rPr>
        <sz val="12"/>
        <color theme="1"/>
        <rFont val="Arial"/>
      </rPr>
      <t xml:space="preserve">- </t>
    </r>
    <r>
      <rPr>
        <b/>
        <sz val="12"/>
        <color theme="1"/>
        <rFont val="Arial"/>
      </rPr>
      <t>operează</t>
    </r>
    <r>
      <rPr>
        <sz val="12"/>
        <color theme="1"/>
        <rFont val="Arial"/>
      </rPr>
      <t xml:space="preserve"> cu placa de dezvoltare "PICDEM Mechatronics" și dezvoltă proiecte software în mediul de programare integrată MPLAB / MPLAB-X (L1);
- </t>
    </r>
    <r>
      <rPr>
        <b/>
        <sz val="12"/>
        <color theme="1"/>
        <rFont val="Arial"/>
      </rPr>
      <t>programează</t>
    </r>
    <r>
      <rPr>
        <sz val="12"/>
        <color theme="1"/>
        <rFont val="Arial"/>
      </rPr>
      <t xml:space="preserve"> aplicații eficiente în limbajul de asamblare care este ușor de învățat datorită setului restrâns de instrucțiuni RISC (L2);
- </t>
    </r>
    <r>
      <rPr>
        <b/>
        <sz val="12"/>
        <color theme="1"/>
        <rFont val="Arial"/>
      </rPr>
      <t>modifică</t>
    </r>
    <r>
      <rPr>
        <sz val="12"/>
        <color theme="1"/>
        <rFont val="Arial"/>
      </rPr>
      <t xml:space="preserve"> și </t>
    </r>
    <r>
      <rPr>
        <b/>
        <sz val="12"/>
        <color theme="1"/>
        <rFont val="Arial"/>
      </rPr>
      <t>dezvoltă</t>
    </r>
    <r>
      <rPr>
        <sz val="12"/>
        <color theme="1"/>
        <rFont val="Arial"/>
      </rPr>
      <t xml:space="preserve"> structurile hardware de interconectare de pe placa de dezvoltare și programele de aplicații propuse în referatele de laborator pentru a obține noi rezultate practice (L3-L12);
- </t>
    </r>
    <r>
      <rPr>
        <b/>
        <sz val="12"/>
        <color theme="1"/>
        <rFont val="Arial"/>
      </rPr>
      <t>construiește</t>
    </r>
    <r>
      <rPr>
        <sz val="12"/>
        <color theme="1"/>
        <rFont val="Arial"/>
      </rPr>
      <t xml:space="preserve"> interconexiunile hardware și proiectele software necesare la implementarea anumitor categorii de aplicații semnificative pentru sistemele încorporate cu microcontrolere: citirea butoanelor și comanda afișajelor, bucle de întârziere software, accesarea indirectă repetitivă a datelor, generarea semnalelor, comanda motoarelor, măsurarea tensiunilor de la senzori, comunicația serială între echipamente (L3-L12);
- </t>
    </r>
    <r>
      <rPr>
        <b/>
        <sz val="12"/>
        <color theme="1"/>
        <rFont val="Arial"/>
      </rPr>
      <t>experimentează</t>
    </r>
    <r>
      <rPr>
        <sz val="12"/>
        <color theme="1"/>
        <rFont val="Arial"/>
      </rPr>
      <t xml:space="preserve"> și </t>
    </r>
    <r>
      <rPr>
        <b/>
        <sz val="12"/>
        <color theme="1"/>
        <rFont val="Arial"/>
      </rPr>
      <t>testează</t>
    </r>
    <r>
      <rPr>
        <sz val="12"/>
        <color theme="1"/>
        <rFont val="Arial"/>
      </rPr>
      <t xml:space="preserve"> structuri de interconectare hardware și programe reprezentative pentru modul de utilizare a resurselor procesorului și circuitelor periferice de intrare / ieșire: instrucțiuni specifice PIC "mid-range", tabele LUT de conversie rapidă, porturi GPIO, ceasuri de timp TIMER 0/1/2, module CCP 1/2 de captură / comparație / PWM, convertor analog-numeric ADC, interfață serială USART (L3-L12);
- </t>
    </r>
    <r>
      <rPr>
        <b/>
        <sz val="12"/>
        <color theme="1"/>
        <rFont val="Arial"/>
      </rPr>
      <t>analizează</t>
    </r>
    <r>
      <rPr>
        <sz val="12"/>
        <color theme="1"/>
        <rFont val="Arial"/>
      </rPr>
      <t xml:space="preserve"> detaliat tehnicile de programare specifice microcontrolerelor PIC "mid-range" care au fost utilizate în aplicații (L13).</t>
    </r>
  </si>
  <si>
    <t>Responsabilitate și autonomie</t>
  </si>
  <si>
    <r>
      <rPr>
        <sz val="12"/>
        <color theme="1"/>
        <rFont val="Arial"/>
      </rPr>
      <t xml:space="preserve">- </t>
    </r>
    <r>
      <rPr>
        <b/>
        <sz val="12"/>
        <color theme="1"/>
        <rFont val="Arial"/>
      </rPr>
      <t>se alătură</t>
    </r>
    <r>
      <rPr>
        <sz val="12"/>
        <color theme="1"/>
        <rFont val="Arial"/>
      </rPr>
      <t xml:space="preserve"> unei echipe, </t>
    </r>
    <r>
      <rPr>
        <b/>
        <sz val="12"/>
        <color theme="1"/>
        <rFont val="Arial"/>
      </rPr>
      <t>propune</t>
    </r>
    <r>
      <rPr>
        <sz val="12"/>
        <color theme="1"/>
        <rFont val="Arial"/>
      </rPr>
      <t xml:space="preserve"> și </t>
    </r>
    <r>
      <rPr>
        <b/>
        <sz val="12"/>
        <color theme="1"/>
        <rFont val="Arial"/>
      </rPr>
      <t>împărtășeste</t>
    </r>
    <r>
      <rPr>
        <sz val="12"/>
        <color theme="1"/>
        <rFont val="Arial"/>
      </rPr>
      <t xml:space="preserve"> păreri cu privire la utilitatea practică și posibilitățile de extindere a aplicațiilor de laborator pe placa de dezvoltare cu microcontroler (L3-L12);
- </t>
    </r>
    <r>
      <rPr>
        <b/>
        <sz val="12"/>
        <color theme="1"/>
        <rFont val="Arial"/>
      </rPr>
      <t>manifestă interes</t>
    </r>
    <r>
      <rPr>
        <sz val="12"/>
        <color theme="1"/>
        <rFont val="Arial"/>
      </rPr>
      <t xml:space="preserve"> pentru cunoașterea unor detalii de arhitectură RISC și tehnici de programare în limbaj de asamblare care nu se mai întâlnesc în altă parte (C1-C14, L1-L13);
- </t>
    </r>
    <r>
      <rPr>
        <b/>
        <sz val="12"/>
        <color theme="1"/>
        <rFont val="Arial"/>
      </rPr>
      <t>apreciază</t>
    </r>
    <r>
      <rPr>
        <sz val="12"/>
        <color theme="1"/>
        <rFont val="Arial"/>
      </rPr>
      <t xml:space="preserve"> posibilitățile de optimizare permise de limbajul de asamblare și calitățile microcontrolerelor PIC "mid-range" care au condus la răspândirea lor în industrie (C1-C14, L1-L13).</t>
    </r>
  </si>
  <si>
    <t xml:space="preserve">8. Metode de predare </t>
  </si>
  <si>
    <t>- Se încearcă o ‎expunere graduală, de la structură și principii de funcţionare, medii şi ‎tehnici de proiectare, ‎până la detalierea unor ‎aplicaţii concrete;
- Separarea modelelor de programare pe blocuri funcționale permite înțelegerea limbajului de asamblare, cu eficiența lui specifică: acces direct la hardware, viteză ridicată și consum redus de memorie.</t>
  </si>
  <si>
    <t>9. Conţinuturi</t>
  </si>
  <si>
    <t>9.1. Curs</t>
  </si>
  <si>
    <t>Metode de predare</t>
  </si>
  <si>
    <t>Timp alocat</t>
  </si>
  <si>
    <t>C1</t>
  </si>
  <si>
    <t>Caracteristici generale ale microcontrolerelor PIC ‎"mid-range"</t>
  </si>
  <si>
    <t>a. Modul de predare este ‎interactiv, prin ‎urmărirea reacţiei ‎studenţilor, discutarea ‎neclarităţilor şi reluarea ‎sub altă formă didactică ‎a explicaţiilor pentru ‎aspectele care au fost ‎mai puţin înţelese;
b. Se urmăreşte ‎încadrarea tematicii ‎discutate în contextul ‎mai larg al sistemelor ‎încorporate, cu ‎evidenţierea ‎particularităţilor şi ‎avantajelor, prin ‎comparaţii, conexiuni şi ‎lărgirea unor cunoştinţe ‎acumulate la disciplinele ‎înrudite.</t>
  </si>
  <si>
    <t>2 ore</t>
  </si>
  <si>
    <t>C2</t>
  </si>
  <si>
    <t>Arhitectura internă detaliată</t>
  </si>
  <si>
    <t>C3</t>
  </si>
  <si>
    <t>Setul de instrucțiuni RISC</t>
  </si>
  <si>
    <t>C4</t>
  </si>
  <si>
    <t>Programarea în circuit ICSP</t>
  </si>
  <si>
    <t>C5</t>
  </si>
  <si>
    <t>Organizarea memoriei de date</t>
  </si>
  <si>
    <t>C6</t>
  </si>
  <si>
    <t>Organizarea memoriei program</t>
  </si>
  <si>
    <t>C7</t>
  </si>
  <si>
    <t>Implementarea tabelelor de ‎conversie LUT</t>
  </si>
  <si>
    <t>C8</t>
  </si>
  <si>
    <t>Porturile paralele și pinii de intrare-ieșire</t>
  </si>
  <si>
    <t>C9</t>
  </si>
  <si>
    <t>Sistemul de întreruperi și salvarea contextului</t>
  </si>
  <si>
    <t>C10</t>
  </si>
  <si>
    <t>Ceasurile interne TMR 0/1/2</t>
  </si>
  <si>
    <t>C11</t>
  </si>
  <si>
    <t>Modulele CCP pentru captură, comparație și PWM</t>
  </si>
  <si>
    <t>C12</t>
  </si>
  <si>
    <t>Interfața serială universală USART</t>
  </si>
  <si>
    <t>C13</t>
  </si>
  <si>
    <t>Modulul de conversie analog-numerică ADC</t>
  </si>
  <si>
    <t>C14</t>
  </si>
  <si>
    <t>Efecte parazite apărute la implementarea pe cablaj imprimat</t>
  </si>
  <si>
    <r>
      <rPr>
        <b/>
        <sz val="12"/>
        <color theme="1"/>
        <rFont val="Arial"/>
      </rPr>
      <t>Bibliografie curs:</t>
    </r>
    <r>
      <rPr>
        <sz val="12"/>
        <color theme="1"/>
        <rFont val="Arial"/>
      </rPr>
      <t xml:space="preserve">
 1. A.D.Ioan - </t>
    </r>
    <r>
      <rPr>
        <i/>
        <sz val="12"/>
        <color theme="1"/>
        <rFont val="Arial"/>
      </rPr>
      <t>"Microcontrolere PIC: arhitectură, ‎programare și proiectare"</t>
    </r>
    <r>
      <rPr>
        <sz val="12"/>
        <color theme="1"/>
        <rFont val="Arial"/>
      </rPr>
      <t xml:space="preserve">,‎ ediția a II-a (corectată și extinsă)‎, Ed. Universității Tehnice "Gheorghe Asachi" din Iași, Iași, România, 2025;
 2. V.Surducan, W.V.Ooijen - </t>
    </r>
    <r>
      <rPr>
        <i/>
        <sz val="12"/>
        <color theme="1"/>
        <rFont val="Arial"/>
      </rPr>
      <t>"Microcontrolere pentru toți"</t>
    </r>
    <r>
      <rPr>
        <sz val="12"/>
        <color theme="1"/>
        <rFont val="Arial"/>
      </rPr>
      <t xml:space="preserve">, ediția a II-a, Ed. Risoprint, Cluj Napoca, 2004;
 3. L.Di Jasio, T.Wilmshurst, D.Ibrahim, J.Morton, M.Bates, J.Smith, D.W.Smith, C.Hellebuyck - </t>
    </r>
    <r>
      <rPr>
        <i/>
        <sz val="12"/>
        <color theme="1"/>
        <rFont val="Arial"/>
      </rPr>
      <t>"Pic Microcontrollers. Know It All"</t>
    </r>
    <r>
      <rPr>
        <sz val="12"/>
        <color theme="1"/>
        <rFont val="Arial"/>
      </rPr>
      <t xml:space="preserve">, Elsevier, 2008;
 4. R.B.Keller - </t>
    </r>
    <r>
      <rPr>
        <i/>
        <sz val="12"/>
        <color theme="1"/>
        <rFont val="Arial"/>
      </rPr>
      <t>"Design for Electromagnetic Compatibility - In ‎a Nutshell: Theory and Practice"</t>
    </r>
    <r>
      <rPr>
        <sz val="12"/>
        <color theme="1"/>
        <rFont val="Arial"/>
      </rPr>
      <t>, Springer, 2023.‎</t>
    </r>
  </si>
  <si>
    <t>9.2a Seminar</t>
  </si>
  <si>
    <t>Metode de lucru</t>
  </si>
  <si>
    <t>9.2b Laborator</t>
  </si>
  <si>
    <t>L1</t>
  </si>
  <si>
    <t>Placa de dezvoltare “PICDEM Mechatronics”</t>
  </si>
  <si>
    <t>a. Sunt propuse modele reprezentative de programare pentru fiecare din blocurile funcționale ale microcontrolerelor, care pot fi apoi combinate în cadrul programelor unor aplicații mai complexe;
b. Lucrările de laborator sunt susținute prin experimente practice concrete cu ajutorul plăcilor de dezvoltare.</t>
  </si>
  <si>
    <t>L2</t>
  </si>
  <si>
    <t>Programarea în limbaj de asamblare</t>
  </si>
  <si>
    <t>L3</t>
  </si>
  <si>
    <t>Citirea intrărilor și comanda ieșirilor digitale</t>
  </si>
  <si>
    <t>L4</t>
  </si>
  <si>
    <t>Bucle de întârziere software</t>
  </si>
  <si>
    <t>L5</t>
  </si>
  <si>
    <t>Adresarea indirectă a memoriei de date</t>
  </si>
  <si>
    <t>L6</t>
  </si>
  <si>
    <t>Conversia datelor prin tabele de revenire</t>
  </si>
  <si>
    <t>L7</t>
  </si>
  <si>
    <t>Generarea semnalelor digitale periodice</t>
  </si>
  <si>
    <t>L8</t>
  </si>
  <si>
    <t>Comanda rotației motoarelor pas-cu-pas</t>
  </si>
  <si>
    <t>L9</t>
  </si>
  <si>
    <t>Comanda PWM a motoarelor de curent continuu</t>
  </si>
  <si>
    <t>L10</t>
  </si>
  <si>
    <t>Măsurarea tensiunilor analogice de la senzori</t>
  </si>
  <si>
    <t>L11</t>
  </si>
  <si>
    <t>Comanda automată de la senzori a motoarelor</t>
  </si>
  <si>
    <t>L12</t>
  </si>
  <si>
    <t>Comunicaţia serială asincronă cu calculatorul</t>
  </si>
  <si>
    <t>L13</t>
  </si>
  <si>
    <t>Discutarea unor detalii de programare</t>
  </si>
  <si>
    <t>L14</t>
  </si>
  <si>
    <t>Recuperări‎ absențe</t>
  </si>
  <si>
    <t>9.2c Proiect</t>
  </si>
  <si>
    <r>
      <rPr>
        <b/>
        <sz val="12"/>
        <color theme="1"/>
        <rFont val="Arial"/>
      </rPr>
      <t>Bibliografie aplicaţii (laborator):</t>
    </r>
    <r>
      <rPr>
        <sz val="12"/>
        <color theme="1"/>
        <rFont val="Arial"/>
      </rPr>
      <t xml:space="preserve">
 1. A.D.Ioan - </t>
    </r>
    <r>
      <rPr>
        <i/>
        <sz val="12"/>
        <color theme="1"/>
        <rFont val="Arial"/>
      </rPr>
      <t>"Microcontrolere PIC: arhitectură, ‎programare și proiectare"</t>
    </r>
    <r>
      <rPr>
        <sz val="12"/>
        <color theme="1"/>
        <rFont val="Arial"/>
      </rPr>
      <t xml:space="preserve">,‎ ediția a II-a (corectată și extinsă)‎, Ed. Universității Tehnice "Gheorghe Asachi" din Iași, Iași, România, 2025;
 2. ‎V.V.Athani - </t>
    </r>
    <r>
      <rPr>
        <i/>
        <sz val="12"/>
        <color theme="1"/>
        <rFont val="Arial"/>
      </rPr>
      <t>"Stepper Motors: Fundamentals, Applications ‎and Design"</t>
    </r>
    <r>
      <rPr>
        <sz val="12"/>
        <color theme="1"/>
        <rFont val="Arial"/>
      </rPr>
      <t xml:space="preserve">, New Age International, 1997 (Reprint 2005);
 3. * * * - </t>
    </r>
    <r>
      <rPr>
        <i/>
        <sz val="12"/>
        <color theme="1"/>
        <rFont val="Arial"/>
      </rPr>
      <t>"PICmicro Mid-Range MCU Family"</t>
    </r>
    <r>
      <rPr>
        <sz val="12"/>
        <color theme="1"/>
        <rFont val="Arial"/>
      </rPr>
      <t xml:space="preserve">, Reference Manual ‎DS33023A, Microchip Technology Inc. , 1997;
 4. * * * - </t>
    </r>
    <r>
      <rPr>
        <i/>
        <sz val="12"/>
        <color theme="1"/>
        <rFont val="Arial"/>
      </rPr>
      <t>"PIC 16F913/914/916/917/946, 28/40/44/64-Pin, Flash-‎Based, 8-Bit CMOS Microcontrollers with LCD Driver and ‎nanoWatt Technology"</t>
    </r>
    <r>
      <rPr>
        <sz val="12"/>
        <color theme="1"/>
        <rFont val="Arial"/>
      </rPr>
      <t xml:space="preserve">, Data Sheet DS41250F, Microchip ‎Technology Inc. , 2007;
 5. * * * - </t>
    </r>
    <r>
      <rPr>
        <i/>
        <sz val="12"/>
        <color theme="1"/>
        <rFont val="Arial"/>
      </rPr>
      <t>"PICDEM Mechatronics Demonstration Board"</t>
    </r>
    <r>
      <rPr>
        <sz val="12"/>
        <color theme="1"/>
        <rFont val="Arial"/>
      </rPr>
      <t>, User’s Guide ‎DS51557D, Microchip Technology Inc. , 2007.</t>
    </r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</si>
  <si>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</si>
  <si>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</si>
  <si>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</si>
  <si>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</si>
  <si>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</si>
  <si>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</si>
  <si>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Completitudinea şi corectitudinea cunoştinţelor. 
Coerenţa logică, fluenţa, forţa de argumentare. 
Capacitatea de analiză, de interpretare personală, originalitatea, creativitatea. 
Gradul de asimilare a limbajului de specialitate şi capacitatea de comunicare.
Capacitatea de a valorifica abilităţile dobândite.
Capacitatea de a prelucra datele și problemele enunțate.</t>
  </si>
  <si>
    <t>- discuție orală de evaluare sumativă (verificare finală).</t>
  </si>
  <si>
    <t>100%</t>
  </si>
  <si>
    <t>10.5a Seminar</t>
  </si>
  <si>
    <t>Capacitatea de aplicare în practică a cunoştinţelor învăţate. Capacitatea de analiză, de interpretare personală, originalitatea, creativitatea.</t>
  </si>
  <si>
    <t>- participare activă la activități;
- test de evaluare.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</si>
  <si>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</si>
  <si>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</si>
  <si>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- contribuţia individuală în timpul laboratoarelor la ‎rezolvarea de probleme practice, la operarea ‎echipamentelor de laborator şi la scrierea de programe ‎aplicative.</t>
  </si>
  <si>
    <t>10.5c Proiect</t>
  </si>
  <si>
    <t>Participarea la activitatea de proicetare, capacitatea de documentare, aplicarea cunoștințelor în activitatea de proiectare.</t>
  </si>
  <si>
    <t>- efectuarea activității de proiectare;
- finalizarea proiectului;
- susținerea proiectului.</t>
  </si>
  <si>
    <t>10.6 Condiții de promovare</t>
  </si>
  <si>
    <t>Rezultatul evaluării finale la o disciplină rezultă prin considerarea punctajelor și ponderilor alocate fiecărei activităţi din cadrul disciplinei. Se vor acorda note întregi de la 10 la 1, nota 5 certificând dobândirea rezultatelor învăţării minimale aferente unei discipline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</si>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</sst>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4" fillId="0" borderId="7" xfId="0" applyFont="1" applyBorder="1"/>
    <xf numFmtId="0" fontId="2" fillId="3" borderId="7" xfId="0" applyFont="1" applyFill="1" applyBorder="1" applyAlignment="1">
      <alignment vertical="center" wrapText="1"/>
    </xf>
    <xf numFmtId="0" fontId="4" fillId="0" borderId="10" xfId="0" applyFont="1" applyBorder="1"/>
    <xf numFmtId="0" fontId="4" fillId="0" borderId="11" xfId="0" applyFont="1" applyBorder="1"/>
    <xf numFmtId="0" fontId="2" fillId="3" borderId="10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0" fontId="4" fillId="0" borderId="15" xfId="0" applyFont="1" applyBorder="1"/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2" fillId="3" borderId="12" xfId="0" applyNumberFormat="1" applyFont="1" applyFill="1" applyBorder="1" applyAlignment="1">
      <alignment horizontal="center" vertical="top" wrapText="1"/>
    </xf>
    <xf numFmtId="9" fontId="2" fillId="0" borderId="4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3.xlsx" TargetMode="External"/><Relationship Id="rId1" Type="http://schemas.openxmlformats.org/officeDocument/2006/relationships/externalLinkPath" Target="/Users/Madalin/Downloads/FD%20AIA%20-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TS"/>
      <sheetName val="SMP"/>
      <sheetName val="SAE"/>
      <sheetName val="BD"/>
      <sheetName val="ROB"/>
      <sheetName val="SED"/>
      <sheetName val="IS"/>
      <sheetName val="AC"/>
      <sheetName val="LE III"/>
      <sheetName val="PD"/>
      <sheetName val="PS"/>
      <sheetName val="MAE"/>
      <sheetName val="EHP"/>
      <sheetName val="ISP"/>
      <sheetName val="PIP"/>
      <sheetName val="SVA"/>
      <sheetName val="SAIP"/>
      <sheetName val="PNS"/>
      <sheetName val="MAP"/>
      <sheetName val="SAE-Pr"/>
      <sheetName val="SAIP-Pr"/>
      <sheetName val="PIP-Pr"/>
      <sheetName val="EA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C1" t="str">
            <v>Anul universitar: 2025-2026</v>
          </cell>
        </row>
        <row r="2">
          <cell r="B2" t="str">
            <v>Ingineria sistemelor</v>
          </cell>
        </row>
        <row r="3">
          <cell r="B3" t="str">
            <v>Licență</v>
          </cell>
        </row>
        <row r="4">
          <cell r="B4">
            <v>3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Teoria sistemelor</v>
          </cell>
          <cell r="D8" t="str">
            <v>Systems Theory</v>
          </cell>
          <cell r="E8" t="str">
            <v>AIA301</v>
          </cell>
          <cell r="F8" t="str">
            <v>DI</v>
          </cell>
          <cell r="G8" t="str">
            <v>DD</v>
          </cell>
          <cell r="H8">
            <v>2</v>
          </cell>
          <cell r="I8">
            <v>0</v>
          </cell>
          <cell r="J8">
            <v>2</v>
          </cell>
          <cell r="K8">
            <v>0</v>
          </cell>
          <cell r="L8">
            <v>44</v>
          </cell>
          <cell r="M8" t="str">
            <v>E</v>
          </cell>
          <cell r="N8">
            <v>4</v>
          </cell>
        </row>
        <row r="9">
          <cell r="A9">
            <v>1</v>
          </cell>
          <cell r="C9" t="str">
            <v>Sisteme cu microprocesoare</v>
          </cell>
          <cell r="D9" t="str">
            <v>Microprocessor Based Systems</v>
          </cell>
          <cell r="E9" t="str">
            <v>AIA302</v>
          </cell>
          <cell r="F9" t="str">
            <v>DI</v>
          </cell>
          <cell r="G9" t="str">
            <v>DD</v>
          </cell>
          <cell r="H9">
            <v>2</v>
          </cell>
          <cell r="I9">
            <v>0</v>
          </cell>
          <cell r="J9">
            <v>2</v>
          </cell>
          <cell r="K9">
            <v>0</v>
          </cell>
          <cell r="L9">
            <v>69</v>
          </cell>
          <cell r="M9" t="str">
            <v>C</v>
          </cell>
          <cell r="N9">
            <v>5</v>
          </cell>
        </row>
        <row r="10">
          <cell r="A10">
            <v>1</v>
          </cell>
          <cell r="C10" t="str">
            <v>Sisteme automate cu eșantionare</v>
          </cell>
          <cell r="D10" t="str">
            <v>Sampled Data Control Systems</v>
          </cell>
          <cell r="E10" t="str">
            <v>AIA303</v>
          </cell>
          <cell r="F10" t="str">
            <v>DI</v>
          </cell>
          <cell r="G10" t="str">
            <v>DD</v>
          </cell>
          <cell r="H10">
            <v>2</v>
          </cell>
          <cell r="I10">
            <v>0</v>
          </cell>
          <cell r="J10">
            <v>2</v>
          </cell>
          <cell r="K10">
            <v>0</v>
          </cell>
          <cell r="L10">
            <v>44</v>
          </cell>
          <cell r="M10" t="str">
            <v>C</v>
          </cell>
          <cell r="N10">
            <v>4</v>
          </cell>
        </row>
        <row r="11">
          <cell r="A11">
            <v>1</v>
          </cell>
          <cell r="C11" t="str">
            <v>Baze de date</v>
          </cell>
          <cell r="D11" t="str">
            <v>Database Systems</v>
          </cell>
          <cell r="E11" t="str">
            <v>AIA304</v>
          </cell>
          <cell r="F11" t="str">
            <v>DI</v>
          </cell>
          <cell r="G11" t="str">
            <v>DD</v>
          </cell>
          <cell r="H11">
            <v>2</v>
          </cell>
          <cell r="I11">
            <v>0</v>
          </cell>
          <cell r="J11">
            <v>2</v>
          </cell>
          <cell r="K11">
            <v>0</v>
          </cell>
          <cell r="L11">
            <v>69</v>
          </cell>
          <cell r="M11" t="str">
            <v>E</v>
          </cell>
          <cell r="N11">
            <v>5</v>
          </cell>
        </row>
        <row r="12">
          <cell r="A12">
            <v>2</v>
          </cell>
          <cell r="C12" t="str">
            <v>Robotică</v>
          </cell>
          <cell r="D12" t="str">
            <v>Robotics</v>
          </cell>
          <cell r="E12" t="str">
            <v>AIA305</v>
          </cell>
          <cell r="F12" t="str">
            <v>DI</v>
          </cell>
          <cell r="G12" t="str">
            <v>DD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44</v>
          </cell>
          <cell r="M12" t="str">
            <v>E</v>
          </cell>
          <cell r="N12">
            <v>4</v>
          </cell>
        </row>
        <row r="13">
          <cell r="A13">
            <v>2</v>
          </cell>
          <cell r="C13" t="str">
            <v>Sisteme cu evenimente discrete</v>
          </cell>
          <cell r="D13" t="str">
            <v>Discrete Event Systems</v>
          </cell>
          <cell r="E13" t="str">
            <v>AIA306</v>
          </cell>
          <cell r="F13" t="str">
            <v>DI</v>
          </cell>
          <cell r="G13" t="str">
            <v>DD</v>
          </cell>
          <cell r="H13">
            <v>2</v>
          </cell>
          <cell r="I13">
            <v>0</v>
          </cell>
          <cell r="J13">
            <v>2</v>
          </cell>
          <cell r="K13">
            <v>0</v>
          </cell>
          <cell r="L13">
            <v>19</v>
          </cell>
          <cell r="M13" t="str">
            <v>C</v>
          </cell>
          <cell r="N13">
            <v>3</v>
          </cell>
        </row>
        <row r="14">
          <cell r="A14">
            <v>2</v>
          </cell>
          <cell r="C14" t="str">
            <v>Identificarea sistemelor</v>
          </cell>
          <cell r="D14" t="str">
            <v>Systems Identification</v>
          </cell>
          <cell r="E14" t="str">
            <v>AIA307</v>
          </cell>
          <cell r="F14" t="str">
            <v>DI</v>
          </cell>
          <cell r="G14" t="str">
            <v>DD</v>
          </cell>
          <cell r="H14">
            <v>2</v>
          </cell>
          <cell r="I14">
            <v>0</v>
          </cell>
          <cell r="J14">
            <v>2</v>
          </cell>
          <cell r="K14">
            <v>0</v>
          </cell>
          <cell r="L14">
            <v>44</v>
          </cell>
          <cell r="M14" t="str">
            <v>E</v>
          </cell>
          <cell r="N14">
            <v>4</v>
          </cell>
        </row>
        <row r="15">
          <cell r="A15">
            <v>2</v>
          </cell>
          <cell r="C15" t="str">
            <v>Arhitecturi de calculatoare</v>
          </cell>
          <cell r="D15" t="str">
            <v>Computer Architectures</v>
          </cell>
          <cell r="E15" t="str">
            <v>AIA308</v>
          </cell>
          <cell r="F15" t="str">
            <v>DI</v>
          </cell>
          <cell r="G15" t="str">
            <v>DD</v>
          </cell>
          <cell r="H15">
            <v>2</v>
          </cell>
          <cell r="I15">
            <v>0</v>
          </cell>
          <cell r="J15">
            <v>2</v>
          </cell>
          <cell r="K15">
            <v>0</v>
          </cell>
          <cell r="L15">
            <v>19</v>
          </cell>
          <cell r="M15" t="str">
            <v>C</v>
          </cell>
          <cell r="N15">
            <v>3</v>
          </cell>
        </row>
        <row r="16">
          <cell r="A16">
            <v>1</v>
          </cell>
          <cell r="C16" t="str">
            <v>Limba engleză III</v>
          </cell>
          <cell r="D16" t="str">
            <v>The English Language III</v>
          </cell>
          <cell r="E16" t="str">
            <v>AIA309</v>
          </cell>
          <cell r="F16" t="str">
            <v>DI</v>
          </cell>
          <cell r="G16" t="str">
            <v>DC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22</v>
          </cell>
          <cell r="M16" t="str">
            <v>C</v>
          </cell>
          <cell r="N16">
            <v>2</v>
          </cell>
        </row>
        <row r="17">
          <cell r="A17">
            <v>2</v>
          </cell>
          <cell r="C17" t="str">
            <v>Practică de domeniu</v>
          </cell>
          <cell r="D17" t="str">
            <v>Practical Training in Systems Engineering</v>
          </cell>
          <cell r="E17" t="str">
            <v>AIA310</v>
          </cell>
          <cell r="F17" t="str">
            <v>DI</v>
          </cell>
          <cell r="G17" t="str">
            <v>DD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10</v>
          </cell>
          <cell r="M17" t="str">
            <v>C</v>
          </cell>
          <cell r="N17">
            <v>4</v>
          </cell>
        </row>
        <row r="18">
          <cell r="A18">
            <v>2</v>
          </cell>
          <cell r="C18" t="str">
            <v>Practică de specialitate</v>
          </cell>
          <cell r="D18" t="str">
            <v>Practical Training in Automatic Control and Applied Informatics</v>
          </cell>
          <cell r="E18" t="str">
            <v>AIA311</v>
          </cell>
          <cell r="F18" t="str">
            <v>DI</v>
          </cell>
          <cell r="G18" t="str">
            <v>DS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10</v>
          </cell>
          <cell r="M18" t="str">
            <v>C</v>
          </cell>
          <cell r="N18">
            <v>4</v>
          </cell>
        </row>
        <row r="19">
          <cell r="A19">
            <v>1</v>
          </cell>
          <cell r="C19" t="str">
            <v>Mașini și acționări electrice</v>
          </cell>
          <cell r="D19" t="str">
            <v>Electrical Machines and Drive Systems</v>
          </cell>
          <cell r="E19" t="str">
            <v>A312</v>
          </cell>
          <cell r="F19" t="str">
            <v>DO</v>
          </cell>
          <cell r="G19" t="str">
            <v>DD</v>
          </cell>
          <cell r="H19">
            <v>2</v>
          </cell>
          <cell r="I19">
            <v>0</v>
          </cell>
          <cell r="J19">
            <v>2</v>
          </cell>
          <cell r="K19">
            <v>0</v>
          </cell>
          <cell r="L19">
            <v>69</v>
          </cell>
          <cell r="M19" t="str">
            <v>E</v>
          </cell>
          <cell r="N19">
            <v>5</v>
          </cell>
        </row>
        <row r="20">
          <cell r="A20">
            <v>1</v>
          </cell>
          <cell r="C20" t="str">
            <v>Echipamente hidropneumatice</v>
          </cell>
          <cell r="D20" t="str">
            <v>Hydraulic and Pneumatic Control Systems</v>
          </cell>
          <cell r="E20" t="str">
            <v>A313</v>
          </cell>
          <cell r="F20" t="str">
            <v>DO</v>
          </cell>
          <cell r="G20" t="str">
            <v>DS</v>
          </cell>
          <cell r="H20">
            <v>2</v>
          </cell>
          <cell r="I20">
            <v>0</v>
          </cell>
          <cell r="J20">
            <v>2</v>
          </cell>
          <cell r="K20">
            <v>0</v>
          </cell>
          <cell r="L20">
            <v>69</v>
          </cell>
          <cell r="M20" t="str">
            <v>E</v>
          </cell>
          <cell r="N20">
            <v>5</v>
          </cell>
        </row>
        <row r="21">
          <cell r="A21">
            <v>1</v>
          </cell>
          <cell r="C21" t="str">
            <v>Ingineria sistemelor de programe</v>
          </cell>
          <cell r="D21" t="str">
            <v>Software Engineering</v>
          </cell>
          <cell r="E21" t="str">
            <v>IA314</v>
          </cell>
          <cell r="F21" t="str">
            <v>DO</v>
          </cell>
          <cell r="G21" t="str">
            <v>DD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69</v>
          </cell>
          <cell r="M21" t="str">
            <v>E</v>
          </cell>
          <cell r="N21">
            <v>5</v>
          </cell>
        </row>
        <row r="22">
          <cell r="A22">
            <v>1</v>
          </cell>
          <cell r="C22" t="str">
            <v>Programare independentă de platformă</v>
          </cell>
          <cell r="D22" t="str">
            <v>Platform Independent Programming</v>
          </cell>
          <cell r="E22" t="str">
            <v>IA315</v>
          </cell>
          <cell r="F22" t="str">
            <v>DO</v>
          </cell>
          <cell r="G22" t="str">
            <v>DS</v>
          </cell>
          <cell r="H22">
            <v>2</v>
          </cell>
          <cell r="I22">
            <v>0</v>
          </cell>
          <cell r="J22">
            <v>2</v>
          </cell>
          <cell r="K22">
            <v>0</v>
          </cell>
          <cell r="L22">
            <v>69</v>
          </cell>
          <cell r="M22" t="str">
            <v>E</v>
          </cell>
          <cell r="N22">
            <v>5</v>
          </cell>
        </row>
        <row r="23">
          <cell r="A23">
            <v>2</v>
          </cell>
          <cell r="C23" t="str">
            <v>Sisteme de vedere artificială</v>
          </cell>
          <cell r="D23" t="str">
            <v>Computer Vision</v>
          </cell>
          <cell r="E23" t="str">
            <v>A316</v>
          </cell>
          <cell r="F23" t="str">
            <v>DO</v>
          </cell>
          <cell r="G23" t="str">
            <v>DS</v>
          </cell>
          <cell r="H23">
            <v>2</v>
          </cell>
          <cell r="I23">
            <v>0</v>
          </cell>
          <cell r="J23">
            <v>2</v>
          </cell>
          <cell r="K23">
            <v>0</v>
          </cell>
          <cell r="L23">
            <v>19</v>
          </cell>
          <cell r="M23" t="str">
            <v>E</v>
          </cell>
          <cell r="N23">
            <v>3</v>
          </cell>
        </row>
        <row r="24">
          <cell r="A24">
            <v>2</v>
          </cell>
          <cell r="C24" t="str">
            <v>Sisteme de achizitie și interfețe de proces</v>
          </cell>
          <cell r="D24" t="str">
            <v>Aquisition Systems and Process Interfaces</v>
          </cell>
          <cell r="E24" t="str">
            <v>A317</v>
          </cell>
          <cell r="F24" t="str">
            <v>DO</v>
          </cell>
          <cell r="G24" t="str">
            <v>DS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19</v>
          </cell>
          <cell r="M24" t="str">
            <v>E</v>
          </cell>
          <cell r="N24">
            <v>3</v>
          </cell>
        </row>
        <row r="25">
          <cell r="A25">
            <v>2</v>
          </cell>
          <cell r="C25" t="str">
            <v>Procesoare numerice de semnal</v>
          </cell>
          <cell r="D25" t="str">
            <v>Digital Signal Processors</v>
          </cell>
          <cell r="E25" t="str">
            <v>IA318</v>
          </cell>
          <cell r="F25" t="str">
            <v>DO</v>
          </cell>
          <cell r="G25" t="str">
            <v>DS</v>
          </cell>
          <cell r="H25">
            <v>2</v>
          </cell>
          <cell r="I25">
            <v>0</v>
          </cell>
          <cell r="J25">
            <v>2</v>
          </cell>
          <cell r="K25">
            <v>0</v>
          </cell>
          <cell r="L25">
            <v>19</v>
          </cell>
          <cell r="M25" t="str">
            <v>E</v>
          </cell>
          <cell r="N25">
            <v>3</v>
          </cell>
        </row>
        <row r="26">
          <cell r="A26">
            <v>2</v>
          </cell>
          <cell r="C26" t="str">
            <v>Microcontrolere - arhitecturi și programare</v>
          </cell>
          <cell r="D26" t="str">
            <v>Microcontrollers - architectures and programming</v>
          </cell>
          <cell r="E26" t="str">
            <v>IA319</v>
          </cell>
          <cell r="F26" t="str">
            <v>DO</v>
          </cell>
          <cell r="G26" t="str">
            <v>DS</v>
          </cell>
          <cell r="H26">
            <v>2</v>
          </cell>
          <cell r="I26">
            <v>0</v>
          </cell>
          <cell r="J26">
            <v>2</v>
          </cell>
          <cell r="K26">
            <v>0</v>
          </cell>
          <cell r="L26">
            <v>19</v>
          </cell>
          <cell r="M26" t="str">
            <v>E</v>
          </cell>
          <cell r="N26">
            <v>3</v>
          </cell>
        </row>
        <row r="27">
          <cell r="A27">
            <v>2</v>
          </cell>
          <cell r="C27" t="str">
            <v>Sisteme automate cu eșantionare - proiect</v>
          </cell>
          <cell r="D27" t="str">
            <v>Sampled Data Control Systems – project work</v>
          </cell>
          <cell r="E27" t="str">
            <v>AIA320</v>
          </cell>
          <cell r="F27" t="str">
            <v>DO</v>
          </cell>
          <cell r="G27" t="str">
            <v>DD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  <cell r="L27">
            <v>22</v>
          </cell>
          <cell r="M27" t="str">
            <v>C</v>
          </cell>
          <cell r="N27">
            <v>2</v>
          </cell>
        </row>
        <row r="28">
          <cell r="A28">
            <v>2</v>
          </cell>
          <cell r="C28" t="str">
            <v>Sisteme de achiziție și interfețe de proces - proiect</v>
          </cell>
          <cell r="D28" t="str">
            <v>Aquisition Systems and Process Interfaces – project work</v>
          </cell>
          <cell r="E28" t="str">
            <v>A321</v>
          </cell>
          <cell r="F28" t="str">
            <v>DO</v>
          </cell>
          <cell r="G28" t="str">
            <v>DS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22</v>
          </cell>
          <cell r="M28" t="str">
            <v>C</v>
          </cell>
          <cell r="N28">
            <v>2</v>
          </cell>
        </row>
        <row r="29">
          <cell r="A29">
            <v>2</v>
          </cell>
          <cell r="C29" t="str">
            <v>Programare independentă de platformă - proiect</v>
          </cell>
          <cell r="D29" t="str">
            <v>Platform Independent Programming – project work</v>
          </cell>
          <cell r="E29" t="str">
            <v>IA322</v>
          </cell>
          <cell r="F29" t="str">
            <v>DO</v>
          </cell>
          <cell r="G29" t="str">
            <v>DS</v>
          </cell>
          <cell r="H29">
            <v>0</v>
          </cell>
          <cell r="I29">
            <v>0</v>
          </cell>
          <cell r="J29">
            <v>0</v>
          </cell>
          <cell r="K29">
            <v>2</v>
          </cell>
          <cell r="L29">
            <v>22</v>
          </cell>
          <cell r="M29" t="str">
            <v>C</v>
          </cell>
          <cell r="N29">
            <v>2</v>
          </cell>
        </row>
        <row r="30">
          <cell r="A30">
            <v>2</v>
          </cell>
          <cell r="C30" t="str">
            <v>Educație antreprenorială</v>
          </cell>
          <cell r="D30" t="str">
            <v>Antrepreneurship Education</v>
          </cell>
          <cell r="E30" t="str">
            <v>AIA323</v>
          </cell>
          <cell r="F30" t="str">
            <v>DL</v>
          </cell>
          <cell r="G30" t="str">
            <v>DS</v>
          </cell>
          <cell r="H30">
            <v>2</v>
          </cell>
          <cell r="I30">
            <v>0</v>
          </cell>
          <cell r="J30">
            <v>1</v>
          </cell>
          <cell r="K30">
            <v>0</v>
          </cell>
          <cell r="L30">
            <v>83</v>
          </cell>
          <cell r="M30" t="str">
            <v>C</v>
          </cell>
          <cell r="N30">
            <v>5</v>
          </cell>
        </row>
        <row r="33">
          <cell r="C33">
            <v>45915</v>
          </cell>
        </row>
        <row r="34">
          <cell r="C34">
            <v>45918</v>
          </cell>
        </row>
        <row r="35">
          <cell r="C35" t="str">
            <v>Conf.dr.ing. Mihai POSTOLACHE</v>
          </cell>
        </row>
        <row r="36">
          <cell r="C36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D412-8516-4CD4-BAB1-86ACB47D81BF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Ingineria sistemelor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INDEX([1]Date!D8:D30, MATCH(E12,[1]Date!C8:C30,0),0)</f>
        <v>Microcontrollers - architectures and programming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INDEX([1]Date!E8:E30, MATCH(E12,[1]Date!C8:C30,0),0)</f>
        <v>IA319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INDEX([1]Date!G8:G30, MATCH(E12,[1]Date!C8:C30,0),0)</f>
        <v>DS</v>
      </c>
      <c r="N14" s="5"/>
    </row>
    <row r="15" spans="1:14" ht="15.5" x14ac:dyDescent="0.35">
      <c r="A15" s="13" t="s">
        <v>17</v>
      </c>
      <c r="B15" s="14"/>
      <c r="C15" s="14"/>
      <c r="D15" s="15"/>
      <c r="E15" s="23" t="s">
        <v>18</v>
      </c>
      <c r="F15" s="14"/>
      <c r="G15" s="14"/>
      <c r="H15" s="14"/>
      <c r="I15" s="14"/>
      <c r="J15" s="14"/>
      <c r="K15" s="14"/>
      <c r="L15" s="14"/>
      <c r="M15" s="15"/>
      <c r="N15" s="5"/>
    </row>
    <row r="16" spans="1:14" ht="15.5" x14ac:dyDescent="0.35">
      <c r="A16" s="24"/>
      <c r="B16" s="18"/>
      <c r="C16" s="18"/>
      <c r="D16" s="19"/>
      <c r="E16" s="25"/>
      <c r="F16" s="18"/>
      <c r="G16" s="18"/>
      <c r="H16" s="18"/>
      <c r="I16" s="18"/>
      <c r="J16" s="18"/>
      <c r="K16" s="18"/>
      <c r="L16" s="18"/>
      <c r="M16" s="19"/>
      <c r="N16" s="5"/>
    </row>
    <row r="17" spans="1:14" ht="15.5" x14ac:dyDescent="0.35">
      <c r="A17" s="13" t="s">
        <v>19</v>
      </c>
      <c r="B17" s="14"/>
      <c r="C17" s="14"/>
      <c r="D17" s="15"/>
      <c r="E17" s="23" t="s">
        <v>18</v>
      </c>
      <c r="F17" s="14"/>
      <c r="G17" s="14"/>
      <c r="H17" s="14"/>
      <c r="I17" s="14"/>
      <c r="J17" s="14"/>
      <c r="K17" s="14"/>
      <c r="L17" s="14"/>
      <c r="M17" s="15"/>
      <c r="N17" s="5"/>
    </row>
    <row r="18" spans="1:14" ht="15.5" x14ac:dyDescent="0.35">
      <c r="A18" s="26"/>
      <c r="B18" s="2"/>
      <c r="C18" s="2"/>
      <c r="D18" s="27"/>
      <c r="E18" s="28"/>
      <c r="F18" s="2"/>
      <c r="G18" s="2"/>
      <c r="H18" s="2"/>
      <c r="I18" s="2"/>
      <c r="J18" s="2"/>
      <c r="K18" s="2"/>
      <c r="L18" s="2"/>
      <c r="M18" s="27"/>
      <c r="N18" s="5"/>
    </row>
    <row r="19" spans="1:14" ht="15.5" hidden="1" x14ac:dyDescent="0.35">
      <c r="A19" s="26"/>
      <c r="B19" s="2"/>
      <c r="C19" s="2"/>
      <c r="D19" s="27"/>
      <c r="E19" s="28"/>
      <c r="F19" s="2"/>
      <c r="G19" s="2"/>
      <c r="H19" s="2"/>
      <c r="I19" s="2"/>
      <c r="J19" s="2"/>
      <c r="K19" s="2"/>
      <c r="L19" s="2"/>
      <c r="M19" s="27"/>
      <c r="N19" s="5"/>
    </row>
    <row r="20" spans="1:14" ht="15.5" hidden="1" x14ac:dyDescent="0.35">
      <c r="A20" s="26"/>
      <c r="B20" s="2"/>
      <c r="C20" s="2"/>
      <c r="D20" s="27"/>
      <c r="E20" s="28"/>
      <c r="F20" s="2"/>
      <c r="G20" s="2"/>
      <c r="H20" s="2"/>
      <c r="I20" s="2"/>
      <c r="J20" s="2"/>
      <c r="K20" s="2"/>
      <c r="L20" s="2"/>
      <c r="M20" s="27"/>
      <c r="N20" s="5"/>
    </row>
    <row r="21" spans="1:14" ht="15.5" hidden="1" x14ac:dyDescent="0.35">
      <c r="A21" s="26"/>
      <c r="B21" s="2"/>
      <c r="C21" s="2"/>
      <c r="D21" s="27"/>
      <c r="E21" s="28"/>
      <c r="F21" s="2"/>
      <c r="G21" s="2"/>
      <c r="H21" s="2"/>
      <c r="I21" s="2"/>
      <c r="J21" s="2"/>
      <c r="K21" s="2"/>
      <c r="L21" s="2"/>
      <c r="M21" s="27"/>
      <c r="N21" s="5"/>
    </row>
    <row r="22" spans="1:14" ht="15.5" hidden="1" x14ac:dyDescent="0.35">
      <c r="A22" s="24"/>
      <c r="B22" s="18"/>
      <c r="C22" s="18"/>
      <c r="D22" s="19"/>
      <c r="E22" s="25"/>
      <c r="F22" s="18"/>
      <c r="G22" s="18"/>
      <c r="H22" s="18"/>
      <c r="I22" s="18"/>
      <c r="J22" s="18"/>
      <c r="K22" s="18"/>
      <c r="L22" s="18"/>
      <c r="M22" s="19"/>
      <c r="N22" s="5"/>
    </row>
    <row r="23" spans="1:14" ht="31" x14ac:dyDescent="0.35">
      <c r="A23" s="7" t="s">
        <v>20</v>
      </c>
      <c r="B23" s="10"/>
      <c r="C23" s="29">
        <f>[1]Date!B4</f>
        <v>3</v>
      </c>
      <c r="D23" s="30" t="s">
        <v>21</v>
      </c>
      <c r="E23" s="29">
        <f t="array" aca="1" ref="E23" ca="1">INDEX([1]Date!A8:A30, MATCH(E12,[1]Date!C8:C30,0),0)</f>
        <v>2</v>
      </c>
      <c r="F23" s="31" t="s">
        <v>22</v>
      </c>
      <c r="G23" s="8"/>
      <c r="H23" s="10"/>
      <c r="I23" s="22" t="str">
        <f t="array" aca="1" ref="I23" ca="1">INDEX([1]Date!M8:M30, MATCH(E12,[1]Date!C8:C30,0),0)</f>
        <v>E</v>
      </c>
      <c r="J23" s="31" t="s">
        <v>23</v>
      </c>
      <c r="K23" s="8"/>
      <c r="L23" s="10"/>
      <c r="M23" s="29" t="str">
        <f t="array" aca="1" ref="M23" ca="1">INDEX([1]Date!F8:F30, MATCH(E12,[1]Date!C8:C30,0),0)</f>
        <v>DO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2"/>
    </row>
    <row r="26" spans="1:14" ht="31" x14ac:dyDescent="0.35">
      <c r="A26" s="7" t="s">
        <v>25</v>
      </c>
      <c r="B26" s="10"/>
      <c r="C26" s="33">
        <f ca="1">SUM(E26+G26+I26+K26)</f>
        <v>4</v>
      </c>
      <c r="D26" s="30" t="s">
        <v>26</v>
      </c>
      <c r="E26" s="29">
        <f t="array" aca="1" ref="E26" ca="1">INDEX([1]Date!H8:H30, MATCH(E12,[1]Date!C8:C30,0),0)</f>
        <v>2</v>
      </c>
      <c r="F26" s="30" t="s">
        <v>27</v>
      </c>
      <c r="G26" s="29">
        <f t="array" aca="1" ref="G26" ca="1">INDEX([1]Date!I8:I30, MATCH(E12,[1]Date!C8:C30,0),0)</f>
        <v>0</v>
      </c>
      <c r="H26" s="30" t="s">
        <v>28</v>
      </c>
      <c r="I26" s="33">
        <f t="array" aca="1" ref="I26" ca="1">INDEX([1]Date!J8:J30, MATCH(E12,[1]Date!C8:C30,0),0)</f>
        <v>2</v>
      </c>
      <c r="J26" s="30" t="s">
        <v>29</v>
      </c>
      <c r="K26" s="29">
        <f t="array" aca="1" ref="K26" ca="1">INDEX([1]Date!K8:K30, MATCH(E12,[1]Date!C8:C30,0),0)</f>
        <v>0</v>
      </c>
      <c r="L26" s="7" t="s">
        <v>30</v>
      </c>
      <c r="M26" s="10"/>
      <c r="N26" s="32"/>
    </row>
    <row r="27" spans="1:14" ht="31" x14ac:dyDescent="0.35">
      <c r="A27" s="7" t="s">
        <v>31</v>
      </c>
      <c r="B27" s="10"/>
      <c r="C27" s="29">
        <f ca="1">C26*14</f>
        <v>56</v>
      </c>
      <c r="D27" s="30" t="s">
        <v>32</v>
      </c>
      <c r="E27" s="29">
        <f ca="1">E26*14</f>
        <v>28</v>
      </c>
      <c r="F27" s="30" t="s">
        <v>33</v>
      </c>
      <c r="G27" s="29">
        <f ca="1">G26*14</f>
        <v>0</v>
      </c>
      <c r="H27" s="30" t="s">
        <v>34</v>
      </c>
      <c r="I27" s="29">
        <f ca="1">I26*14</f>
        <v>28</v>
      </c>
      <c r="J27" s="30" t="s">
        <v>35</v>
      </c>
      <c r="K27" s="29">
        <f ca="1">K26*14</f>
        <v>0</v>
      </c>
      <c r="L27" s="30" t="s">
        <v>36</v>
      </c>
      <c r="M27" s="29">
        <v>0</v>
      </c>
      <c r="N27" s="5"/>
    </row>
    <row r="28" spans="1:14" ht="15.5" x14ac:dyDescent="0.35">
      <c r="A28" s="7" t="s">
        <v>37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9" t="s">
        <v>38</v>
      </c>
      <c r="N28" s="5"/>
    </row>
    <row r="29" spans="1:14" ht="15.5" x14ac:dyDescent="0.35">
      <c r="A29" s="7" t="s">
        <v>39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4">
        <v>7</v>
      </c>
      <c r="N29" s="5"/>
    </row>
    <row r="30" spans="1:14" ht="15.5" x14ac:dyDescent="0.35">
      <c r="A30" s="7" t="s">
        <v>40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4">
        <v>5</v>
      </c>
      <c r="N30" s="5"/>
    </row>
    <row r="31" spans="1:14" ht="15.5" x14ac:dyDescent="0.35">
      <c r="A31" s="7" t="s">
        <v>41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4">
        <v>7</v>
      </c>
      <c r="N31" s="5"/>
    </row>
    <row r="32" spans="1:14" ht="15.5" x14ac:dyDescent="0.35">
      <c r="A32" s="7" t="s">
        <v>42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9">
        <f t="array" aca="1" ref="M32" ca="1">IF(INDEX([1]Date!M8:M30, MATCH(E12,[1]Date!C8:C30,0),0)="E",3,0)</f>
        <v>3</v>
      </c>
      <c r="N32" s="5"/>
    </row>
    <row r="33" spans="1:14" ht="15.5" x14ac:dyDescent="0.35">
      <c r="A33" s="7" t="s">
        <v>43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9">
        <f ca="1">C34-SUM(M29:M31)</f>
        <v>0</v>
      </c>
      <c r="N33" s="5"/>
    </row>
    <row r="34" spans="1:14" ht="15.5" x14ac:dyDescent="0.35">
      <c r="A34" s="7" t="s">
        <v>44</v>
      </c>
      <c r="B34" s="10"/>
      <c r="C34" s="29">
        <f t="array" aca="1" ref="C34" ca="1">INDEX([1]Date!L8:L30, MATCH(E12,[1]Date!C8:C30,0),0)</f>
        <v>19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45</v>
      </c>
      <c r="B35" s="10"/>
      <c r="C35" s="29">
        <f ca="1">C27+C34</f>
        <v>75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46</v>
      </c>
      <c r="B36" s="10"/>
      <c r="C36" s="29">
        <f t="array" aca="1" ref="C36" ca="1">INDEX([1]Date!N8:N30, MATCH(E12,[1]Date!C8:C30,0),0)</f>
        <v>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47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2"/>
    </row>
    <row r="39" spans="1:14" ht="15.5" x14ac:dyDescent="0.35">
      <c r="A39" s="7" t="s">
        <v>48</v>
      </c>
      <c r="B39" s="10"/>
      <c r="C39" s="9" t="s">
        <v>49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2"/>
    </row>
    <row r="40" spans="1:14" ht="15.5" x14ac:dyDescent="0.35">
      <c r="A40" s="7" t="s">
        <v>50</v>
      </c>
      <c r="B40" s="10"/>
      <c r="C40" s="35" t="s">
        <v>51</v>
      </c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2"/>
    </row>
    <row r="43" spans="1:14" ht="15.5" x14ac:dyDescent="0.35">
      <c r="A43" s="7" t="s">
        <v>53</v>
      </c>
      <c r="B43" s="10"/>
      <c r="C43" s="35" t="s">
        <v>54</v>
      </c>
      <c r="D43" s="8"/>
      <c r="E43" s="8"/>
      <c r="F43" s="8"/>
      <c r="G43" s="8"/>
      <c r="H43" s="8"/>
      <c r="I43" s="8"/>
      <c r="J43" s="8"/>
      <c r="K43" s="8"/>
      <c r="L43" s="8"/>
      <c r="M43" s="10"/>
      <c r="N43" s="32"/>
    </row>
    <row r="44" spans="1:14" ht="15.5" x14ac:dyDescent="0.35">
      <c r="A44" s="7" t="s">
        <v>55</v>
      </c>
      <c r="B44" s="10"/>
      <c r="C44" s="35" t="s">
        <v>56</v>
      </c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57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2"/>
    </row>
    <row r="47" spans="1:14" ht="62.25" customHeight="1" x14ac:dyDescent="0.35">
      <c r="A47" s="35" t="s">
        <v>58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59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2"/>
    </row>
    <row r="50" spans="1:14" ht="15.5" x14ac:dyDescent="0.35">
      <c r="A50" s="36" t="s">
        <v>60</v>
      </c>
      <c r="B50" s="37" t="s">
        <v>61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15.5" x14ac:dyDescent="0.35">
      <c r="A51" s="38"/>
      <c r="B51" s="39" t="s">
        <v>62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6" t="s">
        <v>63</v>
      </c>
      <c r="B52" s="37" t="s">
        <v>61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198" customHeight="1" x14ac:dyDescent="0.35">
      <c r="A53" s="38"/>
      <c r="B53" s="39" t="s">
        <v>64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6" t="s">
        <v>65</v>
      </c>
      <c r="B54" s="37" t="s">
        <v>61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04.25" customHeight="1" x14ac:dyDescent="0.35">
      <c r="A55" s="38"/>
      <c r="B55" s="40" t="s">
        <v>66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67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2"/>
    </row>
    <row r="58" spans="1:14" ht="53.25" customHeight="1" x14ac:dyDescent="0.35">
      <c r="A58" s="35" t="s">
        <v>68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69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2"/>
    </row>
    <row r="61" spans="1:14" ht="24.75" customHeight="1" x14ac:dyDescent="0.35">
      <c r="A61" s="41" t="s">
        <v>70</v>
      </c>
      <c r="B61" s="8"/>
      <c r="C61" s="8"/>
      <c r="D61" s="8"/>
      <c r="E61" s="8"/>
      <c r="F61" s="8"/>
      <c r="G61" s="10"/>
      <c r="H61" s="41" t="s">
        <v>71</v>
      </c>
      <c r="I61" s="8"/>
      <c r="J61" s="8"/>
      <c r="K61" s="10"/>
      <c r="L61" s="41" t="s">
        <v>72</v>
      </c>
      <c r="M61" s="10"/>
      <c r="N61" s="32"/>
    </row>
    <row r="62" spans="1:14" ht="15.5" x14ac:dyDescent="0.35">
      <c r="A62" s="42" t="s">
        <v>73</v>
      </c>
      <c r="B62" s="35" t="s">
        <v>74</v>
      </c>
      <c r="C62" s="8"/>
      <c r="D62" s="8"/>
      <c r="E62" s="8"/>
      <c r="F62" s="8"/>
      <c r="G62" s="10"/>
      <c r="H62" s="23" t="s">
        <v>75</v>
      </c>
      <c r="I62" s="14"/>
      <c r="J62" s="14"/>
      <c r="K62" s="15"/>
      <c r="L62" s="43" t="s">
        <v>76</v>
      </c>
      <c r="M62" s="10"/>
      <c r="N62" s="5"/>
    </row>
    <row r="63" spans="1:14" ht="15.5" x14ac:dyDescent="0.35">
      <c r="A63" s="42" t="s">
        <v>77</v>
      </c>
      <c r="B63" s="35" t="s">
        <v>78</v>
      </c>
      <c r="C63" s="8"/>
      <c r="D63" s="8"/>
      <c r="E63" s="8"/>
      <c r="F63" s="8"/>
      <c r="G63" s="10"/>
      <c r="H63" s="26"/>
      <c r="I63" s="2"/>
      <c r="J63" s="2"/>
      <c r="K63" s="27"/>
      <c r="L63" s="43" t="s">
        <v>76</v>
      </c>
      <c r="M63" s="10"/>
      <c r="N63" s="5"/>
    </row>
    <row r="64" spans="1:14" ht="15.5" x14ac:dyDescent="0.35">
      <c r="A64" s="42" t="s">
        <v>79</v>
      </c>
      <c r="B64" s="35" t="s">
        <v>80</v>
      </c>
      <c r="C64" s="8"/>
      <c r="D64" s="8"/>
      <c r="E64" s="8"/>
      <c r="F64" s="8"/>
      <c r="G64" s="10"/>
      <c r="H64" s="26"/>
      <c r="I64" s="2"/>
      <c r="J64" s="2"/>
      <c r="K64" s="27"/>
      <c r="L64" s="43" t="s">
        <v>76</v>
      </c>
      <c r="M64" s="10"/>
      <c r="N64" s="5"/>
    </row>
    <row r="65" spans="1:14" ht="15.5" x14ac:dyDescent="0.35">
      <c r="A65" s="42" t="s">
        <v>81</v>
      </c>
      <c r="B65" s="35" t="s">
        <v>82</v>
      </c>
      <c r="C65" s="8"/>
      <c r="D65" s="8"/>
      <c r="E65" s="8"/>
      <c r="F65" s="8"/>
      <c r="G65" s="10"/>
      <c r="H65" s="26"/>
      <c r="I65" s="2"/>
      <c r="J65" s="2"/>
      <c r="K65" s="27"/>
      <c r="L65" s="43" t="s">
        <v>76</v>
      </c>
      <c r="M65" s="10"/>
      <c r="N65" s="5"/>
    </row>
    <row r="66" spans="1:14" ht="15.5" x14ac:dyDescent="0.35">
      <c r="A66" s="42" t="s">
        <v>83</v>
      </c>
      <c r="B66" s="35" t="s">
        <v>84</v>
      </c>
      <c r="C66" s="8"/>
      <c r="D66" s="8"/>
      <c r="E66" s="8"/>
      <c r="F66" s="8"/>
      <c r="G66" s="10"/>
      <c r="H66" s="26"/>
      <c r="I66" s="2"/>
      <c r="J66" s="2"/>
      <c r="K66" s="27"/>
      <c r="L66" s="43" t="s">
        <v>76</v>
      </c>
      <c r="M66" s="10"/>
      <c r="N66" s="5"/>
    </row>
    <row r="67" spans="1:14" ht="15.5" x14ac:dyDescent="0.35">
      <c r="A67" s="42" t="s">
        <v>85</v>
      </c>
      <c r="B67" s="35" t="s">
        <v>86</v>
      </c>
      <c r="C67" s="8"/>
      <c r="D67" s="8"/>
      <c r="E67" s="8"/>
      <c r="F67" s="8"/>
      <c r="G67" s="10"/>
      <c r="H67" s="26"/>
      <c r="I67" s="2"/>
      <c r="J67" s="2"/>
      <c r="K67" s="27"/>
      <c r="L67" s="43" t="s">
        <v>76</v>
      </c>
      <c r="M67" s="10"/>
      <c r="N67" s="5"/>
    </row>
    <row r="68" spans="1:14" ht="15.5" x14ac:dyDescent="0.35">
      <c r="A68" s="42" t="s">
        <v>87</v>
      </c>
      <c r="B68" s="35" t="s">
        <v>88</v>
      </c>
      <c r="C68" s="8"/>
      <c r="D68" s="8"/>
      <c r="E68" s="8"/>
      <c r="F68" s="8"/>
      <c r="G68" s="10"/>
      <c r="H68" s="26"/>
      <c r="I68" s="2"/>
      <c r="J68" s="2"/>
      <c r="K68" s="27"/>
      <c r="L68" s="43" t="s">
        <v>76</v>
      </c>
      <c r="M68" s="10"/>
      <c r="N68" s="5"/>
    </row>
    <row r="69" spans="1:14" ht="15.5" x14ac:dyDescent="0.35">
      <c r="A69" s="42" t="s">
        <v>89</v>
      </c>
      <c r="B69" s="35" t="s">
        <v>90</v>
      </c>
      <c r="C69" s="8"/>
      <c r="D69" s="8"/>
      <c r="E69" s="8"/>
      <c r="F69" s="8"/>
      <c r="G69" s="10"/>
      <c r="H69" s="26"/>
      <c r="I69" s="2"/>
      <c r="J69" s="2"/>
      <c r="K69" s="27"/>
      <c r="L69" s="43" t="s">
        <v>76</v>
      </c>
      <c r="M69" s="10"/>
      <c r="N69" s="5"/>
    </row>
    <row r="70" spans="1:14" ht="15.5" x14ac:dyDescent="0.35">
      <c r="A70" s="42" t="s">
        <v>91</v>
      </c>
      <c r="B70" s="35" t="s">
        <v>92</v>
      </c>
      <c r="C70" s="8"/>
      <c r="D70" s="8"/>
      <c r="E70" s="8"/>
      <c r="F70" s="8"/>
      <c r="G70" s="10"/>
      <c r="H70" s="26"/>
      <c r="I70" s="2"/>
      <c r="J70" s="2"/>
      <c r="K70" s="27"/>
      <c r="L70" s="43" t="s">
        <v>76</v>
      </c>
      <c r="M70" s="10"/>
      <c r="N70" s="5"/>
    </row>
    <row r="71" spans="1:14" ht="15.5" x14ac:dyDescent="0.35">
      <c r="A71" s="42" t="s">
        <v>93</v>
      </c>
      <c r="B71" s="35" t="s">
        <v>94</v>
      </c>
      <c r="C71" s="8"/>
      <c r="D71" s="8"/>
      <c r="E71" s="8"/>
      <c r="F71" s="8"/>
      <c r="G71" s="10"/>
      <c r="H71" s="26"/>
      <c r="I71" s="2"/>
      <c r="J71" s="2"/>
      <c r="K71" s="27"/>
      <c r="L71" s="43" t="s">
        <v>76</v>
      </c>
      <c r="M71" s="10"/>
      <c r="N71" s="5"/>
    </row>
    <row r="72" spans="1:14" ht="15.5" x14ac:dyDescent="0.35">
      <c r="A72" s="42" t="s">
        <v>95</v>
      </c>
      <c r="B72" s="35" t="s">
        <v>96</v>
      </c>
      <c r="C72" s="8"/>
      <c r="D72" s="8"/>
      <c r="E72" s="8"/>
      <c r="F72" s="8"/>
      <c r="G72" s="10"/>
      <c r="H72" s="26"/>
      <c r="I72" s="2"/>
      <c r="J72" s="2"/>
      <c r="K72" s="27"/>
      <c r="L72" s="43" t="s">
        <v>76</v>
      </c>
      <c r="M72" s="10"/>
      <c r="N72" s="5"/>
    </row>
    <row r="73" spans="1:14" ht="15.5" x14ac:dyDescent="0.35">
      <c r="A73" s="42" t="s">
        <v>97</v>
      </c>
      <c r="B73" s="35" t="s">
        <v>98</v>
      </c>
      <c r="C73" s="8"/>
      <c r="D73" s="8"/>
      <c r="E73" s="8"/>
      <c r="F73" s="8"/>
      <c r="G73" s="10"/>
      <c r="H73" s="26"/>
      <c r="I73" s="2"/>
      <c r="J73" s="2"/>
      <c r="K73" s="27"/>
      <c r="L73" s="43" t="s">
        <v>76</v>
      </c>
      <c r="M73" s="10"/>
      <c r="N73" s="5"/>
    </row>
    <row r="74" spans="1:14" ht="15.5" x14ac:dyDescent="0.35">
      <c r="A74" s="42" t="s">
        <v>99</v>
      </c>
      <c r="B74" s="35" t="s">
        <v>100</v>
      </c>
      <c r="C74" s="8"/>
      <c r="D74" s="8"/>
      <c r="E74" s="8"/>
      <c r="F74" s="8"/>
      <c r="G74" s="10"/>
      <c r="H74" s="26"/>
      <c r="I74" s="2"/>
      <c r="J74" s="2"/>
      <c r="K74" s="27"/>
      <c r="L74" s="43" t="s">
        <v>76</v>
      </c>
      <c r="M74" s="10"/>
      <c r="N74" s="5"/>
    </row>
    <row r="75" spans="1:14" ht="15.5" x14ac:dyDescent="0.35">
      <c r="A75" s="42" t="s">
        <v>101</v>
      </c>
      <c r="B75" s="35" t="s">
        <v>102</v>
      </c>
      <c r="C75" s="8"/>
      <c r="D75" s="8"/>
      <c r="E75" s="8"/>
      <c r="F75" s="8"/>
      <c r="G75" s="10"/>
      <c r="H75" s="24"/>
      <c r="I75" s="18"/>
      <c r="J75" s="18"/>
      <c r="K75" s="19"/>
      <c r="L75" s="43" t="s">
        <v>76</v>
      </c>
      <c r="M75" s="10"/>
      <c r="N75" s="5"/>
    </row>
    <row r="76" spans="1:14" ht="84.75" customHeight="1" x14ac:dyDescent="0.35">
      <c r="A76" s="40" t="s">
        <v>103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hidden="1" customHeight="1" x14ac:dyDescent="0.35">
      <c r="A77" s="41" t="s">
        <v>104</v>
      </c>
      <c r="B77" s="8"/>
      <c r="C77" s="8"/>
      <c r="D77" s="8"/>
      <c r="E77" s="8"/>
      <c r="F77" s="8"/>
      <c r="G77" s="10"/>
      <c r="H77" s="41" t="s">
        <v>105</v>
      </c>
      <c r="I77" s="8"/>
      <c r="J77" s="8"/>
      <c r="K77" s="10"/>
      <c r="L77" s="41" t="s">
        <v>72</v>
      </c>
      <c r="M77" s="10"/>
      <c r="N77" s="32"/>
    </row>
    <row r="78" spans="1:14" ht="15.5" hidden="1" x14ac:dyDescent="0.35">
      <c r="A78" s="44"/>
      <c r="B78" s="23"/>
      <c r="C78" s="14"/>
      <c r="D78" s="14"/>
      <c r="E78" s="14"/>
      <c r="F78" s="14"/>
      <c r="G78" s="15"/>
      <c r="H78" s="23"/>
      <c r="I78" s="14"/>
      <c r="J78" s="14"/>
      <c r="K78" s="15"/>
      <c r="L78" s="23"/>
      <c r="M78" s="15"/>
      <c r="N78" s="5"/>
    </row>
    <row r="79" spans="1:14" ht="15.5" hidden="1" x14ac:dyDescent="0.35">
      <c r="A79" s="45"/>
      <c r="B79" s="26"/>
      <c r="C79" s="2"/>
      <c r="D79" s="2"/>
      <c r="E79" s="2"/>
      <c r="F79" s="2"/>
      <c r="G79" s="27"/>
      <c r="H79" s="26"/>
      <c r="I79" s="2"/>
      <c r="J79" s="2"/>
      <c r="K79" s="27"/>
      <c r="L79" s="26"/>
      <c r="M79" s="27"/>
      <c r="N79" s="5"/>
    </row>
    <row r="80" spans="1:14" ht="15.5" hidden="1" x14ac:dyDescent="0.35">
      <c r="A80" s="45"/>
      <c r="B80" s="26"/>
      <c r="C80" s="2"/>
      <c r="D80" s="2"/>
      <c r="E80" s="2"/>
      <c r="F80" s="2"/>
      <c r="G80" s="27"/>
      <c r="H80" s="26"/>
      <c r="I80" s="2"/>
      <c r="J80" s="2"/>
      <c r="K80" s="27"/>
      <c r="L80" s="26"/>
      <c r="M80" s="27"/>
      <c r="N80" s="5"/>
    </row>
    <row r="81" spans="1:14" ht="15.5" hidden="1" x14ac:dyDescent="0.35">
      <c r="A81" s="45"/>
      <c r="B81" s="26"/>
      <c r="C81" s="2"/>
      <c r="D81" s="2"/>
      <c r="E81" s="2"/>
      <c r="F81" s="2"/>
      <c r="G81" s="27"/>
      <c r="H81" s="26"/>
      <c r="I81" s="2"/>
      <c r="J81" s="2"/>
      <c r="K81" s="27"/>
      <c r="L81" s="26"/>
      <c r="M81" s="27"/>
      <c r="N81" s="5"/>
    </row>
    <row r="82" spans="1:14" ht="15.5" hidden="1" x14ac:dyDescent="0.35">
      <c r="A82" s="45"/>
      <c r="B82" s="26"/>
      <c r="C82" s="2"/>
      <c r="D82" s="2"/>
      <c r="E82" s="2"/>
      <c r="F82" s="2"/>
      <c r="G82" s="27"/>
      <c r="H82" s="26"/>
      <c r="I82" s="2"/>
      <c r="J82" s="2"/>
      <c r="K82" s="27"/>
      <c r="L82" s="26"/>
      <c r="M82" s="27"/>
      <c r="N82" s="5"/>
    </row>
    <row r="83" spans="1:14" ht="15.5" hidden="1" x14ac:dyDescent="0.35">
      <c r="A83" s="45"/>
      <c r="B83" s="26"/>
      <c r="C83" s="2"/>
      <c r="D83" s="2"/>
      <c r="E83" s="2"/>
      <c r="F83" s="2"/>
      <c r="G83" s="27"/>
      <c r="H83" s="26"/>
      <c r="I83" s="2"/>
      <c r="J83" s="2"/>
      <c r="K83" s="27"/>
      <c r="L83" s="26"/>
      <c r="M83" s="27"/>
      <c r="N83" s="5"/>
    </row>
    <row r="84" spans="1:14" ht="15.5" hidden="1" x14ac:dyDescent="0.35">
      <c r="A84" s="45"/>
      <c r="B84" s="26"/>
      <c r="C84" s="2"/>
      <c r="D84" s="2"/>
      <c r="E84" s="2"/>
      <c r="F84" s="2"/>
      <c r="G84" s="27"/>
      <c r="H84" s="26"/>
      <c r="I84" s="2"/>
      <c r="J84" s="2"/>
      <c r="K84" s="27"/>
      <c r="L84" s="26"/>
      <c r="M84" s="27"/>
      <c r="N84" s="5"/>
    </row>
    <row r="85" spans="1:14" ht="15.5" hidden="1" x14ac:dyDescent="0.35">
      <c r="A85" s="45"/>
      <c r="B85" s="26"/>
      <c r="C85" s="2"/>
      <c r="D85" s="2"/>
      <c r="E85" s="2"/>
      <c r="F85" s="2"/>
      <c r="G85" s="27"/>
      <c r="H85" s="26"/>
      <c r="I85" s="2"/>
      <c r="J85" s="2"/>
      <c r="K85" s="27"/>
      <c r="L85" s="26"/>
      <c r="M85" s="27"/>
      <c r="N85" s="5"/>
    </row>
    <row r="86" spans="1:14" ht="15.5" hidden="1" x14ac:dyDescent="0.35">
      <c r="A86" s="45"/>
      <c r="B86" s="26"/>
      <c r="C86" s="2"/>
      <c r="D86" s="2"/>
      <c r="E86" s="2"/>
      <c r="F86" s="2"/>
      <c r="G86" s="27"/>
      <c r="H86" s="26"/>
      <c r="I86" s="2"/>
      <c r="J86" s="2"/>
      <c r="K86" s="27"/>
      <c r="L86" s="26"/>
      <c r="M86" s="27"/>
      <c r="N86" s="5"/>
    </row>
    <row r="87" spans="1:14" ht="15.5" hidden="1" x14ac:dyDescent="0.35">
      <c r="A87" s="45"/>
      <c r="B87" s="26"/>
      <c r="C87" s="2"/>
      <c r="D87" s="2"/>
      <c r="E87" s="2"/>
      <c r="F87" s="2"/>
      <c r="G87" s="27"/>
      <c r="H87" s="26"/>
      <c r="I87" s="2"/>
      <c r="J87" s="2"/>
      <c r="K87" s="27"/>
      <c r="L87" s="26"/>
      <c r="M87" s="27"/>
      <c r="N87" s="5"/>
    </row>
    <row r="88" spans="1:14" ht="15.5" hidden="1" x14ac:dyDescent="0.35">
      <c r="A88" s="45"/>
      <c r="B88" s="26"/>
      <c r="C88" s="2"/>
      <c r="D88" s="2"/>
      <c r="E88" s="2"/>
      <c r="F88" s="2"/>
      <c r="G88" s="27"/>
      <c r="H88" s="26"/>
      <c r="I88" s="2"/>
      <c r="J88" s="2"/>
      <c r="K88" s="27"/>
      <c r="L88" s="26"/>
      <c r="M88" s="27"/>
      <c r="N88" s="5"/>
    </row>
    <row r="89" spans="1:14" ht="15.5" hidden="1" x14ac:dyDescent="0.35">
      <c r="A89" s="45"/>
      <c r="B89" s="26"/>
      <c r="C89" s="2"/>
      <c r="D89" s="2"/>
      <c r="E89" s="2"/>
      <c r="F89" s="2"/>
      <c r="G89" s="27"/>
      <c r="H89" s="26"/>
      <c r="I89" s="2"/>
      <c r="J89" s="2"/>
      <c r="K89" s="27"/>
      <c r="L89" s="26"/>
      <c r="M89" s="27"/>
      <c r="N89" s="5"/>
    </row>
    <row r="90" spans="1:14" ht="15.5" hidden="1" x14ac:dyDescent="0.35">
      <c r="A90" s="45"/>
      <c r="B90" s="26"/>
      <c r="C90" s="2"/>
      <c r="D90" s="2"/>
      <c r="E90" s="2"/>
      <c r="F90" s="2"/>
      <c r="G90" s="27"/>
      <c r="H90" s="26"/>
      <c r="I90" s="2"/>
      <c r="J90" s="2"/>
      <c r="K90" s="27"/>
      <c r="L90" s="26"/>
      <c r="M90" s="27"/>
      <c r="N90" s="5"/>
    </row>
    <row r="91" spans="1:14" ht="15.5" hidden="1" x14ac:dyDescent="0.35">
      <c r="A91" s="38"/>
      <c r="B91" s="24"/>
      <c r="C91" s="18"/>
      <c r="D91" s="18"/>
      <c r="E91" s="18"/>
      <c r="F91" s="18"/>
      <c r="G91" s="19"/>
      <c r="H91" s="24"/>
      <c r="I91" s="18"/>
      <c r="J91" s="18"/>
      <c r="K91" s="19"/>
      <c r="L91" s="24"/>
      <c r="M91" s="19"/>
      <c r="N91" s="5"/>
    </row>
    <row r="92" spans="1:14" ht="24" customHeight="1" x14ac:dyDescent="0.35">
      <c r="A92" s="41" t="s">
        <v>106</v>
      </c>
      <c r="B92" s="8"/>
      <c r="C92" s="8"/>
      <c r="D92" s="8"/>
      <c r="E92" s="8"/>
      <c r="F92" s="8"/>
      <c r="G92" s="10"/>
      <c r="H92" s="41" t="s">
        <v>105</v>
      </c>
      <c r="I92" s="8"/>
      <c r="J92" s="8"/>
      <c r="K92" s="10"/>
      <c r="L92" s="41" t="s">
        <v>72</v>
      </c>
      <c r="M92" s="10"/>
      <c r="N92" s="32"/>
    </row>
    <row r="93" spans="1:14" ht="15.5" x14ac:dyDescent="0.35">
      <c r="A93" s="42" t="s">
        <v>107</v>
      </c>
      <c r="B93" s="35" t="s">
        <v>108</v>
      </c>
      <c r="C93" s="8"/>
      <c r="D93" s="8"/>
      <c r="E93" s="8"/>
      <c r="F93" s="8"/>
      <c r="G93" s="10"/>
      <c r="H93" s="23" t="s">
        <v>109</v>
      </c>
      <c r="I93" s="14"/>
      <c r="J93" s="14"/>
      <c r="K93" s="15"/>
      <c r="L93" s="43" t="s">
        <v>76</v>
      </c>
      <c r="M93" s="10"/>
      <c r="N93" s="5"/>
    </row>
    <row r="94" spans="1:14" ht="15.5" x14ac:dyDescent="0.35">
      <c r="A94" s="42" t="s">
        <v>110</v>
      </c>
      <c r="B94" s="35" t="s">
        <v>111</v>
      </c>
      <c r="C94" s="8"/>
      <c r="D94" s="8"/>
      <c r="E94" s="8"/>
      <c r="F94" s="8"/>
      <c r="G94" s="10"/>
      <c r="H94" s="26"/>
      <c r="I94" s="2"/>
      <c r="J94" s="2"/>
      <c r="K94" s="27"/>
      <c r="L94" s="43" t="s">
        <v>76</v>
      </c>
      <c r="M94" s="10"/>
      <c r="N94" s="5"/>
    </row>
    <row r="95" spans="1:14" ht="15.5" x14ac:dyDescent="0.35">
      <c r="A95" s="42" t="s">
        <v>112</v>
      </c>
      <c r="B95" s="35" t="s">
        <v>113</v>
      </c>
      <c r="C95" s="8"/>
      <c r="D95" s="8"/>
      <c r="E95" s="8"/>
      <c r="F95" s="8"/>
      <c r="G95" s="10"/>
      <c r="H95" s="26"/>
      <c r="I95" s="2"/>
      <c r="J95" s="2"/>
      <c r="K95" s="27"/>
      <c r="L95" s="43" t="s">
        <v>76</v>
      </c>
      <c r="M95" s="10"/>
      <c r="N95" s="5"/>
    </row>
    <row r="96" spans="1:14" ht="15.5" x14ac:dyDescent="0.35">
      <c r="A96" s="42" t="s">
        <v>114</v>
      </c>
      <c r="B96" s="35" t="s">
        <v>115</v>
      </c>
      <c r="C96" s="8"/>
      <c r="D96" s="8"/>
      <c r="E96" s="8"/>
      <c r="F96" s="8"/>
      <c r="G96" s="10"/>
      <c r="H96" s="26"/>
      <c r="I96" s="2"/>
      <c r="J96" s="2"/>
      <c r="K96" s="27"/>
      <c r="L96" s="43" t="s">
        <v>76</v>
      </c>
      <c r="M96" s="10"/>
      <c r="N96" s="5"/>
    </row>
    <row r="97" spans="1:14" ht="15.5" x14ac:dyDescent="0.35">
      <c r="A97" s="42" t="s">
        <v>116</v>
      </c>
      <c r="B97" s="35" t="s">
        <v>117</v>
      </c>
      <c r="C97" s="8"/>
      <c r="D97" s="8"/>
      <c r="E97" s="8"/>
      <c r="F97" s="8"/>
      <c r="G97" s="10"/>
      <c r="H97" s="26"/>
      <c r="I97" s="2"/>
      <c r="J97" s="2"/>
      <c r="K97" s="27"/>
      <c r="L97" s="43" t="s">
        <v>76</v>
      </c>
      <c r="M97" s="10"/>
      <c r="N97" s="5"/>
    </row>
    <row r="98" spans="1:14" ht="15.5" x14ac:dyDescent="0.35">
      <c r="A98" s="42" t="s">
        <v>118</v>
      </c>
      <c r="B98" s="35" t="s">
        <v>119</v>
      </c>
      <c r="C98" s="8"/>
      <c r="D98" s="8"/>
      <c r="E98" s="8"/>
      <c r="F98" s="8"/>
      <c r="G98" s="10"/>
      <c r="H98" s="26"/>
      <c r="I98" s="2"/>
      <c r="J98" s="2"/>
      <c r="K98" s="27"/>
      <c r="L98" s="43" t="s">
        <v>76</v>
      </c>
      <c r="M98" s="10"/>
      <c r="N98" s="5"/>
    </row>
    <row r="99" spans="1:14" ht="15.5" x14ac:dyDescent="0.35">
      <c r="A99" s="42" t="s">
        <v>120</v>
      </c>
      <c r="B99" s="35" t="s">
        <v>121</v>
      </c>
      <c r="C99" s="8"/>
      <c r="D99" s="8"/>
      <c r="E99" s="8"/>
      <c r="F99" s="8"/>
      <c r="G99" s="10"/>
      <c r="H99" s="26"/>
      <c r="I99" s="2"/>
      <c r="J99" s="2"/>
      <c r="K99" s="27"/>
      <c r="L99" s="43" t="s">
        <v>76</v>
      </c>
      <c r="M99" s="10"/>
      <c r="N99" s="5"/>
    </row>
    <row r="100" spans="1:14" ht="15.5" x14ac:dyDescent="0.35">
      <c r="A100" s="42" t="s">
        <v>122</v>
      </c>
      <c r="B100" s="35" t="s">
        <v>123</v>
      </c>
      <c r="C100" s="8"/>
      <c r="D100" s="8"/>
      <c r="E100" s="8"/>
      <c r="F100" s="8"/>
      <c r="G100" s="10"/>
      <c r="H100" s="26"/>
      <c r="I100" s="2"/>
      <c r="J100" s="2"/>
      <c r="K100" s="27"/>
      <c r="L100" s="43" t="s">
        <v>76</v>
      </c>
      <c r="M100" s="10"/>
      <c r="N100" s="5"/>
    </row>
    <row r="101" spans="1:14" ht="15.5" x14ac:dyDescent="0.35">
      <c r="A101" s="42" t="s">
        <v>124</v>
      </c>
      <c r="B101" s="35" t="s">
        <v>125</v>
      </c>
      <c r="C101" s="8"/>
      <c r="D101" s="8"/>
      <c r="E101" s="8"/>
      <c r="F101" s="8"/>
      <c r="G101" s="10"/>
      <c r="H101" s="26"/>
      <c r="I101" s="2"/>
      <c r="J101" s="2"/>
      <c r="K101" s="27"/>
      <c r="L101" s="43" t="s">
        <v>76</v>
      </c>
      <c r="M101" s="10"/>
      <c r="N101" s="5"/>
    </row>
    <row r="102" spans="1:14" ht="15.5" x14ac:dyDescent="0.35">
      <c r="A102" s="42" t="s">
        <v>126</v>
      </c>
      <c r="B102" s="35" t="s">
        <v>127</v>
      </c>
      <c r="C102" s="8"/>
      <c r="D102" s="8"/>
      <c r="E102" s="8"/>
      <c r="F102" s="8"/>
      <c r="G102" s="10"/>
      <c r="H102" s="26"/>
      <c r="I102" s="2"/>
      <c r="J102" s="2"/>
      <c r="K102" s="27"/>
      <c r="L102" s="43" t="s">
        <v>76</v>
      </c>
      <c r="M102" s="10"/>
      <c r="N102" s="5"/>
    </row>
    <row r="103" spans="1:14" ht="15.5" x14ac:dyDescent="0.35">
      <c r="A103" s="42" t="s">
        <v>128</v>
      </c>
      <c r="B103" s="35" t="s">
        <v>129</v>
      </c>
      <c r="C103" s="8"/>
      <c r="D103" s="8"/>
      <c r="E103" s="8"/>
      <c r="F103" s="8"/>
      <c r="G103" s="10"/>
      <c r="H103" s="26"/>
      <c r="I103" s="2"/>
      <c r="J103" s="2"/>
      <c r="K103" s="27"/>
      <c r="L103" s="43" t="s">
        <v>76</v>
      </c>
      <c r="M103" s="10"/>
      <c r="N103" s="5"/>
    </row>
    <row r="104" spans="1:14" ht="15.5" x14ac:dyDescent="0.35">
      <c r="A104" s="42" t="s">
        <v>130</v>
      </c>
      <c r="B104" s="35" t="s">
        <v>131</v>
      </c>
      <c r="C104" s="8"/>
      <c r="D104" s="8"/>
      <c r="E104" s="8"/>
      <c r="F104" s="8"/>
      <c r="G104" s="10"/>
      <c r="H104" s="26"/>
      <c r="I104" s="2"/>
      <c r="J104" s="2"/>
      <c r="K104" s="27"/>
      <c r="L104" s="43" t="s">
        <v>76</v>
      </c>
      <c r="M104" s="10"/>
      <c r="N104" s="5"/>
    </row>
    <row r="105" spans="1:14" ht="15.5" x14ac:dyDescent="0.35">
      <c r="A105" s="42" t="s">
        <v>132</v>
      </c>
      <c r="B105" s="35" t="s">
        <v>133</v>
      </c>
      <c r="C105" s="8"/>
      <c r="D105" s="8"/>
      <c r="E105" s="8"/>
      <c r="F105" s="8"/>
      <c r="G105" s="10"/>
      <c r="H105" s="26"/>
      <c r="I105" s="2"/>
      <c r="J105" s="2"/>
      <c r="K105" s="27"/>
      <c r="L105" s="43" t="s">
        <v>76</v>
      </c>
      <c r="M105" s="10"/>
      <c r="N105" s="5"/>
    </row>
    <row r="106" spans="1:14" ht="15.5" x14ac:dyDescent="0.35">
      <c r="A106" s="42" t="s">
        <v>134</v>
      </c>
      <c r="B106" s="35" t="s">
        <v>135</v>
      </c>
      <c r="C106" s="8"/>
      <c r="D106" s="8"/>
      <c r="E106" s="8"/>
      <c r="F106" s="8"/>
      <c r="G106" s="10"/>
      <c r="H106" s="24"/>
      <c r="I106" s="18"/>
      <c r="J106" s="18"/>
      <c r="K106" s="19"/>
      <c r="L106" s="43" t="s">
        <v>76</v>
      </c>
      <c r="M106" s="10"/>
      <c r="N106" s="5"/>
    </row>
    <row r="107" spans="1:14" ht="24" hidden="1" customHeight="1" x14ac:dyDescent="0.35">
      <c r="A107" s="41" t="s">
        <v>136</v>
      </c>
      <c r="B107" s="8"/>
      <c r="C107" s="8"/>
      <c r="D107" s="8"/>
      <c r="E107" s="8"/>
      <c r="F107" s="8"/>
      <c r="G107" s="10"/>
      <c r="H107" s="41" t="s">
        <v>105</v>
      </c>
      <c r="I107" s="8"/>
      <c r="J107" s="8"/>
      <c r="K107" s="10"/>
      <c r="L107" s="41" t="s">
        <v>72</v>
      </c>
      <c r="M107" s="10"/>
      <c r="N107" s="32"/>
    </row>
    <row r="108" spans="1:14" ht="15.5" hidden="1" x14ac:dyDescent="0.35">
      <c r="A108" s="44"/>
      <c r="B108" s="23"/>
      <c r="C108" s="14"/>
      <c r="D108" s="14"/>
      <c r="E108" s="14"/>
      <c r="F108" s="14"/>
      <c r="G108" s="15"/>
      <c r="H108" s="23"/>
      <c r="I108" s="14"/>
      <c r="J108" s="14"/>
      <c r="K108" s="15"/>
      <c r="L108" s="23"/>
      <c r="M108" s="15"/>
      <c r="N108" s="5"/>
    </row>
    <row r="109" spans="1:14" ht="15.5" hidden="1" x14ac:dyDescent="0.35">
      <c r="A109" s="45"/>
      <c r="B109" s="26"/>
      <c r="C109" s="2"/>
      <c r="D109" s="2"/>
      <c r="E109" s="2"/>
      <c r="F109" s="2"/>
      <c r="G109" s="27"/>
      <c r="H109" s="26"/>
      <c r="I109" s="2"/>
      <c r="J109" s="2"/>
      <c r="K109" s="27"/>
      <c r="L109" s="26"/>
      <c r="M109" s="27"/>
      <c r="N109" s="5"/>
    </row>
    <row r="110" spans="1:14" ht="15.5" hidden="1" x14ac:dyDescent="0.35">
      <c r="A110" s="45"/>
      <c r="B110" s="26"/>
      <c r="C110" s="2"/>
      <c r="D110" s="2"/>
      <c r="E110" s="2"/>
      <c r="F110" s="2"/>
      <c r="G110" s="27"/>
      <c r="H110" s="26"/>
      <c r="I110" s="2"/>
      <c r="J110" s="2"/>
      <c r="K110" s="27"/>
      <c r="L110" s="26"/>
      <c r="M110" s="27"/>
      <c r="N110" s="5"/>
    </row>
    <row r="111" spans="1:14" ht="15.5" hidden="1" x14ac:dyDescent="0.35">
      <c r="A111" s="45"/>
      <c r="B111" s="26"/>
      <c r="C111" s="2"/>
      <c r="D111" s="2"/>
      <c r="E111" s="2"/>
      <c r="F111" s="2"/>
      <c r="G111" s="27"/>
      <c r="H111" s="26"/>
      <c r="I111" s="2"/>
      <c r="J111" s="2"/>
      <c r="K111" s="27"/>
      <c r="L111" s="26"/>
      <c r="M111" s="27"/>
      <c r="N111" s="5"/>
    </row>
    <row r="112" spans="1:14" ht="15.5" hidden="1" x14ac:dyDescent="0.35">
      <c r="A112" s="45"/>
      <c r="B112" s="26"/>
      <c r="C112" s="2"/>
      <c r="D112" s="2"/>
      <c r="E112" s="2"/>
      <c r="F112" s="2"/>
      <c r="G112" s="27"/>
      <c r="H112" s="26"/>
      <c r="I112" s="2"/>
      <c r="J112" s="2"/>
      <c r="K112" s="27"/>
      <c r="L112" s="26"/>
      <c r="M112" s="27"/>
      <c r="N112" s="5"/>
    </row>
    <row r="113" spans="1:14" ht="15.5" hidden="1" x14ac:dyDescent="0.35">
      <c r="A113" s="45"/>
      <c r="B113" s="26"/>
      <c r="C113" s="2"/>
      <c r="D113" s="2"/>
      <c r="E113" s="2"/>
      <c r="F113" s="2"/>
      <c r="G113" s="27"/>
      <c r="H113" s="26"/>
      <c r="I113" s="2"/>
      <c r="J113" s="2"/>
      <c r="K113" s="27"/>
      <c r="L113" s="26"/>
      <c r="M113" s="27"/>
      <c r="N113" s="5"/>
    </row>
    <row r="114" spans="1:14" ht="15.5" hidden="1" x14ac:dyDescent="0.35">
      <c r="A114" s="45"/>
      <c r="B114" s="26"/>
      <c r="C114" s="2"/>
      <c r="D114" s="2"/>
      <c r="E114" s="2"/>
      <c r="F114" s="2"/>
      <c r="G114" s="27"/>
      <c r="H114" s="26"/>
      <c r="I114" s="2"/>
      <c r="J114" s="2"/>
      <c r="K114" s="27"/>
      <c r="L114" s="26"/>
      <c r="M114" s="27"/>
      <c r="N114" s="5"/>
    </row>
    <row r="115" spans="1:14" ht="15.5" hidden="1" x14ac:dyDescent="0.35">
      <c r="A115" s="45"/>
      <c r="B115" s="26"/>
      <c r="C115" s="2"/>
      <c r="D115" s="2"/>
      <c r="E115" s="2"/>
      <c r="F115" s="2"/>
      <c r="G115" s="27"/>
      <c r="H115" s="26"/>
      <c r="I115" s="2"/>
      <c r="J115" s="2"/>
      <c r="K115" s="27"/>
      <c r="L115" s="26"/>
      <c r="M115" s="27"/>
      <c r="N115" s="5"/>
    </row>
    <row r="116" spans="1:14" ht="15.5" hidden="1" x14ac:dyDescent="0.35">
      <c r="A116" s="45"/>
      <c r="B116" s="26"/>
      <c r="C116" s="2"/>
      <c r="D116" s="2"/>
      <c r="E116" s="2"/>
      <c r="F116" s="2"/>
      <c r="G116" s="27"/>
      <c r="H116" s="26"/>
      <c r="I116" s="2"/>
      <c r="J116" s="2"/>
      <c r="K116" s="27"/>
      <c r="L116" s="26"/>
      <c r="M116" s="27"/>
      <c r="N116" s="5"/>
    </row>
    <row r="117" spans="1:14" ht="15.5" hidden="1" x14ac:dyDescent="0.35">
      <c r="A117" s="45"/>
      <c r="B117" s="26"/>
      <c r="C117" s="2"/>
      <c r="D117" s="2"/>
      <c r="E117" s="2"/>
      <c r="F117" s="2"/>
      <c r="G117" s="27"/>
      <c r="H117" s="26"/>
      <c r="I117" s="2"/>
      <c r="J117" s="2"/>
      <c r="K117" s="27"/>
      <c r="L117" s="26"/>
      <c r="M117" s="27"/>
      <c r="N117" s="5"/>
    </row>
    <row r="118" spans="1:14" ht="15.5" hidden="1" x14ac:dyDescent="0.35">
      <c r="A118" s="45"/>
      <c r="B118" s="26"/>
      <c r="C118" s="2"/>
      <c r="D118" s="2"/>
      <c r="E118" s="2"/>
      <c r="F118" s="2"/>
      <c r="G118" s="27"/>
      <c r="H118" s="26"/>
      <c r="I118" s="2"/>
      <c r="J118" s="2"/>
      <c r="K118" s="27"/>
      <c r="L118" s="26"/>
      <c r="M118" s="27"/>
      <c r="N118" s="5"/>
    </row>
    <row r="119" spans="1:14" ht="15.5" hidden="1" x14ac:dyDescent="0.35">
      <c r="A119" s="45"/>
      <c r="B119" s="26"/>
      <c r="C119" s="2"/>
      <c r="D119" s="2"/>
      <c r="E119" s="2"/>
      <c r="F119" s="2"/>
      <c r="G119" s="27"/>
      <c r="H119" s="26"/>
      <c r="I119" s="2"/>
      <c r="J119" s="2"/>
      <c r="K119" s="27"/>
      <c r="L119" s="26"/>
      <c r="M119" s="27"/>
      <c r="N119" s="5"/>
    </row>
    <row r="120" spans="1:14" ht="15.5" hidden="1" x14ac:dyDescent="0.35">
      <c r="A120" s="45"/>
      <c r="B120" s="26"/>
      <c r="C120" s="2"/>
      <c r="D120" s="2"/>
      <c r="E120" s="2"/>
      <c r="F120" s="2"/>
      <c r="G120" s="27"/>
      <c r="H120" s="26"/>
      <c r="I120" s="2"/>
      <c r="J120" s="2"/>
      <c r="K120" s="27"/>
      <c r="L120" s="26"/>
      <c r="M120" s="27"/>
      <c r="N120" s="5"/>
    </row>
    <row r="121" spans="1:14" ht="15.5" hidden="1" x14ac:dyDescent="0.35">
      <c r="A121" s="38"/>
      <c r="B121" s="24"/>
      <c r="C121" s="18"/>
      <c r="D121" s="18"/>
      <c r="E121" s="18"/>
      <c r="F121" s="18"/>
      <c r="G121" s="19"/>
      <c r="H121" s="24"/>
      <c r="I121" s="18"/>
      <c r="J121" s="18"/>
      <c r="K121" s="19"/>
      <c r="L121" s="24"/>
      <c r="M121" s="19"/>
      <c r="N121" s="5"/>
    </row>
    <row r="122" spans="1:14" ht="115.5" customHeight="1" x14ac:dyDescent="0.35">
      <c r="A122" s="35" t="s">
        <v>137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138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2"/>
    </row>
    <row r="125" spans="1:14" ht="46.5" x14ac:dyDescent="0.35">
      <c r="A125" s="46" t="s">
        <v>139</v>
      </c>
      <c r="B125" s="47" t="s">
        <v>140</v>
      </c>
      <c r="C125" s="8"/>
      <c r="D125" s="8"/>
      <c r="E125" s="8"/>
      <c r="F125" s="8"/>
      <c r="G125" s="10"/>
      <c r="H125" s="47" t="s">
        <v>141</v>
      </c>
      <c r="I125" s="8"/>
      <c r="J125" s="8"/>
      <c r="K125" s="10"/>
      <c r="L125" s="48" t="s">
        <v>142</v>
      </c>
      <c r="M125" s="10"/>
      <c r="N125" s="5"/>
    </row>
    <row r="126" spans="1:14" ht="15.5" x14ac:dyDescent="0.35">
      <c r="A126" s="49" t="s">
        <v>143</v>
      </c>
      <c r="B126" s="50" t="s">
        <v>144</v>
      </c>
      <c r="C126" s="14"/>
      <c r="D126" s="14"/>
      <c r="E126" s="14"/>
      <c r="F126" s="14"/>
      <c r="G126" s="15"/>
      <c r="H126" s="51"/>
      <c r="I126" s="8"/>
      <c r="J126" s="8"/>
      <c r="K126" s="52"/>
      <c r="L126" s="53">
        <f>1-SUM(L129:M131)</f>
        <v>0.75</v>
      </c>
      <c r="M126" s="15"/>
      <c r="N126" s="5"/>
    </row>
    <row r="127" spans="1:14" ht="15.5" x14ac:dyDescent="0.35">
      <c r="A127" s="45"/>
      <c r="B127" s="26"/>
      <c r="C127" s="2"/>
      <c r="D127" s="2"/>
      <c r="E127" s="2"/>
      <c r="F127" s="2"/>
      <c r="G127" s="27"/>
      <c r="H127" s="54"/>
      <c r="I127" s="8"/>
      <c r="J127" s="8"/>
      <c r="K127" s="52"/>
      <c r="L127" s="26"/>
      <c r="M127" s="27"/>
      <c r="N127" s="5"/>
    </row>
    <row r="128" spans="1:14" ht="15.5" x14ac:dyDescent="0.35">
      <c r="A128" s="38"/>
      <c r="B128" s="24"/>
      <c r="C128" s="18"/>
      <c r="D128" s="18"/>
      <c r="E128" s="18"/>
      <c r="F128" s="18"/>
      <c r="G128" s="19"/>
      <c r="H128" s="54" t="s">
        <v>145</v>
      </c>
      <c r="I128" s="8"/>
      <c r="J128" s="8"/>
      <c r="K128" s="52" t="s">
        <v>146</v>
      </c>
      <c r="L128" s="24"/>
      <c r="M128" s="19"/>
      <c r="N128" s="5"/>
    </row>
    <row r="129" spans="1:14" ht="68.25" hidden="1" customHeight="1" x14ac:dyDescent="0.35">
      <c r="A129" s="46" t="s">
        <v>147</v>
      </c>
      <c r="B129" s="55" t="s">
        <v>148</v>
      </c>
      <c r="C129" s="8"/>
      <c r="D129" s="8"/>
      <c r="E129" s="8"/>
      <c r="F129" s="8"/>
      <c r="G129" s="10"/>
      <c r="H129" s="54" t="s">
        <v>149</v>
      </c>
      <c r="I129" s="8"/>
      <c r="J129" s="8"/>
      <c r="K129" s="10"/>
      <c r="L129" s="56"/>
      <c r="M129" s="10"/>
      <c r="N129" s="5"/>
    </row>
    <row r="130" spans="1:14" ht="46.5" x14ac:dyDescent="0.35">
      <c r="A130" s="46" t="s">
        <v>150</v>
      </c>
      <c r="B130" s="55" t="s">
        <v>151</v>
      </c>
      <c r="C130" s="8"/>
      <c r="D130" s="8"/>
      <c r="E130" s="8"/>
      <c r="F130" s="8"/>
      <c r="G130" s="10"/>
      <c r="H130" s="54" t="s">
        <v>152</v>
      </c>
      <c r="I130" s="8"/>
      <c r="J130" s="8"/>
      <c r="K130" s="10"/>
      <c r="L130" s="56">
        <v>0.25</v>
      </c>
      <c r="M130" s="10"/>
      <c r="N130" s="5"/>
    </row>
    <row r="131" spans="1:14" ht="31" hidden="1" x14ac:dyDescent="0.35">
      <c r="A131" s="46" t="s">
        <v>153</v>
      </c>
      <c r="B131" s="55" t="s">
        <v>154</v>
      </c>
      <c r="C131" s="8"/>
      <c r="D131" s="8"/>
      <c r="E131" s="8"/>
      <c r="F131" s="8"/>
      <c r="G131" s="10"/>
      <c r="H131" s="54" t="s">
        <v>155</v>
      </c>
      <c r="I131" s="8"/>
      <c r="J131" s="8"/>
      <c r="K131" s="10"/>
      <c r="L131" s="56"/>
      <c r="M131" s="10"/>
      <c r="N131" s="5"/>
    </row>
    <row r="132" spans="1:14" ht="15.5" x14ac:dyDescent="0.35">
      <c r="A132" s="47" t="s">
        <v>156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5" t="s">
        <v>157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7" t="s">
        <v>158</v>
      </c>
      <c r="B135" s="10"/>
      <c r="C135" s="58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customHeight="1" x14ac:dyDescent="0.35">
      <c r="A137" s="57" t="s">
        <v>159</v>
      </c>
      <c r="B137" s="10"/>
      <c r="C137" s="9" t="str">
        <f>E15</f>
        <v>Şef lucr.dr.ing.fiz. Aleodor-Daniel Ioan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9" t="s">
        <v>160</v>
      </c>
      <c r="B139" s="15"/>
      <c r="C139" s="9" t="str">
        <f t="shared" ref="C139:C141" si="0">E17</f>
        <v>Şef lucr.dr.ing.fiz. Aleodor-Daniel Ioan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hidden="1" customHeight="1" x14ac:dyDescent="0.35">
      <c r="A140" s="26"/>
      <c r="B140" s="27"/>
      <c r="C140" s="9">
        <f t="shared" si="0"/>
        <v>0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hidden="1" customHeight="1" x14ac:dyDescent="0.35">
      <c r="A141" s="24"/>
      <c r="B141" s="19"/>
      <c r="C141" s="9">
        <f t="shared" si="0"/>
        <v>0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7" t="s">
        <v>161</v>
      </c>
      <c r="B143" s="10"/>
      <c r="C143" s="60">
        <f>[1]Date!C33</f>
        <v>45915</v>
      </c>
      <c r="D143" s="10"/>
      <c r="E143" s="57" t="s">
        <v>162</v>
      </c>
      <c r="F143" s="8"/>
      <c r="G143" s="10"/>
      <c r="H143" s="61" t="str">
        <f>[1]Date!C35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62"/>
      <c r="B144" s="62"/>
      <c r="C144" s="63"/>
      <c r="D144" s="63"/>
      <c r="E144" s="62"/>
      <c r="F144" s="62"/>
      <c r="G144" s="62"/>
      <c r="H144" s="63"/>
      <c r="I144" s="63"/>
      <c r="J144" s="63"/>
      <c r="K144" s="63"/>
      <c r="L144" s="63"/>
      <c r="M144" s="63"/>
      <c r="N144" s="5"/>
    </row>
    <row r="145" spans="1:14" ht="28.5" customHeight="1" x14ac:dyDescent="0.35">
      <c r="A145" s="57" t="s">
        <v>163</v>
      </c>
      <c r="B145" s="10"/>
      <c r="C145" s="60">
        <f>[1]Date!C34</f>
        <v>45918</v>
      </c>
      <c r="D145" s="10"/>
      <c r="E145" s="57" t="s">
        <v>164</v>
      </c>
      <c r="F145" s="8"/>
      <c r="G145" s="10"/>
      <c r="H145" s="61" t="str">
        <f>[1]Date!C36</f>
        <v>Prof.univ.dr.ing. Adrian BURLACU</v>
      </c>
      <c r="I145" s="8"/>
      <c r="J145" s="8"/>
      <c r="K145" s="8"/>
      <c r="L145" s="8"/>
      <c r="M145" s="10"/>
      <c r="N145" s="5"/>
    </row>
  </sheetData>
  <mergeCells count="205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6"/>
    <mergeCell ref="L126:M128"/>
    <mergeCell ref="H127:J127"/>
    <mergeCell ref="H128:J128"/>
    <mergeCell ref="A108:A121"/>
    <mergeCell ref="B108:G121"/>
    <mergeCell ref="H108:K121"/>
    <mergeCell ref="L108:M121"/>
    <mergeCell ref="A122:M122"/>
    <mergeCell ref="A124:M124"/>
    <mergeCell ref="B105:G105"/>
    <mergeCell ref="L105:M105"/>
    <mergeCell ref="B106:G106"/>
    <mergeCell ref="L106:M106"/>
    <mergeCell ref="A107:G107"/>
    <mergeCell ref="H107:K107"/>
    <mergeCell ref="L107:M107"/>
    <mergeCell ref="B102:G102"/>
    <mergeCell ref="L102:M102"/>
    <mergeCell ref="B103:G103"/>
    <mergeCell ref="L103:M103"/>
    <mergeCell ref="B104:G104"/>
    <mergeCell ref="L104:M104"/>
    <mergeCell ref="B99:G99"/>
    <mergeCell ref="L99:M99"/>
    <mergeCell ref="B100:G100"/>
    <mergeCell ref="L100:M100"/>
    <mergeCell ref="B101:G101"/>
    <mergeCell ref="L101:M101"/>
    <mergeCell ref="B96:G96"/>
    <mergeCell ref="L96:M96"/>
    <mergeCell ref="B97:G97"/>
    <mergeCell ref="L97:M97"/>
    <mergeCell ref="B98:G98"/>
    <mergeCell ref="L98:M98"/>
    <mergeCell ref="A92:G92"/>
    <mergeCell ref="H92:K92"/>
    <mergeCell ref="L92:M92"/>
    <mergeCell ref="B93:G93"/>
    <mergeCell ref="H93:K106"/>
    <mergeCell ref="L93:M93"/>
    <mergeCell ref="B94:G94"/>
    <mergeCell ref="L94:M94"/>
    <mergeCell ref="B95:G95"/>
    <mergeCell ref="L95:M95"/>
    <mergeCell ref="A76:M76"/>
    <mergeCell ref="A77:G77"/>
    <mergeCell ref="H77:K77"/>
    <mergeCell ref="L77:M77"/>
    <mergeCell ref="A78:A91"/>
    <mergeCell ref="B78:G91"/>
    <mergeCell ref="H78:K91"/>
    <mergeCell ref="L78:M91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2026-03-01T08:56:56Z</dcterms:created>
  <dcterms:modified xsi:type="dcterms:W3CDTF">2026-03-01T08:56:59Z</dcterms:modified>
</cp:coreProperties>
</file>