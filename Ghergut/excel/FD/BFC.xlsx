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31EFC2F7-585D-4EEA-8C48-D0352B36EF13}" xr6:coauthVersionLast="47" xr6:coauthVersionMax="47" xr10:uidLastSave="{00000000-0000-0000-0000-000000000000}"/>
  <bookViews>
    <workbookView xWindow="-110" yWindow="-110" windowWidth="25820" windowHeight="15500" xr2:uid="{1CF2D038-2C1A-4F3B-907D-ADA5CE2FC80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36" i="1" a="1"/>
  <c r="C36" i="1" s="1"/>
  <c r="I26" i="1" a="1"/>
  <c r="I26" i="1" s="1"/>
  <c r="I27" i="1" s="1"/>
  <c r="C23" i="1"/>
  <c r="E14" i="1" a="1"/>
  <c r="E14" i="1" s="1"/>
  <c r="C9" i="1"/>
  <c r="C8" i="1"/>
  <c r="C7" i="1"/>
  <c r="A2" i="1"/>
  <c r="C34" i="1" a="1"/>
  <c r="C34" i="1" s="1"/>
  <c r="M33" i="1" s="1"/>
  <c r="E13" i="1" l="1" a="1"/>
  <c r="E13" i="1" s="1"/>
  <c r="G26" i="1" a="1"/>
  <c r="G26" i="1" s="1"/>
  <c r="G27" i="1" s="1"/>
  <c r="K26" i="1" a="1"/>
  <c r="K26" i="1" s="1"/>
  <c r="K27" i="1" s="1"/>
  <c r="E23" i="1" a="1"/>
  <c r="E23" i="1" s="1"/>
  <c r="M14" i="1" a="1"/>
  <c r="M14" i="1" s="1"/>
  <c r="I23" i="1" a="1"/>
  <c r="I23" i="1" s="1"/>
  <c r="M23" i="1" a="1"/>
  <c r="M23" i="1" s="1"/>
  <c r="M32" i="1" a="1"/>
  <c r="M32" i="1" s="1"/>
  <c r="E26" i="1" a="1"/>
  <c r="E26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C0F399AF-D74D-4AC9-BAD2-FE06C0CC8FD4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7" authorId="0" shapeId="0" xr:uid="{4F5771C4-BFE0-426A-B288-5C8A394EEC88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BC7DDCD3-9E80-4CCB-96AF-E821507B0E49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<sst xmlns="http://schemas.openxmlformats.org/spreadsheetml/2006/main" count="202" uniqueCount="165">
  <si>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</si>
  <si>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</si>
  <si>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</si>
  <si>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</si>
  <si>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</si>
  <si>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</si>
  <si>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</si>
  <si>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</si>
  <si>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</si>
  <si>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</si>
  <si>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</si>
  <si>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</si>
  <si>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</si>
  <si>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Bazele funcționării calculatoarelor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</si>
  <si>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</si>
  <si>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</si>
  <si>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</si>
  <si>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</si>
  <si>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Şef lucr.dr.ing.fiz. Aleodor-Daniel Ioan</t>
  </si>
  <si>
    <t>2.3 Titularul / titularii activităţilor de aplicaţii (S, L, P, Pr)</t>
  </si>
  <si>
    <t>Dr.ing. George Mihalache</t>
  </si>
  <si>
    <t>Ing. Sebastian Tonu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</si>
  <si>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</si>
  <si>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</si>
  <si>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</si>
  <si>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</si>
  <si>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</si>
  <si>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</si>
  <si>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</si>
  <si>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</si>
  <si>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</si>
  <si>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</si>
  <si>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</si>
  <si>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</si>
  <si>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</si>
  <si>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</si>
  <si>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</si>
  <si>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</si>
  <si>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</si>
  <si>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</si>
  <si>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</si>
  <si>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</si>
  <si>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</si>
  <si>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</si>
  <si>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</si>
  <si>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</si>
  <si>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</si>
  <si>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</si>
  <si>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</si>
  <si>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</si>
  <si>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</si>
  <si>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</si>
  <si>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</si>
  <si>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</si>
  <si>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</si>
  <si>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- Sală amfiteatru dotată cu tablă, calculator și videoproiector</t>
  </si>
  <si>
    <t>5.2 de desfăşurare a seminarului / laboratorului / proiectului</t>
  </si>
  <si>
    <t>- Sală de laborator dotată cu tablă, calculatoare și plăci de dezvoltare</t>
  </si>
  <si>
    <t>6. Obiectivul general al disciplinei</t>
  </si>
  <si>
    <r>
      <rPr>
        <sz val="12"/>
        <color theme="1"/>
        <rFont val="Arial"/>
      </rPr>
      <t xml:space="preserve">- Învăţarea unor noţiuni de bază cu privire la </t>
    </r>
    <r>
      <rPr>
        <i/>
        <sz val="12"/>
        <color theme="1"/>
        <rFont val="Arial"/>
      </rPr>
      <t>alcătuirea, funcţionarea şi programarea ‎elementară</t>
    </r>
    <r>
      <rPr>
        <sz val="12"/>
        <color theme="1"/>
        <rFont val="Arial"/>
      </rPr>
      <t xml:space="preserve"> a sistemelor de calcul</t>
    </r>
  </si>
  <si>
    <t>7. Rezultatele învățării</t>
  </si>
  <si>
    <t>Cunoștințe</t>
  </si>
  <si>
    <t>Studentul / Absolventul:</t>
  </si>
  <si>
    <r>
      <rPr>
        <sz val="12"/>
        <color theme="1"/>
        <rFont val="Arial"/>
      </rPr>
      <t xml:space="preserve">- </t>
    </r>
    <r>
      <rPr>
        <b/>
        <sz val="12"/>
        <color theme="1"/>
        <rFont val="Arial"/>
      </rPr>
      <t>interpretează</t>
    </r>
    <r>
      <rPr>
        <sz val="12"/>
        <color theme="1"/>
        <rFont val="Arial"/>
      </rPr>
      <t xml:space="preserve"> și </t>
    </r>
    <r>
      <rPr>
        <b/>
        <sz val="12"/>
        <color theme="1"/>
        <rFont val="Arial"/>
      </rPr>
      <t>convertește</t>
    </r>
    <r>
      <rPr>
        <sz val="12"/>
        <color theme="1"/>
        <rFont val="Arial"/>
      </rPr>
      <t xml:space="preserve"> modul de reprezentare al informațiilor în sistemele de calcul (C1, C2);
- </t>
    </r>
    <r>
      <rPr>
        <b/>
        <sz val="12"/>
        <color theme="1"/>
        <rFont val="Arial"/>
      </rPr>
      <t>compară</t>
    </r>
    <r>
      <rPr>
        <sz val="12"/>
        <color theme="1"/>
        <rFont val="Arial"/>
      </rPr>
      <t xml:space="preserve"> metodele de efectuare a operațiilor cu diverse reprezentări numerice (C3);
- </t>
    </r>
    <r>
      <rPr>
        <b/>
        <sz val="12"/>
        <color theme="1"/>
        <rFont val="Arial"/>
      </rPr>
      <t>explică</t>
    </r>
    <r>
      <rPr>
        <sz val="12"/>
        <color theme="1"/>
        <rFont val="Arial"/>
      </rPr>
      <t xml:space="preserve"> cum se pot implementa operațiile în interiorul sistemelor de calcul (C4, C5);
- </t>
    </r>
    <r>
      <rPr>
        <b/>
        <sz val="12"/>
        <color theme="1"/>
        <rFont val="Arial"/>
      </rPr>
      <t>recunoaște</t>
    </r>
    <r>
      <rPr>
        <sz val="12"/>
        <color theme="1"/>
        <rFont val="Arial"/>
      </rPr>
      <t xml:space="preserve"> elementele care stau la baza implementării fizice a sistemelor de calcul (C6, C7);
- </t>
    </r>
    <r>
      <rPr>
        <b/>
        <sz val="12"/>
        <color theme="1"/>
        <rFont val="Arial"/>
      </rPr>
      <t>conturează</t>
    </r>
    <r>
      <rPr>
        <sz val="12"/>
        <color theme="1"/>
        <rFont val="Arial"/>
      </rPr>
      <t xml:space="preserve"> calea care conduce la implementarea memorării și comenzilor secvențiale în sistemele de calcul (C9-C11);
- </t>
    </r>
    <r>
      <rPr>
        <b/>
        <sz val="12"/>
        <color theme="1"/>
        <rFont val="Arial"/>
      </rPr>
      <t>descrie</t>
    </r>
    <r>
      <rPr>
        <sz val="12"/>
        <color theme="1"/>
        <rFont val="Arial"/>
      </rPr>
      <t xml:space="preserve"> organizarea generală a unui sistem de calcul și funcționarea unui microprocesor real (C12, C13).</t>
    </r>
  </si>
  <si>
    <t>Aptitudini</t>
  </si>
  <si>
    <r>
      <rPr>
        <sz val="12"/>
        <color theme="1"/>
        <rFont val="Arial"/>
      </rPr>
      <t xml:space="preserve">- </t>
    </r>
    <r>
      <rPr>
        <b/>
        <sz val="12"/>
        <color theme="1"/>
        <rFont val="Arial"/>
      </rPr>
      <t>operează</t>
    </r>
    <r>
      <rPr>
        <sz val="12"/>
        <color theme="1"/>
        <rFont val="Arial"/>
      </rPr>
      <t xml:space="preserve"> cu diverse reprezentări numerice frecvent folosite în sistemele de calcul (L1-L4);
- </t>
    </r>
    <r>
      <rPr>
        <b/>
        <sz val="12"/>
        <color theme="1"/>
        <rFont val="Arial"/>
      </rPr>
      <t>identifică</t>
    </r>
    <r>
      <rPr>
        <sz val="12"/>
        <color theme="1"/>
        <rFont val="Arial"/>
      </rPr>
      <t xml:space="preserve"> elementele componente din schemele logice hardware și </t>
    </r>
    <r>
      <rPr>
        <b/>
        <sz val="12"/>
        <color theme="1"/>
        <rFont val="Arial"/>
      </rPr>
      <t>demonstrează</t>
    </r>
    <r>
      <rPr>
        <sz val="12"/>
        <color theme="1"/>
        <rFont val="Arial"/>
      </rPr>
      <t xml:space="preserve"> cum funcționează ansamblul (L5-L8);
- </t>
    </r>
    <r>
      <rPr>
        <b/>
        <sz val="12"/>
        <color theme="1"/>
        <rFont val="Arial"/>
      </rPr>
      <t>experimentează</t>
    </r>
    <r>
      <rPr>
        <sz val="12"/>
        <color theme="1"/>
        <rFont val="Arial"/>
      </rPr>
      <t xml:space="preserve"> implementarea programelor în cod-mașină și în limbaj de asamblare pe un sistem educațional cu microprocesor (L9-L12).</t>
    </r>
  </si>
  <si>
    <t>Responsabilitate și autonomie</t>
  </si>
  <si>
    <r>
      <rPr>
        <sz val="12"/>
        <color theme="1"/>
        <rFont val="Arial"/>
      </rPr>
      <t xml:space="preserve">- </t>
    </r>
    <r>
      <rPr>
        <b/>
        <sz val="12"/>
        <color theme="1"/>
        <rFont val="Arial"/>
      </rPr>
      <t>studiază</t>
    </r>
    <r>
      <rPr>
        <sz val="12"/>
        <color theme="1"/>
        <rFont val="Arial"/>
      </rPr>
      <t xml:space="preserve"> metode și tehnici specifice de analiză a structurilor logice folosite la implementarea sistemelor de calcul (C6, C7, C9-C13, L5-L13);
- </t>
    </r>
    <r>
      <rPr>
        <b/>
        <sz val="12"/>
        <color theme="1"/>
        <rFont val="Arial"/>
      </rPr>
      <t>formează</t>
    </r>
    <r>
      <rPr>
        <sz val="12"/>
        <color theme="1"/>
        <rFont val="Arial"/>
      </rPr>
      <t xml:space="preserve"> vocabularul de noțiuni necesare în ingineria hardware și software a sitemelor de calcul (C1-C7, C9-C13);
- </t>
    </r>
    <r>
      <rPr>
        <b/>
        <sz val="12"/>
        <color theme="1"/>
        <rFont val="Arial"/>
      </rPr>
      <t>urmărește</t>
    </r>
    <r>
      <rPr>
        <sz val="12"/>
        <color theme="1"/>
        <rFont val="Arial"/>
      </rPr>
      <t xml:space="preserve"> modul de organizare pe nivele ierarhice a structurilor complexe din sistemele de calcul care simplifică descrierea și analiza lor (C6, C7, C9-C13);
- </t>
    </r>
    <r>
      <rPr>
        <b/>
        <sz val="12"/>
        <color theme="1"/>
        <rFont val="Arial"/>
      </rPr>
      <t>se alătură</t>
    </r>
    <r>
      <rPr>
        <sz val="12"/>
        <color theme="1"/>
        <rFont val="Arial"/>
      </rPr>
      <t xml:space="preserve"> unei echipe, </t>
    </r>
    <r>
      <rPr>
        <b/>
        <sz val="12"/>
        <color theme="1"/>
        <rFont val="Arial"/>
      </rPr>
      <t>propune</t>
    </r>
    <r>
      <rPr>
        <sz val="12"/>
        <color theme="1"/>
        <rFont val="Arial"/>
      </rPr>
      <t xml:space="preserve"> și </t>
    </r>
    <r>
      <rPr>
        <b/>
        <sz val="12"/>
        <color theme="1"/>
        <rFont val="Arial"/>
      </rPr>
      <t>împărtășeste</t>
    </r>
    <r>
      <rPr>
        <sz val="12"/>
        <color theme="1"/>
        <rFont val="Arial"/>
      </rPr>
      <t xml:space="preserve"> păreri cu privire la semnificația și posibilitățile de extindere a aplicațiilor de laborator pe placa de dezvoltare cu microprocesor (L9-L12).</t>
    </r>
  </si>
  <si>
    <t xml:space="preserve">8. Metode de predare </t>
  </si>
  <si>
    <t>- Prezentarea didactică graduală a unui set de cunoştinţe de bază care să permită dezvoltarea ulterioară în cadrul disciplinelor de programare şi proiectare;
- Utilizarea plăcilor de dezvoltare educaţionale permite o mai bună înţelegere a funcţionării hardware / software.</t>
  </si>
  <si>
    <t>9. Conţinuturi</t>
  </si>
  <si>
    <t>9.1. Curs</t>
  </si>
  <si>
    <t>Metode de predare</t>
  </si>
  <si>
    <t>Timp alocat</t>
  </si>
  <si>
    <t>C1</t>
  </si>
  <si>
    <r>
      <rPr>
        <b/>
        <sz val="12"/>
        <color theme="1"/>
        <rFont val="Arial"/>
      </rPr>
      <t>Introducere:</t>
    </r>
    <r>
      <rPr>
        <sz val="12"/>
        <color theme="1"/>
        <rFont val="Arial"/>
      </rPr>
      <t xml:space="preserve"> sisteme de numeraţie, conversia valorilor numerice dintr-o bază în alta</t>
    </r>
  </si>
  <si>
    <t>a. Expunere esenţializată cu ajutorul video-proiectorului, în aşa fel încât noţiunile prezentate să rămână coerente, uşor de înţeles şi să se constituie într-un ansamblu unitar, construit treptat, prin acumulare piramidală a cunoştinţelor;
b. Mod de predare interactiv, prin urmărirea reacţiei studenţilor, cu detalierea unor explicaţii la tablă, discutarea neclarităţilor şi iniţierea de întrebări semnificative care îndeamnă studenţii să reflecteze asupra aspectelor prezentate.</t>
  </si>
  <si>
    <t>2 ore</t>
  </si>
  <si>
    <t>C2</t>
  </si>
  <si>
    <r>
      <rPr>
        <b/>
        <sz val="12"/>
        <color theme="1"/>
        <rFont val="Arial"/>
      </rPr>
      <t>Reprezentarea informaţiei în interiorul sistemelor de calcul:</t>
    </r>
    <r>
      <rPr>
        <sz val="12"/>
        <color theme="1"/>
        <rFont val="Arial"/>
      </rPr>
      <t xml:space="preserve"> numere fără semn cu virgulă fixă, numere întregi în cod mărime şi semn, în coduri complementare faţă de 1 și 2, numere reale cu virgulă mobilă, reprezentarea caracterelor alfa-numerice</t>
    </r>
  </si>
  <si>
    <t>C3</t>
  </si>
  <si>
    <r>
      <rPr>
        <b/>
        <sz val="12"/>
        <color theme="1"/>
        <rFont val="Arial"/>
      </rPr>
      <t>Operaţii aritmetice binare cu numere întregi:</t>
    </r>
    <r>
      <rPr>
        <sz val="12"/>
        <color theme="1"/>
        <rFont val="Arial"/>
      </rPr>
      <t xml:space="preserve"> adunarea şi scăderea numerelor fără semn și a numerelor cu semn în complement faţă de 2</t>
    </r>
  </si>
  <si>
    <t>C4</t>
  </si>
  <si>
    <r>
      <rPr>
        <b/>
        <sz val="12"/>
        <color theme="1"/>
        <rFont val="Arial"/>
      </rPr>
      <t>Implementarea operațiilor în interiorul sistemelor de calcul:</t>
    </r>
    <r>
      <rPr>
        <sz val="12"/>
        <color theme="1"/>
        <rFont val="Arial"/>
      </rPr>
      <t xml:space="preserve"> ‎implementarea cu porţi a funcţiilor logice folosind doar tabelul de adevăr şi ‎algebra booleană, compactarea tabelului de adevăr</t>
    </r>
  </si>
  <si>
    <t>C5</t>
  </si>
  <si>
    <r>
      <rPr>
        <b/>
        <sz val="12"/>
        <color theme="1"/>
        <rFont val="Arial"/>
      </rPr>
      <t>Implementarea operațiilor în interiorul sistemelor de calcul:</t>
    </r>
    <r>
      <rPr>
        <sz val="12"/>
        <color theme="1"/>
        <rFont val="Arial"/>
      </rPr>
      <t xml:space="preserve"> ‎operaţii logice cu măști, operații de rotație și deplasare, prelucrarea selectivă a biţilor</t>
    </r>
  </si>
  <si>
    <t>C6</t>
  </si>
  <si>
    <r>
      <rPr>
        <b/>
        <sz val="12"/>
        <color theme="1"/>
        <rFont val="Arial"/>
      </rPr>
      <t>Bazele implementării fizice a sistemelor de calcul:</t>
    </r>
    <r>
      <rPr>
        <sz val="12"/>
        <color theme="1"/>
        <rFont val="Arial"/>
      </rPr>
      <t xml:space="preserve"> comutatoare comandate implementate prin tranzistoare MOS cu canal de conducție N și P, etajul de ieşire al porţilor logice, porţi cu 3 stări şi magistrale</t>
    </r>
  </si>
  <si>
    <t>C7</t>
  </si>
  <si>
    <r>
      <rPr>
        <b/>
        <sz val="12"/>
        <color theme="1"/>
        <rFont val="Arial"/>
      </rPr>
      <t>Bazele implementării fizice a sistemelor de calcul:</t>
    </r>
    <r>
      <rPr>
        <sz val="12"/>
        <color theme="1"/>
        <rFont val="Arial"/>
      </rPr>
      <t xml:space="preserve"> elemente de implementare a unor structuri logice combinaţionale (decodificatoare, multiplexoare, demultiplexoare şi sumatoare)</t>
    </r>
  </si>
  <si>
    <t>C8</t>
  </si>
  <si>
    <t>Test parțial din cursurile C1-C7</t>
  </si>
  <si>
    <t>C9</t>
  </si>
  <si>
    <r>
      <rPr>
        <b/>
        <sz val="12"/>
        <color theme="1"/>
        <rFont val="Arial"/>
      </rPr>
      <t>Implementarea memorării și comenzilor secvențiale în sistemele de calcul:</t>
    </r>
    <r>
      <rPr>
        <sz val="12"/>
        <color theme="1"/>
        <rFont val="Arial"/>
      </rPr>
      <t xml:space="preserve"> analiza funcţionării celulei elementare de memorare RS cu porți prin aplicarea unor secvențe speciale de intrare care întrerup bucla de reacție, diagrame de timp</t>
    </r>
  </si>
  <si>
    <t>C10</t>
  </si>
  <si>
    <r>
      <rPr>
        <b/>
        <sz val="12"/>
        <color theme="1"/>
        <rFont val="Arial"/>
      </rPr>
      <t>Implementarea memorării și comenzilor secvențiale în sistemele de calcul:</t>
    </r>
    <r>
      <rPr>
        <sz val="12"/>
        <color theme="1"/>
        <rFont val="Arial"/>
      </rPr>
      <t xml:space="preserve"> obținerea bistabilelor ‎sincrone pe front de tip JK, D, T prin perfecționarea celulei de bază RS</t>
    </r>
  </si>
  <si>
    <t>C11</t>
  </si>
  <si>
    <r>
      <rPr>
        <b/>
        <sz val="12"/>
        <color theme="1"/>
        <rFont val="Arial"/>
      </rPr>
      <t>Implementarea memorării și comenzilor secvențiale în sistemele de calcul:</t>
    </r>
    <r>
      <rPr>
        <sz val="12"/>
        <color theme="1"/>
        <rFont val="Arial"/>
      </rPr>
      <t xml:space="preserve"> elemente de implementare a unor structuri logice secvenţiale dintr-un microprocesor (numărătoare şi registre)</t>
    </r>
  </si>
  <si>
    <t>C12</t>
  </si>
  <si>
    <r>
      <rPr>
        <b/>
        <sz val="12"/>
        <color theme="1"/>
        <rFont val="Arial"/>
      </rPr>
      <t>Organizarea și funcționarea unui sistem de calcul‎:</t>
    </r>
    <r>
      <rPr>
        <sz val="12"/>
        <color theme="1"/>
        <rFont val="Arial"/>
      </rPr>
      <t xml:space="preserve"> arhitectura și funcționarea microprocesorului didactic dar real Intel 8085 (elementele structurale interne esenţiale, magistralele de ‎interconectare, semnalele de comandă și stare externe, codificarea și execuția instrucțiunilor în pași elementari)</t>
    </r>
  </si>
  <si>
    <t>C13</t>
  </si>
  <si>
    <r>
      <rPr>
        <b/>
        <sz val="12"/>
        <color theme="1"/>
        <rFont val="Arial"/>
      </rPr>
      <t>Organizarea și funcționarea unui sistem de calcul‎:</t>
    </r>
    <r>
      <rPr>
        <sz val="12"/>
        <color theme="1"/>
        <rFont val="Arial"/>
      </rPr>
      <t xml:space="preserve"> stiva controlată hardware (stocarea temporară a datelor, lucrul cu subprograme ‎şi întreruperi)</t>
    </r>
  </si>
  <si>
    <t>C14</t>
  </si>
  <si>
    <t>Test final din cursurile C9-C13</t>
  </si>
  <si>
    <r>
      <rPr>
        <b/>
        <sz val="12"/>
        <color theme="1"/>
        <rFont val="Arial"/>
      </rPr>
      <t>Bibliografie curs:</t>
    </r>
    <r>
      <rPr>
        <sz val="12"/>
        <color theme="1"/>
        <rFont val="Arial"/>
      </rPr>
      <t xml:space="preserve">
 1. A.D.Ioan - </t>
    </r>
    <r>
      <rPr>
        <i/>
        <sz val="12"/>
        <color theme="1"/>
        <rFont val="Arial"/>
      </rPr>
      <t>"Bazele funcționării și programării calculatoarelor"</t>
    </r>
    <r>
      <rPr>
        <sz val="12"/>
        <color theme="1"/>
        <rFont val="Arial"/>
      </rPr>
      <t xml:space="preserve">, ediția a II-a (revizuită și completată), Ed. Politehnium, Iași, 2021;
 2. Gh.Toacșe - </t>
    </r>
    <r>
      <rPr>
        <i/>
        <sz val="12"/>
        <color theme="1"/>
        <rFont val="Arial"/>
      </rPr>
      <t>"Introducere în microprocesoare"</t>
    </r>
    <r>
      <rPr>
        <sz val="12"/>
        <color theme="1"/>
        <rFont val="Arial"/>
      </rPr>
      <t xml:space="preserve">, Ed. Științifică și Enciclopedică, Bucureşti, 1986;
 3. I.Sztojanov, E.Borcoci, N.Tomescu, D.Bulik, M.Petrec, C.Petrec - </t>
    </r>
    <r>
      <rPr>
        <i/>
        <sz val="12"/>
        <color theme="1"/>
        <rFont val="Arial"/>
      </rPr>
      <t>"De la poarta TTL la microprocesor"</t>
    </r>
    <r>
      <rPr>
        <sz val="12"/>
        <color theme="1"/>
        <rFont val="Arial"/>
      </rPr>
      <t xml:space="preserve">, Vol. I, Ed. Tehnică, București, 1987;
 4. D.M.Harris, S.L.Harris - </t>
    </r>
    <r>
      <rPr>
        <i/>
        <sz val="12"/>
        <color theme="1"/>
        <rFont val="Arial"/>
      </rPr>
      <t>"Digital Design and Computer Architecture"</t>
    </r>
    <r>
      <rPr>
        <sz val="12"/>
        <color theme="1"/>
        <rFont val="Arial"/>
      </rPr>
      <t>, Second Edition, Morgan Kaufmann (Elsevier), 2013.</t>
    </r>
  </si>
  <si>
    <t>9.2a Seminar</t>
  </si>
  <si>
    <t>Metode de lucru</t>
  </si>
  <si>
    <t>9.2b Laborator</t>
  </si>
  <si>
    <t>L1</t>
  </si>
  <si>
    <r>
      <rPr>
        <b/>
        <sz val="12"/>
        <color theme="1"/>
        <rFont val="Arial"/>
      </rPr>
      <t>Sisteme de numerație poziționale:</t>
    </r>
    <r>
      <rPr>
        <sz val="12"/>
        <color theme="1"/>
        <rFont val="Arial"/>
      </rPr>
      <t xml:space="preserve"> trecerea numerelor întregi fără semn din sistemul zecimal în sistemul binar şi invers</t>
    </r>
  </si>
  <si>
    <t>a. Aspectele problematicii expuse la curs sunt discutate prin exemple, urmărind rezolvarea unor probleme care să aibă aplicabilitate practică directă;
b. În partea a doua sunt formate deprinderile de utilizare a plăcilor de dezvoltare pentru realizarea unor programe de aplicaţie, alese în aşa fel încât să fie uşor de înţeles dar să rămână reprezentative pentru aspectele punctate;
c. Studenţii sunt ghidaţi în direcţia posibilităţilor de extindere a aplicaţiilor prezentate.</t>
  </si>
  <si>
    <t>L2</t>
  </si>
  <si>
    <r>
      <rPr>
        <b/>
        <sz val="12"/>
        <color theme="1"/>
        <rFont val="Arial"/>
      </rPr>
      <t>Conversia unui număr fără semn cu parte întreagă și parte fracționară:</t>
    </r>
    <r>
      <rPr>
        <sz val="12"/>
        <color theme="1"/>
        <rFont val="Arial"/>
      </rPr>
      <t xml:space="preserve"> trecerea unui număr fără semn cu parte întreagă și parte fracționară din baza 10 în bazele 2, 4, 8, 16 și invers, apoi între bazele 2, 4, 8, 16</t>
    </r>
  </si>
  <si>
    <t>L3</t>
  </si>
  <si>
    <r>
      <rPr>
        <b/>
        <sz val="12"/>
        <color theme="1"/>
        <rFont val="Arial"/>
      </rPr>
      <t>Reprezentarea numerelor întregi cu semn:</t>
    </r>
    <r>
      <rPr>
        <sz val="12"/>
        <color theme="1"/>
        <rFont val="Arial"/>
      </rPr>
      <t xml:space="preserve"> reprezentarea numerelor întregi cu semn în mărime și semn, în cod complementar față de 1 și în cod ‎complementar față de 2</t>
    </r>
  </si>
  <si>
    <t>L4</t>
  </si>
  <si>
    <r>
      <rPr>
        <b/>
        <sz val="12"/>
        <color theme="1"/>
        <rFont val="Arial"/>
      </rPr>
      <t>Operații aritmetice în diferite baze și în cod complementar‎:</t>
    </r>
    <r>
      <rPr>
        <sz val="12"/>
        <color theme="1"/>
        <rFont val="Arial"/>
      </rPr>
      <t xml:space="preserve"> adunarea și scăderea numerelor întregi fără semn direct în bazele 2 și 16, adunarea și scăderea numerelor întregi cu semn în cod complementar față de 2</t>
    </r>
  </si>
  <si>
    <t>L5</t>
  </si>
  <si>
    <r>
      <rPr>
        <b/>
        <sz val="12"/>
        <color theme="1"/>
        <rFont val="Arial"/>
      </rPr>
      <t>Implementarea operațiilor logice în sistemele de calcul:</t>
    </r>
    <r>
      <rPr>
        <sz val="12"/>
        <color theme="1"/>
        <rFont val="Arial"/>
      </rPr>
      <t xml:space="preserve"> implementarea cu porți a funcțiilor logice, operaţii logice pe mai mulţi biţi (de mascare) şi operaţii aritmetico-logice de rotaţie, selectarea şi re-gruparea biţilor în cadrul unui număr întreg fără semn</t>
    </r>
  </si>
  <si>
    <t>L6</t>
  </si>
  <si>
    <r>
      <rPr>
        <b/>
        <sz val="12"/>
        <color theme="1"/>
        <rFont val="Arial"/>
      </rPr>
      <t>Implementarea unor structuri logice combinaționale:</t>
    </r>
    <r>
      <rPr>
        <sz val="12"/>
        <color theme="1"/>
        <rFont val="Arial"/>
      </rPr>
      <t xml:space="preserve"> implementarea funcţiilor logice din tabelul de adevăr şi simplificarea lor folosind algebra booleană, implementare a unor structuri logice combinaţionale de calcul (convertoare de cod, sumatoare, scăzătoare)</t>
    </r>
  </si>
  <si>
    <t>L7</t>
  </si>
  <si>
    <r>
      <rPr>
        <b/>
        <sz val="12"/>
        <color theme="1"/>
        <rFont val="Arial"/>
      </rPr>
      <t>Alcătuirea internă, funcționarea și analiza unor structuri logice combinaționale:</t>
    </r>
    <r>
      <rPr>
        <sz val="12"/>
        <color theme="1"/>
        <rFont val="Arial"/>
      </rPr>
      <t xml:space="preserve"> tranzistoare MOS cu canal N și P considerate drept comutatoare comandate, alcătuirea internă și funcționarea porților cu 2 sau 3 stări, analiza structurilor logice combinaționale implementate cu decodoare, multiplexoare și demultiplexoare</t>
    </r>
  </si>
  <si>
    <t>L8</t>
  </si>
  <si>
    <r>
      <rPr>
        <b/>
        <sz val="12"/>
        <color theme="1"/>
        <rFont val="Arial"/>
      </rPr>
      <t>Structuri logice secvenţiale întâlnite în sistemele de calcul‎:</t>
    </r>
    <r>
      <rPr>
        <sz val="12"/>
        <color theme="1"/>
        <rFont val="Arial"/>
      </rPr>
      <t xml:space="preserve"> analiza celulelor de memorare cu porți prin aplicarea unor secvențe speciale de intrare, utilizarea bistabilelor la implementarea numărătoarelor și registrelor, transferul datelor între registre ‎conectate la o magistrală comună.‎</t>
    </r>
  </si>
  <si>
    <t>L9</t>
  </si>
  <si>
    <r>
      <rPr>
        <b/>
        <sz val="12"/>
        <color theme="1"/>
        <rFont val="Arial"/>
      </rPr>
      <t>Sistemul de dezvoltare cu microprocesor Intel 8085:</t>
    </r>
    <r>
      <rPr>
        <sz val="12"/>
        <color theme="1"/>
        <rFont val="Arial"/>
      </rPr>
      <t xml:space="preserve"> prezentarea sistemului de dezvoltare și arhitecturii generale a microprocesorului Intel 8085, introducerea unui program de copiere directă / inversată şi singulară / în buclă a unui port de intrare pe un port de ieşire, de la tastatura locală, cu interpretarea codurilor</t>
    </r>
  </si>
  <si>
    <t>L10</t>
  </si>
  <si>
    <r>
      <rPr>
        <b/>
        <sz val="12"/>
        <color theme="1"/>
        <rFont val="Arial"/>
      </rPr>
      <t>Operarea plăcii de dezvoltare de la calculator:</t>
    </r>
    <r>
      <rPr>
        <sz val="12"/>
        <color theme="1"/>
        <rFont val="Arial"/>
      </rPr>
      <t xml:space="preserve"> operarea plăcii de la distanță prin interfața serială cu programul de monitorizare NoICE‎, asamblarea programelor instrucțiune cu instrucțiune direct în memorie, implementarea aplicațiilor cu măști logice și rotații prin citirea comutatoarelor de ‎intrare, prelucrare internă și afișare pe LED-urile de ieșire</t>
    </r>
  </si>
  <si>
    <t>L11</t>
  </si>
  <si>
    <r>
      <rPr>
        <b/>
        <sz val="12"/>
        <color theme="1"/>
        <rFont val="Arial"/>
      </rPr>
      <t>Utilizarea asamblorului și execuția instrucțiunilor pas-cu-pas:</t>
    </r>
    <r>
      <rPr>
        <sz val="12"/>
        <color theme="1"/>
        <rFont val="Arial"/>
      </rPr>
      <t xml:space="preserve"> scrierea programelor în limbaj de asamblare sub formă de text sursă și traducerea lor în cod mașină ‎utilizând programul asamblor Intel ASM85, implementarea rotațiilor repetate în buclă infinită, cu şi ‎fără buclă interioară de întârziere, urmărind execuţia instrucţiunilor în regimul pas cu pas hardware</t>
    </r>
  </si>
  <si>
    <t>L12</t>
  </si>
  <si>
    <r>
      <rPr>
        <b/>
        <sz val="12"/>
        <color theme="1"/>
        <rFont val="Arial"/>
      </rPr>
      <t>Utilizarea stivei hardware și lucrul cu subprograme:</t>
    </r>
    <r>
      <rPr>
        <sz val="12"/>
        <color theme="1"/>
        <rFont val="Arial"/>
      </rPr>
      <t xml:space="preserve"> rolul stivei la salvarea temporară a conținutului registrelor și adreselor de întoarcere în programul principal, aplicaţii de scriere a unor mesaje pe afişajul alfa-numeric şi de generare a unor melodii prin apeluri de subrutine ROM</t>
    </r>
  </si>
  <si>
    <t>L13</t>
  </si>
  <si>
    <t>Rezolvarea interactivă a unor probleme exemplificative</t>
  </si>
  <si>
    <t>L14</t>
  </si>
  <si>
    <t>Recuperarea absenţelor / Test de laborator</t>
  </si>
  <si>
    <t>9.2c Proiect</t>
  </si>
  <si>
    <r>
      <rPr>
        <b/>
        <sz val="12"/>
        <color theme="1"/>
        <rFont val="Arial"/>
      </rPr>
      <t>Bibliografie aplicații (laborator):</t>
    </r>
    <r>
      <rPr>
        <sz val="12"/>
        <color theme="1"/>
        <rFont val="Arial"/>
      </rPr>
      <t xml:space="preserve">
 1. A.D.Ioan - </t>
    </r>
    <r>
      <rPr>
        <i/>
        <sz val="12"/>
        <color theme="1"/>
        <rFont val="Arial"/>
      </rPr>
      <t>"Bazele funcționării și programării calculatoarelor"</t>
    </r>
    <r>
      <rPr>
        <sz val="12"/>
        <color theme="1"/>
        <rFont val="Arial"/>
      </rPr>
      <t xml:space="preserve">, ediția a II-a (revizuită și completată), Ed. Politehnium, Iași, 2021;
 2. Gh.Toacșe - </t>
    </r>
    <r>
      <rPr>
        <i/>
        <sz val="12"/>
        <color theme="1"/>
        <rFont val="Arial"/>
      </rPr>
      <t>"Introducere în microprocesoare"</t>
    </r>
    <r>
      <rPr>
        <sz val="12"/>
        <color theme="1"/>
        <rFont val="Arial"/>
      </rPr>
      <t xml:space="preserve">, Ed. Științifică și Enciclopedică, București, 1986;
 3. * * * - </t>
    </r>
    <r>
      <rPr>
        <i/>
        <sz val="12"/>
        <color theme="1"/>
        <rFont val="Arial"/>
      </rPr>
      <t>"Universal Trainer. Lab Manual"</t>
    </r>
    <r>
      <rPr>
        <sz val="12"/>
        <color theme="1"/>
        <rFont val="Arial"/>
      </rPr>
      <t xml:space="preserve">, Rev. 1.1, EMAC Inc. , Carbondale, 1993;
 4. * * * - </t>
    </r>
    <r>
      <rPr>
        <i/>
        <sz val="12"/>
        <color theme="1"/>
        <rFont val="Arial"/>
      </rPr>
      <t>"Universal Trainer. Reference Manual"</t>
    </r>
    <r>
      <rPr>
        <sz val="12"/>
        <color theme="1"/>
        <rFont val="Arial"/>
      </rPr>
      <t xml:space="preserve">, Rev. 1.3, EMAC Inc. , Carbondale, 1993;
 5. * * * - </t>
    </r>
    <r>
      <rPr>
        <i/>
        <sz val="12"/>
        <color theme="1"/>
        <rFont val="Arial"/>
      </rPr>
      <t>"Universal Trainer. Self Instruction Manual"</t>
    </r>
    <r>
      <rPr>
        <sz val="12"/>
        <color theme="1"/>
        <rFont val="Arial"/>
      </rPr>
      <t>, Rev. 1.1, EMAC Inc. , Carbondale, 1992.</t>
    </r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</si>
  <si>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</si>
  <si>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</si>
  <si>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</si>
  <si>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</si>
  <si>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</si>
  <si>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Verificare</t>
  </si>
  <si>
    <t>Completitudinea şi corectitudinea cunoştinţelor. 
Gradul de asimilare a limbajului de specialitate şi capacitatea de comunicare.
Capacitatea de a valorifica abilităţile dobândite.
Capacitatea de a prelucra datele și problemele enunțate.</t>
  </si>
  <si>
    <t>- test scris de evaluare formativă (verificare pe parcursul semestrului).</t>
  </si>
  <si>
    <t>50%</t>
  </si>
  <si>
    <t>- test scris de evaluare sumativă (verificare finală).</t>
  </si>
  <si>
    <t>10.5a Seminar</t>
  </si>
  <si>
    <t>Capacitatea de aplicare în practică a cunoştinţelor învăţate. Capacitatea de analiză, de interpretare personală, originalitatea, creativitatea.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</si>
  <si>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</si>
  <si>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</si>
  <si>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- contribuţia individuală în timpul laboratoarelor la ‎rezolvarea de probleme teoretice, la operarea ‎echipamentelor de laborator şi la scrierea de programe ‎aplicative;
- test scris de laborator (facultativ, pentru îmbunătățirea notei).</t>
  </si>
  <si>
    <t>10.5c Proiect</t>
  </si>
  <si>
    <t>Participarea la activitatea de proicetare, capacitatea de documentare, aplicarea cunoștințelor în activitatea de proiectare.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</si>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</sst>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4" fillId="0" borderId="7" xfId="0" applyFont="1" applyBorder="1"/>
    <xf numFmtId="0" fontId="2" fillId="3" borderId="7" xfId="0" applyFont="1" applyFill="1" applyBorder="1" applyAlignment="1">
      <alignment vertical="center" wrapText="1"/>
    </xf>
    <xf numFmtId="0" fontId="4" fillId="0" borderId="10" xfId="0" applyFont="1" applyBorder="1"/>
    <xf numFmtId="0" fontId="4" fillId="0" borderId="11" xfId="0" applyFont="1" applyBorder="1"/>
    <xf numFmtId="0" fontId="2" fillId="3" borderId="10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0" fontId="4" fillId="0" borderId="15" xfId="0" applyFont="1" applyBorder="1"/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12" xfId="0" applyNumberFormat="1" applyFont="1" applyFill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1.xlsx" TargetMode="External"/><Relationship Id="rId1" Type="http://schemas.openxmlformats.org/officeDocument/2006/relationships/externalLinkPath" Target="/Users/Madalin/Downloads/FD%20AIA%20-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ALGA"/>
      <sheetName val="AM"/>
      <sheetName val="PC I"/>
      <sheetName val="FIZ"/>
      <sheetName val="BFC"/>
      <sheetName val="SP I"/>
      <sheetName val="MAI"/>
      <sheetName val="SPD"/>
      <sheetName val="DCE"/>
      <sheetName val="PC II"/>
      <sheetName val="ETH"/>
      <sheetName val="SP II"/>
      <sheetName val="CM I"/>
      <sheetName val="CM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C1" t="str">
            <v>Anul universitar: 2025-2026</v>
          </cell>
        </row>
        <row r="2">
          <cell r="B2" t="str">
            <v>Automatică, Informatică Aplicată și Sisteme Inteligente</v>
          </cell>
        </row>
        <row r="3">
          <cell r="B3" t="str">
            <v>Licență</v>
          </cell>
        </row>
        <row r="4">
          <cell r="B4">
            <v>1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Algebră liniară și geometrie analitică</v>
          </cell>
          <cell r="D8" t="str">
            <v xml:space="preserve">Linear Algebra and Analytic Geometry  </v>
          </cell>
          <cell r="E8" t="str">
            <v>AIA.ALGA.101</v>
          </cell>
          <cell r="F8" t="str">
            <v>DOB</v>
          </cell>
          <cell r="G8" t="str">
            <v>DF</v>
          </cell>
          <cell r="H8">
            <v>2</v>
          </cell>
          <cell r="I8">
            <v>3</v>
          </cell>
          <cell r="J8">
            <v>0</v>
          </cell>
          <cell r="K8">
            <v>0</v>
          </cell>
          <cell r="L8">
            <v>89</v>
          </cell>
          <cell r="M8" t="str">
            <v>E</v>
          </cell>
          <cell r="N8">
            <v>6</v>
          </cell>
        </row>
        <row r="9">
          <cell r="A9">
            <v>1</v>
          </cell>
          <cell r="C9" t="str">
            <v>Analiză matematică</v>
          </cell>
          <cell r="D9" t="str">
            <v>Calculus</v>
          </cell>
          <cell r="E9" t="str">
            <v>AIA.AM.102</v>
          </cell>
          <cell r="F9" t="str">
            <v>DOB</v>
          </cell>
          <cell r="G9" t="str">
            <v>DF</v>
          </cell>
          <cell r="H9">
            <v>2</v>
          </cell>
          <cell r="I9">
            <v>3</v>
          </cell>
          <cell r="J9">
            <v>0</v>
          </cell>
          <cell r="K9">
            <v>0</v>
          </cell>
          <cell r="L9">
            <v>89</v>
          </cell>
          <cell r="M9" t="str">
            <v>E</v>
          </cell>
          <cell r="N9">
            <v>6</v>
          </cell>
        </row>
        <row r="10">
          <cell r="A10">
            <v>1</v>
          </cell>
          <cell r="C10" t="str">
            <v>Programarea calculatoarelor I</v>
          </cell>
          <cell r="D10" t="str">
            <v>Computer Programming I</v>
          </cell>
          <cell r="E10" t="str">
            <v>AIA.PCI.103</v>
          </cell>
          <cell r="F10" t="str">
            <v>DOB</v>
          </cell>
          <cell r="G10" t="str">
            <v>DF</v>
          </cell>
          <cell r="H10">
            <v>2</v>
          </cell>
          <cell r="I10">
            <v>0</v>
          </cell>
          <cell r="J10">
            <v>3</v>
          </cell>
          <cell r="K10">
            <v>0</v>
          </cell>
          <cell r="L10">
            <v>89</v>
          </cell>
          <cell r="M10" t="str">
            <v>E</v>
          </cell>
          <cell r="N10">
            <v>6</v>
          </cell>
        </row>
        <row r="11">
          <cell r="A11">
            <v>1</v>
          </cell>
          <cell r="C11" t="str">
            <v>Fizică</v>
          </cell>
          <cell r="D11" t="str">
            <v>Physics</v>
          </cell>
          <cell r="E11" t="str">
            <v>AIA.FIZ.104</v>
          </cell>
          <cell r="F11" t="str">
            <v>DOB</v>
          </cell>
          <cell r="G11" t="str">
            <v>DF</v>
          </cell>
          <cell r="H11">
            <v>2</v>
          </cell>
          <cell r="I11">
            <v>1</v>
          </cell>
          <cell r="J11">
            <v>2</v>
          </cell>
          <cell r="K11">
            <v>0</v>
          </cell>
          <cell r="L11">
            <v>65</v>
          </cell>
          <cell r="M11" t="str">
            <v>V</v>
          </cell>
          <cell r="N11">
            <v>5</v>
          </cell>
        </row>
        <row r="12">
          <cell r="A12">
            <v>1</v>
          </cell>
          <cell r="C12" t="str">
            <v>Bazele funcționării calculatoarelor</v>
          </cell>
          <cell r="D12" t="str">
            <v>Fundamentals of Computer Operation</v>
          </cell>
          <cell r="E12" t="str">
            <v>AIA.BFC.105</v>
          </cell>
          <cell r="F12" t="str">
            <v>DOB</v>
          </cell>
          <cell r="G12" t="str">
            <v>DF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79</v>
          </cell>
          <cell r="M12" t="str">
            <v>V</v>
          </cell>
          <cell r="N12">
            <v>5</v>
          </cell>
        </row>
        <row r="13">
          <cell r="A13">
            <v>1</v>
          </cell>
          <cell r="C13" t="str">
            <v>Sport I</v>
          </cell>
          <cell r="D13" t="str">
            <v>Physical Training I</v>
          </cell>
          <cell r="E13" t="str">
            <v>AIA.SPI.106</v>
          </cell>
          <cell r="F13" t="str">
            <v>DOB</v>
          </cell>
          <cell r="G13" t="str">
            <v>DC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26</v>
          </cell>
          <cell r="M13" t="str">
            <v>V
(A/R)</v>
          </cell>
          <cell r="N13">
            <v>2</v>
          </cell>
        </row>
        <row r="14">
          <cell r="A14">
            <v>2</v>
          </cell>
          <cell r="C14" t="str">
            <v>Matematici aplicate în inginerie</v>
          </cell>
          <cell r="D14" t="str">
            <v>Applied Mathematics in Engineering</v>
          </cell>
          <cell r="E14" t="str">
            <v>AIA.EDCO.107</v>
          </cell>
          <cell r="F14" t="str">
            <v>DOB</v>
          </cell>
          <cell r="G14" t="str">
            <v>DF</v>
          </cell>
          <cell r="H14">
            <v>2</v>
          </cell>
          <cell r="I14">
            <v>3</v>
          </cell>
          <cell r="J14">
            <v>0</v>
          </cell>
          <cell r="K14">
            <v>0</v>
          </cell>
          <cell r="L14">
            <v>89</v>
          </cell>
          <cell r="M14" t="str">
            <v>E</v>
          </cell>
          <cell r="N14">
            <v>6</v>
          </cell>
        </row>
        <row r="15">
          <cell r="A15">
            <v>2</v>
          </cell>
          <cell r="C15" t="str">
            <v>Statistică și prelucrarea datelor</v>
          </cell>
          <cell r="D15" t="str">
            <v>Statistics and Data Processing</v>
          </cell>
          <cell r="E15" t="str">
            <v>AIA.SPD.108</v>
          </cell>
          <cell r="F15" t="str">
            <v>DOB</v>
          </cell>
          <cell r="G15" t="str">
            <v>DF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79</v>
          </cell>
          <cell r="M15" t="str">
            <v>V</v>
          </cell>
          <cell r="N15">
            <v>5</v>
          </cell>
        </row>
        <row r="16">
          <cell r="A16">
            <v>2</v>
          </cell>
          <cell r="C16" t="str">
            <v>Dispozitive și circuite electronice</v>
          </cell>
          <cell r="D16" t="str">
            <v>Electronic Devices and Circuits</v>
          </cell>
          <cell r="E16" t="str">
            <v>AIA.DCE.109</v>
          </cell>
          <cell r="F16" t="str">
            <v>DOB</v>
          </cell>
          <cell r="G16" t="str">
            <v>DF</v>
          </cell>
          <cell r="H16">
            <v>2</v>
          </cell>
          <cell r="I16">
            <v>0</v>
          </cell>
          <cell r="J16">
            <v>3</v>
          </cell>
          <cell r="K16">
            <v>0</v>
          </cell>
          <cell r="L16">
            <v>62</v>
          </cell>
          <cell r="M16" t="str">
            <v>E</v>
          </cell>
          <cell r="N16">
            <v>5</v>
          </cell>
        </row>
        <row r="17">
          <cell r="A17">
            <v>2</v>
          </cell>
          <cell r="C17" t="str">
            <v>Programarea calculatoarelor II</v>
          </cell>
          <cell r="D17" t="str">
            <v>Computer Programming II</v>
          </cell>
          <cell r="E17" t="str">
            <v>AIA.PCII.110</v>
          </cell>
          <cell r="F17" t="str">
            <v>DOB</v>
          </cell>
          <cell r="G17" t="str">
            <v>DF</v>
          </cell>
          <cell r="H17">
            <v>2</v>
          </cell>
          <cell r="I17">
            <v>0</v>
          </cell>
          <cell r="J17">
            <v>3</v>
          </cell>
          <cell r="K17">
            <v>0</v>
          </cell>
          <cell r="L17">
            <v>89</v>
          </cell>
          <cell r="M17" t="str">
            <v>E</v>
          </cell>
          <cell r="N17">
            <v>6</v>
          </cell>
        </row>
        <row r="18">
          <cell r="A18">
            <v>2</v>
          </cell>
          <cell r="C18" t="str">
            <v>Electrotehnică</v>
          </cell>
          <cell r="D18" t="str">
            <v xml:space="preserve">Fundamentals of Electrical Engineering </v>
          </cell>
          <cell r="E18" t="str">
            <v>AIA.ETH.111</v>
          </cell>
          <cell r="F18" t="str">
            <v>DOB</v>
          </cell>
          <cell r="G18" t="str">
            <v>DF</v>
          </cell>
          <cell r="H18">
            <v>2</v>
          </cell>
          <cell r="I18">
            <v>1</v>
          </cell>
          <cell r="J18">
            <v>2</v>
          </cell>
          <cell r="K18">
            <v>0</v>
          </cell>
          <cell r="L18">
            <v>89</v>
          </cell>
          <cell r="M18" t="str">
            <v>E</v>
          </cell>
          <cell r="N18">
            <v>6</v>
          </cell>
        </row>
        <row r="19">
          <cell r="A19">
            <v>2</v>
          </cell>
          <cell r="C19" t="str">
            <v>Sport II</v>
          </cell>
          <cell r="D19" t="str">
            <v>Physical Training II</v>
          </cell>
          <cell r="E19" t="str">
            <v>AIA.SPII.112</v>
          </cell>
          <cell r="F19" t="str">
            <v>DOB</v>
          </cell>
          <cell r="G19" t="str">
            <v>DC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26</v>
          </cell>
          <cell r="M19" t="str">
            <v>V
(A/R)</v>
          </cell>
          <cell r="N19">
            <v>2</v>
          </cell>
        </row>
        <row r="20">
          <cell r="A20">
            <v>1</v>
          </cell>
          <cell r="C20" t="str">
            <v>Complemente de matematică I</v>
          </cell>
          <cell r="D20" t="str">
            <v>Mathematical Supplements I</v>
          </cell>
          <cell r="E20" t="str">
            <v>AIA.CMI.113</v>
          </cell>
          <cell r="F20" t="str">
            <v>DFA</v>
          </cell>
          <cell r="G20" t="str">
            <v>DF</v>
          </cell>
          <cell r="H20">
            <v>2</v>
          </cell>
          <cell r="I20">
            <v>0</v>
          </cell>
          <cell r="J20">
            <v>0</v>
          </cell>
          <cell r="K20">
            <v>0</v>
          </cell>
          <cell r="L20">
            <v>53</v>
          </cell>
          <cell r="M20" t="str">
            <v>V</v>
          </cell>
          <cell r="N20">
            <v>3</v>
          </cell>
        </row>
        <row r="21">
          <cell r="A21">
            <v>2</v>
          </cell>
          <cell r="C21" t="str">
            <v>Complemente de matematică II</v>
          </cell>
          <cell r="D21" t="str">
            <v>Mathematical Supplements II</v>
          </cell>
          <cell r="E21" t="str">
            <v>AIA.CMII.114</v>
          </cell>
          <cell r="F21" t="str">
            <v>DFA</v>
          </cell>
          <cell r="G21" t="str">
            <v>DF</v>
          </cell>
          <cell r="H21">
            <v>2</v>
          </cell>
          <cell r="I21">
            <v>0</v>
          </cell>
          <cell r="J21">
            <v>0</v>
          </cell>
          <cell r="K21">
            <v>0</v>
          </cell>
          <cell r="L21">
            <v>53</v>
          </cell>
          <cell r="M21" t="str">
            <v>V</v>
          </cell>
          <cell r="N21">
            <v>3</v>
          </cell>
        </row>
        <row r="25">
          <cell r="C25">
            <v>45915</v>
          </cell>
        </row>
        <row r="26">
          <cell r="C26">
            <v>45918</v>
          </cell>
        </row>
        <row r="27">
          <cell r="C27" t="str">
            <v>Conf.dr.ing. Mihai POSTOLACHE</v>
          </cell>
        </row>
        <row r="28">
          <cell r="C2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FE4D-17A0-42C8-B2B5-D2C37A7ACC99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Automatică, Informatică Aplicată și Sisteme Inteligente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INDEX([1]Date!D8:D21, MATCH(E12,[1]Date!C8:C21,0),0)</f>
        <v>Fundamentals of Computer Operation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INDEX([1]Date!E8:E21, MATCH(E12,[1]Date!C8:C21,0),0)</f>
        <v>AIA.BFC.105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INDEX([1]Date!G8:G21, MATCH(E12,[1]Date!C8:C21,0),0)</f>
        <v>DF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14"/>
      <c r="G15" s="14"/>
      <c r="H15" s="14"/>
      <c r="I15" s="14"/>
      <c r="J15" s="14"/>
      <c r="K15" s="14"/>
      <c r="L15" s="14"/>
      <c r="M15" s="15"/>
      <c r="N15" s="5"/>
    </row>
    <row r="16" spans="1:14" ht="15.5" x14ac:dyDescent="0.35">
      <c r="A16" s="24"/>
      <c r="B16" s="18"/>
      <c r="C16" s="18"/>
      <c r="D16" s="19"/>
      <c r="E16" s="25"/>
      <c r="F16" s="18"/>
      <c r="G16" s="18"/>
      <c r="H16" s="18"/>
      <c r="I16" s="18"/>
      <c r="J16" s="18"/>
      <c r="K16" s="18"/>
      <c r="L16" s="18"/>
      <c r="M16" s="19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18</v>
      </c>
      <c r="F17" s="14"/>
      <c r="G17" s="14"/>
      <c r="H17" s="14"/>
      <c r="I17" s="14"/>
      <c r="J17" s="14"/>
      <c r="K17" s="14"/>
      <c r="L17" s="14"/>
      <c r="M17" s="15"/>
      <c r="N17" s="5"/>
    </row>
    <row r="18" spans="1:14" ht="15.5" x14ac:dyDescent="0.35">
      <c r="A18" s="26"/>
      <c r="B18" s="2"/>
      <c r="C18" s="2"/>
      <c r="D18" s="27"/>
      <c r="E18" s="28" t="s">
        <v>20</v>
      </c>
      <c r="F18" s="2"/>
      <c r="G18" s="2"/>
      <c r="H18" s="2"/>
      <c r="I18" s="2"/>
      <c r="J18" s="2"/>
      <c r="K18" s="2"/>
      <c r="L18" s="2"/>
      <c r="M18" s="27"/>
      <c r="N18" s="5"/>
    </row>
    <row r="19" spans="1:14" ht="15.5" x14ac:dyDescent="0.35">
      <c r="A19" s="26"/>
      <c r="B19" s="2"/>
      <c r="C19" s="2"/>
      <c r="D19" s="27"/>
      <c r="E19" s="28" t="s">
        <v>21</v>
      </c>
      <c r="F19" s="2"/>
      <c r="G19" s="2"/>
      <c r="H19" s="2"/>
      <c r="I19" s="2"/>
      <c r="J19" s="2"/>
      <c r="K19" s="2"/>
      <c r="L19" s="2"/>
      <c r="M19" s="27"/>
      <c r="N19" s="5"/>
    </row>
    <row r="20" spans="1:14" ht="15.5" hidden="1" x14ac:dyDescent="0.35">
      <c r="A20" s="26"/>
      <c r="B20" s="2"/>
      <c r="C20" s="2"/>
      <c r="D20" s="27"/>
      <c r="E20" s="28"/>
      <c r="F20" s="2"/>
      <c r="G20" s="2"/>
      <c r="H20" s="2"/>
      <c r="I20" s="2"/>
      <c r="J20" s="2"/>
      <c r="K20" s="2"/>
      <c r="L20" s="2"/>
      <c r="M20" s="27"/>
      <c r="N20" s="5"/>
    </row>
    <row r="21" spans="1:14" ht="15.5" hidden="1" x14ac:dyDescent="0.35">
      <c r="A21" s="26"/>
      <c r="B21" s="2"/>
      <c r="C21" s="2"/>
      <c r="D21" s="27"/>
      <c r="E21" s="28"/>
      <c r="F21" s="2"/>
      <c r="G21" s="2"/>
      <c r="H21" s="2"/>
      <c r="I21" s="2"/>
      <c r="J21" s="2"/>
      <c r="K21" s="2"/>
      <c r="L21" s="2"/>
      <c r="M21" s="27"/>
      <c r="N21" s="5"/>
    </row>
    <row r="22" spans="1:14" ht="15.5" hidden="1" x14ac:dyDescent="0.35">
      <c r="A22" s="24"/>
      <c r="B22" s="18"/>
      <c r="C22" s="18"/>
      <c r="D22" s="19"/>
      <c r="E22" s="25"/>
      <c r="F22" s="18"/>
      <c r="G22" s="18"/>
      <c r="H22" s="18"/>
      <c r="I22" s="18"/>
      <c r="J22" s="18"/>
      <c r="K22" s="18"/>
      <c r="L22" s="18"/>
      <c r="M22" s="19"/>
      <c r="N22" s="5"/>
    </row>
    <row r="23" spans="1:14" ht="31" x14ac:dyDescent="0.35">
      <c r="A23" s="7" t="s">
        <v>22</v>
      </c>
      <c r="B23" s="10"/>
      <c r="C23" s="29">
        <f>[1]Date!B4</f>
        <v>1</v>
      </c>
      <c r="D23" s="30" t="s">
        <v>23</v>
      </c>
      <c r="E23" s="29">
        <f t="array" aca="1" ref="E23" ca="1">INDEX([1]Date!A8:A21, MATCH(E12,[1]Date!C8:C21,0),0)</f>
        <v>1</v>
      </c>
      <c r="F23" s="31" t="s">
        <v>24</v>
      </c>
      <c r="G23" s="8"/>
      <c r="H23" s="10"/>
      <c r="I23" s="22" t="str">
        <f t="array" aca="1" ref="I23" ca="1">INDEX([1]Date!M8:M21, MATCH(E12,[1]Date!C8:C21,0),0)</f>
        <v>V</v>
      </c>
      <c r="J23" s="31" t="s">
        <v>25</v>
      </c>
      <c r="K23" s="8"/>
      <c r="L23" s="10"/>
      <c r="M23" s="29" t="str">
        <f t="array" aca="1" ref="M23" ca="1">INDEX([1]Date!F8:F21, MATCH(E12,[1]Date!C8:C21,0),0)</f>
        <v>DOB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2"/>
    </row>
    <row r="26" spans="1:14" ht="31" x14ac:dyDescent="0.35">
      <c r="A26" s="7" t="s">
        <v>27</v>
      </c>
      <c r="B26" s="10"/>
      <c r="C26" s="29">
        <f ca="1">SUM(E26+G26+I26+K26)</f>
        <v>4</v>
      </c>
      <c r="D26" s="30" t="s">
        <v>28</v>
      </c>
      <c r="E26" s="29">
        <f t="array" aca="1" ref="E26" ca="1">INDEX([1]Date!H8:H21, MATCH(E12,[1]Date!C8:C21,0),0)</f>
        <v>2</v>
      </c>
      <c r="F26" s="30" t="s">
        <v>29</v>
      </c>
      <c r="G26" s="29">
        <f t="array" aca="1" ref="G26" ca="1">INDEX([1]Date!I8:I21, MATCH(E12,[1]Date!C8:C21,0),0)</f>
        <v>0</v>
      </c>
      <c r="H26" s="30" t="s">
        <v>30</v>
      </c>
      <c r="I26" s="29">
        <f t="array" aca="1" ref="I26" ca="1">INDEX([1]Date!J8:J21, MATCH(E12,[1]Date!C8:C21,0),0)</f>
        <v>2</v>
      </c>
      <c r="J26" s="30" t="s">
        <v>31</v>
      </c>
      <c r="K26" s="29">
        <f t="array" aca="1" ref="K26" ca="1">INDEX([1]Date!K8:K21, MATCH(E12,[1]Date!C8:C21,0),0)</f>
        <v>0</v>
      </c>
      <c r="L26" s="7" t="s">
        <v>32</v>
      </c>
      <c r="M26" s="10"/>
      <c r="N26" s="32"/>
    </row>
    <row r="27" spans="1:14" ht="31" x14ac:dyDescent="0.35">
      <c r="A27" s="7" t="s">
        <v>33</v>
      </c>
      <c r="B27" s="10"/>
      <c r="C27" s="29">
        <f ca="1">C26*14</f>
        <v>56</v>
      </c>
      <c r="D27" s="30" t="s">
        <v>34</v>
      </c>
      <c r="E27" s="29">
        <f ca="1">E26*14</f>
        <v>28</v>
      </c>
      <c r="F27" s="30" t="s">
        <v>35</v>
      </c>
      <c r="G27" s="29">
        <f ca="1">G26*14</f>
        <v>0</v>
      </c>
      <c r="H27" s="30" t="s">
        <v>36</v>
      </c>
      <c r="I27" s="29">
        <f ca="1">I26*14</f>
        <v>28</v>
      </c>
      <c r="J27" s="30" t="s">
        <v>37</v>
      </c>
      <c r="K27" s="29">
        <f ca="1">K26*14</f>
        <v>0</v>
      </c>
      <c r="L27" s="30" t="s">
        <v>38</v>
      </c>
      <c r="M27" s="29">
        <v>0</v>
      </c>
      <c r="N27" s="5"/>
    </row>
    <row r="28" spans="1:14" ht="15.5" x14ac:dyDescent="0.35">
      <c r="A28" s="7" t="s">
        <v>39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9" t="s">
        <v>40</v>
      </c>
      <c r="N28" s="5"/>
    </row>
    <row r="29" spans="1:14" ht="15.5" x14ac:dyDescent="0.35">
      <c r="A29" s="7" t="s">
        <v>41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3">
        <v>28</v>
      </c>
      <c r="N29" s="5"/>
    </row>
    <row r="30" spans="1:14" ht="15.5" x14ac:dyDescent="0.35">
      <c r="A30" s="7" t="s">
        <v>42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3">
        <v>23</v>
      </c>
      <c r="N30" s="5"/>
    </row>
    <row r="31" spans="1:14" ht="15.5" x14ac:dyDescent="0.35">
      <c r="A31" s="7" t="s">
        <v>43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3">
        <v>28</v>
      </c>
      <c r="N31" s="5"/>
    </row>
    <row r="32" spans="1:14" ht="15.5" x14ac:dyDescent="0.35">
      <c r="A32" s="7" t="s">
        <v>44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9">
        <f t="array" aca="1" ref="M32" ca="1">IF(INDEX([1]Date!M8:M21, MATCH(E12,[1]Date!C8:C21,0),0)="E",3,0)</f>
        <v>0</v>
      </c>
      <c r="N32" s="5"/>
    </row>
    <row r="33" spans="1:14" ht="15.5" x14ac:dyDescent="0.35">
      <c r="A33" s="7" t="s">
        <v>45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9">
        <f ca="1">C34-SUM(M29:M31)</f>
        <v>0</v>
      </c>
      <c r="N33" s="5"/>
    </row>
    <row r="34" spans="1:14" ht="15.5" x14ac:dyDescent="0.35">
      <c r="A34" s="7" t="s">
        <v>46</v>
      </c>
      <c r="B34" s="10"/>
      <c r="C34" s="29">
        <f t="array" aca="1" ref="C34" ca="1">INDEX([1]Date!L8:L21, MATCH(E12,[1]Date!C8:C21,0),0)</f>
        <v>79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47</v>
      </c>
      <c r="B35" s="10"/>
      <c r="C35" s="29">
        <f ca="1">C27+M32+C34</f>
        <v>135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48</v>
      </c>
      <c r="B36" s="10"/>
      <c r="C36" s="29">
        <f t="array" aca="1" ref="C36" ca="1">INDEX([1]Date!N8:N21, MATCH(E12,[1]Date!C8:C21,0),0)</f>
        <v>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2"/>
    </row>
    <row r="39" spans="1:14" ht="15.5" x14ac:dyDescent="0.35">
      <c r="A39" s="7" t="s">
        <v>50</v>
      </c>
      <c r="B39" s="10"/>
      <c r="C39" s="9" t="s">
        <v>51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2"/>
    </row>
    <row r="40" spans="1:14" ht="15.5" x14ac:dyDescent="0.35">
      <c r="A40" s="7" t="s">
        <v>52</v>
      </c>
      <c r="B40" s="10"/>
      <c r="C40" s="34" t="s">
        <v>51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2"/>
    </row>
    <row r="43" spans="1:14" ht="15.5" x14ac:dyDescent="0.35">
      <c r="A43" s="7" t="s">
        <v>54</v>
      </c>
      <c r="B43" s="10"/>
      <c r="C43" s="34" t="s">
        <v>55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2"/>
    </row>
    <row r="44" spans="1:14" ht="15.5" x14ac:dyDescent="0.35">
      <c r="A44" s="7" t="s">
        <v>56</v>
      </c>
      <c r="B44" s="10"/>
      <c r="C44" s="34" t="s">
        <v>57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2"/>
    </row>
    <row r="47" spans="1:14" ht="15.5" x14ac:dyDescent="0.35">
      <c r="A47" s="34" t="s">
        <v>59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60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2"/>
    </row>
    <row r="50" spans="1:14" ht="15.5" x14ac:dyDescent="0.35">
      <c r="A50" s="35" t="s">
        <v>61</v>
      </c>
      <c r="B50" s="36" t="s">
        <v>62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05.75" customHeight="1" x14ac:dyDescent="0.35">
      <c r="A51" s="37"/>
      <c r="B51" s="38" t="s">
        <v>63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5" t="s">
        <v>64</v>
      </c>
      <c r="B52" s="36" t="s">
        <v>62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77.25" customHeight="1" x14ac:dyDescent="0.35">
      <c r="A53" s="37"/>
      <c r="B53" s="38" t="s">
        <v>65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5" t="s">
        <v>66</v>
      </c>
      <c r="B54" s="36" t="s">
        <v>62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17" customHeight="1" x14ac:dyDescent="0.35">
      <c r="A55" s="37"/>
      <c r="B55" s="39" t="s">
        <v>67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2"/>
    </row>
    <row r="58" spans="1:14" ht="53.25" customHeight="1" x14ac:dyDescent="0.35">
      <c r="A58" s="34" t="s">
        <v>69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70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2"/>
    </row>
    <row r="61" spans="1:14" ht="24.75" customHeight="1" x14ac:dyDescent="0.35">
      <c r="A61" s="40" t="s">
        <v>71</v>
      </c>
      <c r="B61" s="8"/>
      <c r="C61" s="8"/>
      <c r="D61" s="8"/>
      <c r="E61" s="8"/>
      <c r="F61" s="8"/>
      <c r="G61" s="10"/>
      <c r="H61" s="40" t="s">
        <v>72</v>
      </c>
      <c r="I61" s="8"/>
      <c r="J61" s="8"/>
      <c r="K61" s="10"/>
      <c r="L61" s="40" t="s">
        <v>73</v>
      </c>
      <c r="M61" s="10"/>
      <c r="N61" s="32"/>
    </row>
    <row r="62" spans="1:14" ht="15.5" x14ac:dyDescent="0.35">
      <c r="A62" s="41" t="s">
        <v>74</v>
      </c>
      <c r="B62" s="34" t="s">
        <v>75</v>
      </c>
      <c r="C62" s="8"/>
      <c r="D62" s="8"/>
      <c r="E62" s="8"/>
      <c r="F62" s="8"/>
      <c r="G62" s="10"/>
      <c r="H62" s="23" t="s">
        <v>76</v>
      </c>
      <c r="I62" s="14"/>
      <c r="J62" s="14"/>
      <c r="K62" s="15"/>
      <c r="L62" s="42" t="s">
        <v>77</v>
      </c>
      <c r="M62" s="10"/>
      <c r="N62" s="5"/>
    </row>
    <row r="63" spans="1:14" ht="15.5" x14ac:dyDescent="0.35">
      <c r="A63" s="41" t="s">
        <v>78</v>
      </c>
      <c r="B63" s="34" t="s">
        <v>79</v>
      </c>
      <c r="C63" s="8"/>
      <c r="D63" s="8"/>
      <c r="E63" s="8"/>
      <c r="F63" s="8"/>
      <c r="G63" s="10"/>
      <c r="H63" s="26"/>
      <c r="I63" s="2"/>
      <c r="J63" s="2"/>
      <c r="K63" s="27"/>
      <c r="L63" s="42" t="s">
        <v>77</v>
      </c>
      <c r="M63" s="10"/>
      <c r="N63" s="5"/>
    </row>
    <row r="64" spans="1:14" ht="15.5" x14ac:dyDescent="0.35">
      <c r="A64" s="41" t="s">
        <v>80</v>
      </c>
      <c r="B64" s="34" t="s">
        <v>81</v>
      </c>
      <c r="C64" s="8"/>
      <c r="D64" s="8"/>
      <c r="E64" s="8"/>
      <c r="F64" s="8"/>
      <c r="G64" s="10"/>
      <c r="H64" s="26"/>
      <c r="I64" s="2"/>
      <c r="J64" s="2"/>
      <c r="K64" s="27"/>
      <c r="L64" s="42" t="s">
        <v>77</v>
      </c>
      <c r="M64" s="10"/>
      <c r="N64" s="5"/>
    </row>
    <row r="65" spans="1:14" ht="15.5" x14ac:dyDescent="0.35">
      <c r="A65" s="41" t="s">
        <v>82</v>
      </c>
      <c r="B65" s="34" t="s">
        <v>83</v>
      </c>
      <c r="C65" s="8"/>
      <c r="D65" s="8"/>
      <c r="E65" s="8"/>
      <c r="F65" s="8"/>
      <c r="G65" s="10"/>
      <c r="H65" s="26"/>
      <c r="I65" s="2"/>
      <c r="J65" s="2"/>
      <c r="K65" s="27"/>
      <c r="L65" s="42" t="s">
        <v>77</v>
      </c>
      <c r="M65" s="10"/>
      <c r="N65" s="5"/>
    </row>
    <row r="66" spans="1:14" ht="15.5" x14ac:dyDescent="0.35">
      <c r="A66" s="41" t="s">
        <v>84</v>
      </c>
      <c r="B66" s="34" t="s">
        <v>85</v>
      </c>
      <c r="C66" s="8"/>
      <c r="D66" s="8"/>
      <c r="E66" s="8"/>
      <c r="F66" s="8"/>
      <c r="G66" s="10"/>
      <c r="H66" s="26"/>
      <c r="I66" s="2"/>
      <c r="J66" s="2"/>
      <c r="K66" s="27"/>
      <c r="L66" s="42" t="s">
        <v>77</v>
      </c>
      <c r="M66" s="10"/>
      <c r="N66" s="5"/>
    </row>
    <row r="67" spans="1:14" ht="15.5" x14ac:dyDescent="0.35">
      <c r="A67" s="41" t="s">
        <v>86</v>
      </c>
      <c r="B67" s="34" t="s">
        <v>87</v>
      </c>
      <c r="C67" s="8"/>
      <c r="D67" s="8"/>
      <c r="E67" s="8"/>
      <c r="F67" s="8"/>
      <c r="G67" s="10"/>
      <c r="H67" s="26"/>
      <c r="I67" s="2"/>
      <c r="J67" s="2"/>
      <c r="K67" s="27"/>
      <c r="L67" s="42" t="s">
        <v>77</v>
      </c>
      <c r="M67" s="10"/>
      <c r="N67" s="5"/>
    </row>
    <row r="68" spans="1:14" ht="15.5" x14ac:dyDescent="0.35">
      <c r="A68" s="41" t="s">
        <v>88</v>
      </c>
      <c r="B68" s="34" t="s">
        <v>89</v>
      </c>
      <c r="C68" s="8"/>
      <c r="D68" s="8"/>
      <c r="E68" s="8"/>
      <c r="F68" s="8"/>
      <c r="G68" s="10"/>
      <c r="H68" s="26"/>
      <c r="I68" s="2"/>
      <c r="J68" s="2"/>
      <c r="K68" s="27"/>
      <c r="L68" s="42" t="s">
        <v>77</v>
      </c>
      <c r="M68" s="10"/>
      <c r="N68" s="5"/>
    </row>
    <row r="69" spans="1:14" ht="15.5" x14ac:dyDescent="0.35">
      <c r="A69" s="41" t="s">
        <v>90</v>
      </c>
      <c r="B69" s="43" t="s">
        <v>91</v>
      </c>
      <c r="C69" s="8"/>
      <c r="D69" s="8"/>
      <c r="E69" s="8"/>
      <c r="F69" s="8"/>
      <c r="G69" s="10"/>
      <c r="H69" s="26"/>
      <c r="I69" s="2"/>
      <c r="J69" s="2"/>
      <c r="K69" s="27"/>
      <c r="L69" s="42" t="s">
        <v>77</v>
      </c>
      <c r="M69" s="10"/>
      <c r="N69" s="5"/>
    </row>
    <row r="70" spans="1:14" ht="15.5" x14ac:dyDescent="0.35">
      <c r="A70" s="41" t="s">
        <v>92</v>
      </c>
      <c r="B70" s="34" t="s">
        <v>93</v>
      </c>
      <c r="C70" s="8"/>
      <c r="D70" s="8"/>
      <c r="E70" s="8"/>
      <c r="F70" s="8"/>
      <c r="G70" s="10"/>
      <c r="H70" s="26"/>
      <c r="I70" s="2"/>
      <c r="J70" s="2"/>
      <c r="K70" s="27"/>
      <c r="L70" s="42" t="s">
        <v>77</v>
      </c>
      <c r="M70" s="10"/>
      <c r="N70" s="5"/>
    </row>
    <row r="71" spans="1:14" ht="15.5" x14ac:dyDescent="0.35">
      <c r="A71" s="41" t="s">
        <v>94</v>
      </c>
      <c r="B71" s="34" t="s">
        <v>95</v>
      </c>
      <c r="C71" s="8"/>
      <c r="D71" s="8"/>
      <c r="E71" s="8"/>
      <c r="F71" s="8"/>
      <c r="G71" s="10"/>
      <c r="H71" s="26"/>
      <c r="I71" s="2"/>
      <c r="J71" s="2"/>
      <c r="K71" s="27"/>
      <c r="L71" s="42" t="s">
        <v>77</v>
      </c>
      <c r="M71" s="10"/>
      <c r="N71" s="5"/>
    </row>
    <row r="72" spans="1:14" ht="15.5" x14ac:dyDescent="0.35">
      <c r="A72" s="41" t="s">
        <v>96</v>
      </c>
      <c r="B72" s="34" t="s">
        <v>97</v>
      </c>
      <c r="C72" s="8"/>
      <c r="D72" s="8"/>
      <c r="E72" s="8"/>
      <c r="F72" s="8"/>
      <c r="G72" s="10"/>
      <c r="H72" s="26"/>
      <c r="I72" s="2"/>
      <c r="J72" s="2"/>
      <c r="K72" s="27"/>
      <c r="L72" s="42" t="s">
        <v>77</v>
      </c>
      <c r="M72" s="10"/>
      <c r="N72" s="5"/>
    </row>
    <row r="73" spans="1:14" ht="15.5" x14ac:dyDescent="0.35">
      <c r="A73" s="41" t="s">
        <v>98</v>
      </c>
      <c r="B73" s="34" t="s">
        <v>99</v>
      </c>
      <c r="C73" s="8"/>
      <c r="D73" s="8"/>
      <c r="E73" s="8"/>
      <c r="F73" s="8"/>
      <c r="G73" s="10"/>
      <c r="H73" s="26"/>
      <c r="I73" s="2"/>
      <c r="J73" s="2"/>
      <c r="K73" s="27"/>
      <c r="L73" s="42" t="s">
        <v>77</v>
      </c>
      <c r="M73" s="10"/>
      <c r="N73" s="5"/>
    </row>
    <row r="74" spans="1:14" ht="15.5" x14ac:dyDescent="0.35">
      <c r="A74" s="41" t="s">
        <v>100</v>
      </c>
      <c r="B74" s="34" t="s">
        <v>101</v>
      </c>
      <c r="C74" s="8"/>
      <c r="D74" s="8"/>
      <c r="E74" s="8"/>
      <c r="F74" s="8"/>
      <c r="G74" s="10"/>
      <c r="H74" s="26"/>
      <c r="I74" s="2"/>
      <c r="J74" s="2"/>
      <c r="K74" s="27"/>
      <c r="L74" s="42" t="s">
        <v>77</v>
      </c>
      <c r="M74" s="10"/>
      <c r="N74" s="5"/>
    </row>
    <row r="75" spans="1:14" ht="15.5" x14ac:dyDescent="0.35">
      <c r="A75" s="41" t="s">
        <v>102</v>
      </c>
      <c r="B75" s="43" t="s">
        <v>103</v>
      </c>
      <c r="C75" s="8"/>
      <c r="D75" s="8"/>
      <c r="E75" s="8"/>
      <c r="F75" s="8"/>
      <c r="G75" s="10"/>
      <c r="H75" s="24"/>
      <c r="I75" s="18"/>
      <c r="J75" s="18"/>
      <c r="K75" s="19"/>
      <c r="L75" s="42" t="s">
        <v>77</v>
      </c>
      <c r="M75" s="10"/>
      <c r="N75" s="5"/>
    </row>
    <row r="76" spans="1:14" ht="84.75" customHeight="1" x14ac:dyDescent="0.35">
      <c r="A76" s="39" t="s">
        <v>104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40" t="s">
        <v>105</v>
      </c>
      <c r="B77" s="8"/>
      <c r="C77" s="8"/>
      <c r="D77" s="8"/>
      <c r="E77" s="8"/>
      <c r="F77" s="8"/>
      <c r="G77" s="10"/>
      <c r="H77" s="40" t="s">
        <v>106</v>
      </c>
      <c r="I77" s="8"/>
      <c r="J77" s="8"/>
      <c r="K77" s="10"/>
      <c r="L77" s="40" t="s">
        <v>73</v>
      </c>
      <c r="M77" s="10"/>
      <c r="N77" s="32"/>
    </row>
    <row r="78" spans="1:14" ht="15.5" hidden="1" x14ac:dyDescent="0.35">
      <c r="A78" s="44"/>
      <c r="B78" s="23"/>
      <c r="C78" s="14"/>
      <c r="D78" s="14"/>
      <c r="E78" s="14"/>
      <c r="F78" s="14"/>
      <c r="G78" s="15"/>
      <c r="H78" s="23"/>
      <c r="I78" s="14"/>
      <c r="J78" s="14"/>
      <c r="K78" s="15"/>
      <c r="L78" s="23"/>
      <c r="M78" s="15"/>
      <c r="N78" s="5"/>
    </row>
    <row r="79" spans="1:14" ht="15.5" hidden="1" x14ac:dyDescent="0.35">
      <c r="A79" s="45"/>
      <c r="B79" s="26"/>
      <c r="C79" s="2"/>
      <c r="D79" s="2"/>
      <c r="E79" s="2"/>
      <c r="F79" s="2"/>
      <c r="G79" s="27"/>
      <c r="H79" s="26"/>
      <c r="I79" s="2"/>
      <c r="J79" s="2"/>
      <c r="K79" s="27"/>
      <c r="L79" s="26"/>
      <c r="M79" s="27"/>
      <c r="N79" s="5"/>
    </row>
    <row r="80" spans="1:14" ht="15.5" hidden="1" x14ac:dyDescent="0.35">
      <c r="A80" s="45"/>
      <c r="B80" s="26"/>
      <c r="C80" s="2"/>
      <c r="D80" s="2"/>
      <c r="E80" s="2"/>
      <c r="F80" s="2"/>
      <c r="G80" s="27"/>
      <c r="H80" s="26"/>
      <c r="I80" s="2"/>
      <c r="J80" s="2"/>
      <c r="K80" s="27"/>
      <c r="L80" s="26"/>
      <c r="M80" s="27"/>
      <c r="N80" s="5"/>
    </row>
    <row r="81" spans="1:14" ht="15.5" hidden="1" x14ac:dyDescent="0.35">
      <c r="A81" s="45"/>
      <c r="B81" s="26"/>
      <c r="C81" s="2"/>
      <c r="D81" s="2"/>
      <c r="E81" s="2"/>
      <c r="F81" s="2"/>
      <c r="G81" s="27"/>
      <c r="H81" s="26"/>
      <c r="I81" s="2"/>
      <c r="J81" s="2"/>
      <c r="K81" s="27"/>
      <c r="L81" s="26"/>
      <c r="M81" s="27"/>
      <c r="N81" s="5"/>
    </row>
    <row r="82" spans="1:14" ht="15.5" hidden="1" x14ac:dyDescent="0.35">
      <c r="A82" s="45"/>
      <c r="B82" s="26"/>
      <c r="C82" s="2"/>
      <c r="D82" s="2"/>
      <c r="E82" s="2"/>
      <c r="F82" s="2"/>
      <c r="G82" s="27"/>
      <c r="H82" s="26"/>
      <c r="I82" s="2"/>
      <c r="J82" s="2"/>
      <c r="K82" s="27"/>
      <c r="L82" s="26"/>
      <c r="M82" s="27"/>
      <c r="N82" s="5"/>
    </row>
    <row r="83" spans="1:14" ht="15.5" hidden="1" x14ac:dyDescent="0.35">
      <c r="A83" s="45"/>
      <c r="B83" s="26"/>
      <c r="C83" s="2"/>
      <c r="D83" s="2"/>
      <c r="E83" s="2"/>
      <c r="F83" s="2"/>
      <c r="G83" s="27"/>
      <c r="H83" s="26"/>
      <c r="I83" s="2"/>
      <c r="J83" s="2"/>
      <c r="K83" s="27"/>
      <c r="L83" s="26"/>
      <c r="M83" s="27"/>
      <c r="N83" s="5"/>
    </row>
    <row r="84" spans="1:14" ht="15.5" hidden="1" x14ac:dyDescent="0.35">
      <c r="A84" s="45"/>
      <c r="B84" s="26"/>
      <c r="C84" s="2"/>
      <c r="D84" s="2"/>
      <c r="E84" s="2"/>
      <c r="F84" s="2"/>
      <c r="G84" s="27"/>
      <c r="H84" s="26"/>
      <c r="I84" s="2"/>
      <c r="J84" s="2"/>
      <c r="K84" s="27"/>
      <c r="L84" s="26"/>
      <c r="M84" s="27"/>
      <c r="N84" s="5"/>
    </row>
    <row r="85" spans="1:14" ht="15.5" hidden="1" x14ac:dyDescent="0.35">
      <c r="A85" s="45"/>
      <c r="B85" s="26"/>
      <c r="C85" s="2"/>
      <c r="D85" s="2"/>
      <c r="E85" s="2"/>
      <c r="F85" s="2"/>
      <c r="G85" s="27"/>
      <c r="H85" s="26"/>
      <c r="I85" s="2"/>
      <c r="J85" s="2"/>
      <c r="K85" s="27"/>
      <c r="L85" s="26"/>
      <c r="M85" s="27"/>
      <c r="N85" s="5"/>
    </row>
    <row r="86" spans="1:14" ht="15.5" hidden="1" x14ac:dyDescent="0.35">
      <c r="A86" s="45"/>
      <c r="B86" s="26"/>
      <c r="C86" s="2"/>
      <c r="D86" s="2"/>
      <c r="E86" s="2"/>
      <c r="F86" s="2"/>
      <c r="G86" s="27"/>
      <c r="H86" s="26"/>
      <c r="I86" s="2"/>
      <c r="J86" s="2"/>
      <c r="K86" s="27"/>
      <c r="L86" s="26"/>
      <c r="M86" s="27"/>
      <c r="N86" s="5"/>
    </row>
    <row r="87" spans="1:14" ht="15.5" hidden="1" x14ac:dyDescent="0.35">
      <c r="A87" s="45"/>
      <c r="B87" s="26"/>
      <c r="C87" s="2"/>
      <c r="D87" s="2"/>
      <c r="E87" s="2"/>
      <c r="F87" s="2"/>
      <c r="G87" s="27"/>
      <c r="H87" s="26"/>
      <c r="I87" s="2"/>
      <c r="J87" s="2"/>
      <c r="K87" s="27"/>
      <c r="L87" s="26"/>
      <c r="M87" s="27"/>
      <c r="N87" s="5"/>
    </row>
    <row r="88" spans="1:14" ht="15.5" hidden="1" x14ac:dyDescent="0.35">
      <c r="A88" s="45"/>
      <c r="B88" s="26"/>
      <c r="C88" s="2"/>
      <c r="D88" s="2"/>
      <c r="E88" s="2"/>
      <c r="F88" s="2"/>
      <c r="G88" s="27"/>
      <c r="H88" s="26"/>
      <c r="I88" s="2"/>
      <c r="J88" s="2"/>
      <c r="K88" s="27"/>
      <c r="L88" s="26"/>
      <c r="M88" s="27"/>
      <c r="N88" s="5"/>
    </row>
    <row r="89" spans="1:14" ht="15.5" hidden="1" x14ac:dyDescent="0.35">
      <c r="A89" s="45"/>
      <c r="B89" s="26"/>
      <c r="C89" s="2"/>
      <c r="D89" s="2"/>
      <c r="E89" s="2"/>
      <c r="F89" s="2"/>
      <c r="G89" s="27"/>
      <c r="H89" s="26"/>
      <c r="I89" s="2"/>
      <c r="J89" s="2"/>
      <c r="K89" s="27"/>
      <c r="L89" s="26"/>
      <c r="M89" s="27"/>
      <c r="N89" s="5"/>
    </row>
    <row r="90" spans="1:14" ht="15.5" hidden="1" x14ac:dyDescent="0.35">
      <c r="A90" s="45"/>
      <c r="B90" s="26"/>
      <c r="C90" s="2"/>
      <c r="D90" s="2"/>
      <c r="E90" s="2"/>
      <c r="F90" s="2"/>
      <c r="G90" s="27"/>
      <c r="H90" s="26"/>
      <c r="I90" s="2"/>
      <c r="J90" s="2"/>
      <c r="K90" s="27"/>
      <c r="L90" s="26"/>
      <c r="M90" s="27"/>
      <c r="N90" s="5"/>
    </row>
    <row r="91" spans="1:14" ht="15.5" hidden="1" x14ac:dyDescent="0.35">
      <c r="A91" s="37"/>
      <c r="B91" s="24"/>
      <c r="C91" s="18"/>
      <c r="D91" s="18"/>
      <c r="E91" s="18"/>
      <c r="F91" s="18"/>
      <c r="G91" s="19"/>
      <c r="H91" s="24"/>
      <c r="I91" s="18"/>
      <c r="J91" s="18"/>
      <c r="K91" s="19"/>
      <c r="L91" s="24"/>
      <c r="M91" s="19"/>
      <c r="N91" s="5"/>
    </row>
    <row r="92" spans="1:14" ht="24" customHeight="1" x14ac:dyDescent="0.35">
      <c r="A92" s="40" t="s">
        <v>107</v>
      </c>
      <c r="B92" s="8"/>
      <c r="C92" s="8"/>
      <c r="D92" s="8"/>
      <c r="E92" s="8"/>
      <c r="F92" s="8"/>
      <c r="G92" s="10"/>
      <c r="H92" s="40" t="s">
        <v>106</v>
      </c>
      <c r="I92" s="8"/>
      <c r="J92" s="8"/>
      <c r="K92" s="10"/>
      <c r="L92" s="40" t="s">
        <v>73</v>
      </c>
      <c r="M92" s="10"/>
      <c r="N92" s="32"/>
    </row>
    <row r="93" spans="1:14" ht="15.5" x14ac:dyDescent="0.35">
      <c r="A93" s="41" t="s">
        <v>108</v>
      </c>
      <c r="B93" s="34" t="s">
        <v>109</v>
      </c>
      <c r="C93" s="8"/>
      <c r="D93" s="8"/>
      <c r="E93" s="8"/>
      <c r="F93" s="8"/>
      <c r="G93" s="10"/>
      <c r="H93" s="23" t="s">
        <v>110</v>
      </c>
      <c r="I93" s="14"/>
      <c r="J93" s="14"/>
      <c r="K93" s="15"/>
      <c r="L93" s="42" t="s">
        <v>77</v>
      </c>
      <c r="M93" s="10"/>
      <c r="N93" s="5"/>
    </row>
    <row r="94" spans="1:14" ht="15.5" x14ac:dyDescent="0.35">
      <c r="A94" s="41" t="s">
        <v>111</v>
      </c>
      <c r="B94" s="34" t="s">
        <v>112</v>
      </c>
      <c r="C94" s="8"/>
      <c r="D94" s="8"/>
      <c r="E94" s="8"/>
      <c r="F94" s="8"/>
      <c r="G94" s="10"/>
      <c r="H94" s="26"/>
      <c r="I94" s="2"/>
      <c r="J94" s="2"/>
      <c r="K94" s="27"/>
      <c r="L94" s="42" t="s">
        <v>77</v>
      </c>
      <c r="M94" s="10"/>
      <c r="N94" s="5"/>
    </row>
    <row r="95" spans="1:14" ht="15.5" x14ac:dyDescent="0.35">
      <c r="A95" s="41" t="s">
        <v>113</v>
      </c>
      <c r="B95" s="34" t="s">
        <v>114</v>
      </c>
      <c r="C95" s="8"/>
      <c r="D95" s="8"/>
      <c r="E95" s="8"/>
      <c r="F95" s="8"/>
      <c r="G95" s="10"/>
      <c r="H95" s="26"/>
      <c r="I95" s="2"/>
      <c r="J95" s="2"/>
      <c r="K95" s="27"/>
      <c r="L95" s="42" t="s">
        <v>77</v>
      </c>
      <c r="M95" s="10"/>
      <c r="N95" s="5"/>
    </row>
    <row r="96" spans="1:14" ht="15.5" x14ac:dyDescent="0.35">
      <c r="A96" s="41" t="s">
        <v>115</v>
      </c>
      <c r="B96" s="34" t="s">
        <v>116</v>
      </c>
      <c r="C96" s="8"/>
      <c r="D96" s="8"/>
      <c r="E96" s="8"/>
      <c r="F96" s="8"/>
      <c r="G96" s="10"/>
      <c r="H96" s="26"/>
      <c r="I96" s="2"/>
      <c r="J96" s="2"/>
      <c r="K96" s="27"/>
      <c r="L96" s="42" t="s">
        <v>77</v>
      </c>
      <c r="M96" s="10"/>
      <c r="N96" s="5"/>
    </row>
    <row r="97" spans="1:14" ht="15.5" x14ac:dyDescent="0.35">
      <c r="A97" s="41" t="s">
        <v>117</v>
      </c>
      <c r="B97" s="34" t="s">
        <v>118</v>
      </c>
      <c r="C97" s="8"/>
      <c r="D97" s="8"/>
      <c r="E97" s="8"/>
      <c r="F97" s="8"/>
      <c r="G97" s="10"/>
      <c r="H97" s="26"/>
      <c r="I97" s="2"/>
      <c r="J97" s="2"/>
      <c r="K97" s="27"/>
      <c r="L97" s="42" t="s">
        <v>77</v>
      </c>
      <c r="M97" s="10"/>
      <c r="N97" s="5"/>
    </row>
    <row r="98" spans="1:14" ht="15.5" x14ac:dyDescent="0.35">
      <c r="A98" s="41" t="s">
        <v>119</v>
      </c>
      <c r="B98" s="34" t="s">
        <v>120</v>
      </c>
      <c r="C98" s="8"/>
      <c r="D98" s="8"/>
      <c r="E98" s="8"/>
      <c r="F98" s="8"/>
      <c r="G98" s="10"/>
      <c r="H98" s="26"/>
      <c r="I98" s="2"/>
      <c r="J98" s="2"/>
      <c r="K98" s="27"/>
      <c r="L98" s="42" t="s">
        <v>77</v>
      </c>
      <c r="M98" s="10"/>
      <c r="N98" s="5"/>
    </row>
    <row r="99" spans="1:14" ht="15.5" x14ac:dyDescent="0.35">
      <c r="A99" s="41" t="s">
        <v>121</v>
      </c>
      <c r="B99" s="34" t="s">
        <v>122</v>
      </c>
      <c r="C99" s="8"/>
      <c r="D99" s="8"/>
      <c r="E99" s="8"/>
      <c r="F99" s="8"/>
      <c r="G99" s="10"/>
      <c r="H99" s="26"/>
      <c r="I99" s="2"/>
      <c r="J99" s="2"/>
      <c r="K99" s="27"/>
      <c r="L99" s="42" t="s">
        <v>77</v>
      </c>
      <c r="M99" s="10"/>
      <c r="N99" s="5"/>
    </row>
    <row r="100" spans="1:14" ht="15.5" x14ac:dyDescent="0.35">
      <c r="A100" s="41" t="s">
        <v>123</v>
      </c>
      <c r="B100" s="34" t="s">
        <v>124</v>
      </c>
      <c r="C100" s="8"/>
      <c r="D100" s="8"/>
      <c r="E100" s="8"/>
      <c r="F100" s="8"/>
      <c r="G100" s="10"/>
      <c r="H100" s="26"/>
      <c r="I100" s="2"/>
      <c r="J100" s="2"/>
      <c r="K100" s="27"/>
      <c r="L100" s="42" t="s">
        <v>77</v>
      </c>
      <c r="M100" s="10"/>
      <c r="N100" s="5"/>
    </row>
    <row r="101" spans="1:14" ht="15.5" x14ac:dyDescent="0.35">
      <c r="A101" s="41" t="s">
        <v>125</v>
      </c>
      <c r="B101" s="34" t="s">
        <v>126</v>
      </c>
      <c r="C101" s="8"/>
      <c r="D101" s="8"/>
      <c r="E101" s="8"/>
      <c r="F101" s="8"/>
      <c r="G101" s="10"/>
      <c r="H101" s="26"/>
      <c r="I101" s="2"/>
      <c r="J101" s="2"/>
      <c r="K101" s="27"/>
      <c r="L101" s="42" t="s">
        <v>77</v>
      </c>
      <c r="M101" s="10"/>
      <c r="N101" s="5"/>
    </row>
    <row r="102" spans="1:14" ht="15.5" x14ac:dyDescent="0.35">
      <c r="A102" s="41" t="s">
        <v>127</v>
      </c>
      <c r="B102" s="34" t="s">
        <v>128</v>
      </c>
      <c r="C102" s="8"/>
      <c r="D102" s="8"/>
      <c r="E102" s="8"/>
      <c r="F102" s="8"/>
      <c r="G102" s="10"/>
      <c r="H102" s="26"/>
      <c r="I102" s="2"/>
      <c r="J102" s="2"/>
      <c r="K102" s="27"/>
      <c r="L102" s="42" t="s">
        <v>77</v>
      </c>
      <c r="M102" s="10"/>
      <c r="N102" s="5"/>
    </row>
    <row r="103" spans="1:14" ht="15.5" x14ac:dyDescent="0.35">
      <c r="A103" s="41" t="s">
        <v>129</v>
      </c>
      <c r="B103" s="34" t="s">
        <v>130</v>
      </c>
      <c r="C103" s="8"/>
      <c r="D103" s="8"/>
      <c r="E103" s="8"/>
      <c r="F103" s="8"/>
      <c r="G103" s="10"/>
      <c r="H103" s="26"/>
      <c r="I103" s="2"/>
      <c r="J103" s="2"/>
      <c r="K103" s="27"/>
      <c r="L103" s="42" t="s">
        <v>77</v>
      </c>
      <c r="M103" s="10"/>
      <c r="N103" s="5"/>
    </row>
    <row r="104" spans="1:14" ht="15.5" x14ac:dyDescent="0.35">
      <c r="A104" s="41" t="s">
        <v>131</v>
      </c>
      <c r="B104" s="34" t="s">
        <v>132</v>
      </c>
      <c r="C104" s="8"/>
      <c r="D104" s="8"/>
      <c r="E104" s="8"/>
      <c r="F104" s="8"/>
      <c r="G104" s="10"/>
      <c r="H104" s="26"/>
      <c r="I104" s="2"/>
      <c r="J104" s="2"/>
      <c r="K104" s="27"/>
      <c r="L104" s="42" t="s">
        <v>77</v>
      </c>
      <c r="M104" s="10"/>
      <c r="N104" s="5"/>
    </row>
    <row r="105" spans="1:14" ht="15.5" x14ac:dyDescent="0.35">
      <c r="A105" s="41" t="s">
        <v>133</v>
      </c>
      <c r="B105" s="43" t="s">
        <v>134</v>
      </c>
      <c r="C105" s="8"/>
      <c r="D105" s="8"/>
      <c r="E105" s="8"/>
      <c r="F105" s="8"/>
      <c r="G105" s="10"/>
      <c r="H105" s="26"/>
      <c r="I105" s="2"/>
      <c r="J105" s="2"/>
      <c r="K105" s="27"/>
      <c r="L105" s="42" t="s">
        <v>77</v>
      </c>
      <c r="M105" s="10"/>
      <c r="N105" s="5"/>
    </row>
    <row r="106" spans="1:14" ht="15.5" x14ac:dyDescent="0.35">
      <c r="A106" s="41" t="s">
        <v>135</v>
      </c>
      <c r="B106" s="43" t="s">
        <v>136</v>
      </c>
      <c r="C106" s="8"/>
      <c r="D106" s="8"/>
      <c r="E106" s="8"/>
      <c r="F106" s="8"/>
      <c r="G106" s="10"/>
      <c r="H106" s="24"/>
      <c r="I106" s="18"/>
      <c r="J106" s="18"/>
      <c r="K106" s="19"/>
      <c r="L106" s="42" t="s">
        <v>77</v>
      </c>
      <c r="M106" s="10"/>
      <c r="N106" s="5"/>
    </row>
    <row r="107" spans="1:14" ht="24" hidden="1" customHeight="1" x14ac:dyDescent="0.35">
      <c r="A107" s="40" t="s">
        <v>137</v>
      </c>
      <c r="B107" s="8"/>
      <c r="C107" s="8"/>
      <c r="D107" s="8"/>
      <c r="E107" s="8"/>
      <c r="F107" s="8"/>
      <c r="G107" s="10"/>
      <c r="H107" s="40" t="s">
        <v>106</v>
      </c>
      <c r="I107" s="8"/>
      <c r="J107" s="8"/>
      <c r="K107" s="10"/>
      <c r="L107" s="40" t="s">
        <v>73</v>
      </c>
      <c r="M107" s="10"/>
      <c r="N107" s="32"/>
    </row>
    <row r="108" spans="1:14" ht="15.5" hidden="1" x14ac:dyDescent="0.35">
      <c r="A108" s="44"/>
      <c r="B108" s="23"/>
      <c r="C108" s="14"/>
      <c r="D108" s="14"/>
      <c r="E108" s="14"/>
      <c r="F108" s="14"/>
      <c r="G108" s="15"/>
      <c r="H108" s="23"/>
      <c r="I108" s="14"/>
      <c r="J108" s="14"/>
      <c r="K108" s="15"/>
      <c r="L108" s="23"/>
      <c r="M108" s="15"/>
      <c r="N108" s="5"/>
    </row>
    <row r="109" spans="1:14" ht="15.5" hidden="1" x14ac:dyDescent="0.35">
      <c r="A109" s="45"/>
      <c r="B109" s="26"/>
      <c r="C109" s="2"/>
      <c r="D109" s="2"/>
      <c r="E109" s="2"/>
      <c r="F109" s="2"/>
      <c r="G109" s="27"/>
      <c r="H109" s="26"/>
      <c r="I109" s="2"/>
      <c r="J109" s="2"/>
      <c r="K109" s="27"/>
      <c r="L109" s="26"/>
      <c r="M109" s="27"/>
      <c r="N109" s="5"/>
    </row>
    <row r="110" spans="1:14" ht="15.5" hidden="1" x14ac:dyDescent="0.35">
      <c r="A110" s="45"/>
      <c r="B110" s="26"/>
      <c r="C110" s="2"/>
      <c r="D110" s="2"/>
      <c r="E110" s="2"/>
      <c r="F110" s="2"/>
      <c r="G110" s="27"/>
      <c r="H110" s="26"/>
      <c r="I110" s="2"/>
      <c r="J110" s="2"/>
      <c r="K110" s="27"/>
      <c r="L110" s="26"/>
      <c r="M110" s="27"/>
      <c r="N110" s="5"/>
    </row>
    <row r="111" spans="1:14" ht="15.5" hidden="1" x14ac:dyDescent="0.35">
      <c r="A111" s="45"/>
      <c r="B111" s="26"/>
      <c r="C111" s="2"/>
      <c r="D111" s="2"/>
      <c r="E111" s="2"/>
      <c r="F111" s="2"/>
      <c r="G111" s="27"/>
      <c r="H111" s="26"/>
      <c r="I111" s="2"/>
      <c r="J111" s="2"/>
      <c r="K111" s="27"/>
      <c r="L111" s="26"/>
      <c r="M111" s="27"/>
      <c r="N111" s="5"/>
    </row>
    <row r="112" spans="1:14" ht="15.5" hidden="1" x14ac:dyDescent="0.35">
      <c r="A112" s="45"/>
      <c r="B112" s="26"/>
      <c r="C112" s="2"/>
      <c r="D112" s="2"/>
      <c r="E112" s="2"/>
      <c r="F112" s="2"/>
      <c r="G112" s="27"/>
      <c r="H112" s="26"/>
      <c r="I112" s="2"/>
      <c r="J112" s="2"/>
      <c r="K112" s="27"/>
      <c r="L112" s="26"/>
      <c r="M112" s="27"/>
      <c r="N112" s="5"/>
    </row>
    <row r="113" spans="1:14" ht="15.5" hidden="1" x14ac:dyDescent="0.35">
      <c r="A113" s="45"/>
      <c r="B113" s="26"/>
      <c r="C113" s="2"/>
      <c r="D113" s="2"/>
      <c r="E113" s="2"/>
      <c r="F113" s="2"/>
      <c r="G113" s="27"/>
      <c r="H113" s="26"/>
      <c r="I113" s="2"/>
      <c r="J113" s="2"/>
      <c r="K113" s="27"/>
      <c r="L113" s="26"/>
      <c r="M113" s="27"/>
      <c r="N113" s="5"/>
    </row>
    <row r="114" spans="1:14" ht="15.5" hidden="1" x14ac:dyDescent="0.35">
      <c r="A114" s="45"/>
      <c r="B114" s="26"/>
      <c r="C114" s="2"/>
      <c r="D114" s="2"/>
      <c r="E114" s="2"/>
      <c r="F114" s="2"/>
      <c r="G114" s="27"/>
      <c r="H114" s="26"/>
      <c r="I114" s="2"/>
      <c r="J114" s="2"/>
      <c r="K114" s="27"/>
      <c r="L114" s="26"/>
      <c r="M114" s="27"/>
      <c r="N114" s="5"/>
    </row>
    <row r="115" spans="1:14" ht="15.5" hidden="1" x14ac:dyDescent="0.35">
      <c r="A115" s="45"/>
      <c r="B115" s="26"/>
      <c r="C115" s="2"/>
      <c r="D115" s="2"/>
      <c r="E115" s="2"/>
      <c r="F115" s="2"/>
      <c r="G115" s="27"/>
      <c r="H115" s="26"/>
      <c r="I115" s="2"/>
      <c r="J115" s="2"/>
      <c r="K115" s="27"/>
      <c r="L115" s="26"/>
      <c r="M115" s="27"/>
      <c r="N115" s="5"/>
    </row>
    <row r="116" spans="1:14" ht="15.5" hidden="1" x14ac:dyDescent="0.35">
      <c r="A116" s="45"/>
      <c r="B116" s="26"/>
      <c r="C116" s="2"/>
      <c r="D116" s="2"/>
      <c r="E116" s="2"/>
      <c r="F116" s="2"/>
      <c r="G116" s="27"/>
      <c r="H116" s="26"/>
      <c r="I116" s="2"/>
      <c r="J116" s="2"/>
      <c r="K116" s="27"/>
      <c r="L116" s="26"/>
      <c r="M116" s="27"/>
      <c r="N116" s="5"/>
    </row>
    <row r="117" spans="1:14" ht="15.5" hidden="1" x14ac:dyDescent="0.35">
      <c r="A117" s="45"/>
      <c r="B117" s="26"/>
      <c r="C117" s="2"/>
      <c r="D117" s="2"/>
      <c r="E117" s="2"/>
      <c r="F117" s="2"/>
      <c r="G117" s="27"/>
      <c r="H117" s="26"/>
      <c r="I117" s="2"/>
      <c r="J117" s="2"/>
      <c r="K117" s="27"/>
      <c r="L117" s="26"/>
      <c r="M117" s="27"/>
      <c r="N117" s="5"/>
    </row>
    <row r="118" spans="1:14" ht="15.5" hidden="1" x14ac:dyDescent="0.35">
      <c r="A118" s="45"/>
      <c r="B118" s="26"/>
      <c r="C118" s="2"/>
      <c r="D118" s="2"/>
      <c r="E118" s="2"/>
      <c r="F118" s="2"/>
      <c r="G118" s="27"/>
      <c r="H118" s="26"/>
      <c r="I118" s="2"/>
      <c r="J118" s="2"/>
      <c r="K118" s="27"/>
      <c r="L118" s="26"/>
      <c r="M118" s="27"/>
      <c r="N118" s="5"/>
    </row>
    <row r="119" spans="1:14" ht="15.5" hidden="1" x14ac:dyDescent="0.35">
      <c r="A119" s="45"/>
      <c r="B119" s="26"/>
      <c r="C119" s="2"/>
      <c r="D119" s="2"/>
      <c r="E119" s="2"/>
      <c r="F119" s="2"/>
      <c r="G119" s="27"/>
      <c r="H119" s="26"/>
      <c r="I119" s="2"/>
      <c r="J119" s="2"/>
      <c r="K119" s="27"/>
      <c r="L119" s="26"/>
      <c r="M119" s="27"/>
      <c r="N119" s="5"/>
    </row>
    <row r="120" spans="1:14" ht="15.5" hidden="1" x14ac:dyDescent="0.35">
      <c r="A120" s="45"/>
      <c r="B120" s="26"/>
      <c r="C120" s="2"/>
      <c r="D120" s="2"/>
      <c r="E120" s="2"/>
      <c r="F120" s="2"/>
      <c r="G120" s="27"/>
      <c r="H120" s="26"/>
      <c r="I120" s="2"/>
      <c r="J120" s="2"/>
      <c r="K120" s="27"/>
      <c r="L120" s="26"/>
      <c r="M120" s="27"/>
      <c r="N120" s="5"/>
    </row>
    <row r="121" spans="1:14" ht="15.5" hidden="1" x14ac:dyDescent="0.35">
      <c r="A121" s="37"/>
      <c r="B121" s="24"/>
      <c r="C121" s="18"/>
      <c r="D121" s="18"/>
      <c r="E121" s="18"/>
      <c r="F121" s="18"/>
      <c r="G121" s="19"/>
      <c r="H121" s="24"/>
      <c r="I121" s="18"/>
      <c r="J121" s="18"/>
      <c r="K121" s="19"/>
      <c r="L121" s="24"/>
      <c r="M121" s="19"/>
      <c r="N121" s="5"/>
    </row>
    <row r="122" spans="1:14" ht="115.5" customHeight="1" x14ac:dyDescent="0.35">
      <c r="A122" s="34" t="s">
        <v>138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139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2"/>
    </row>
    <row r="125" spans="1:14" ht="46.5" x14ac:dyDescent="0.35">
      <c r="A125" s="46" t="s">
        <v>140</v>
      </c>
      <c r="B125" s="47" t="s">
        <v>141</v>
      </c>
      <c r="C125" s="8"/>
      <c r="D125" s="8"/>
      <c r="E125" s="8"/>
      <c r="F125" s="8"/>
      <c r="G125" s="10"/>
      <c r="H125" s="47" t="s">
        <v>142</v>
      </c>
      <c r="I125" s="8"/>
      <c r="J125" s="8"/>
      <c r="K125" s="10"/>
      <c r="L125" s="48" t="s">
        <v>143</v>
      </c>
      <c r="M125" s="10"/>
      <c r="N125" s="5"/>
    </row>
    <row r="126" spans="1:14" ht="15.5" x14ac:dyDescent="0.35">
      <c r="A126" s="49" t="s">
        <v>144</v>
      </c>
      <c r="B126" s="50" t="s">
        <v>145</v>
      </c>
      <c r="C126" s="14"/>
      <c r="D126" s="14"/>
      <c r="E126" s="14"/>
      <c r="F126" s="14"/>
      <c r="G126" s="15"/>
      <c r="H126" s="51"/>
      <c r="I126" s="8"/>
      <c r="J126" s="8"/>
      <c r="K126" s="52"/>
      <c r="L126" s="53">
        <f>1-SUM(L129:M131)</f>
        <v>0.75</v>
      </c>
      <c r="M126" s="15"/>
      <c r="N126" s="5"/>
    </row>
    <row r="127" spans="1:14" ht="15.5" x14ac:dyDescent="0.35">
      <c r="A127" s="45"/>
      <c r="B127" s="26"/>
      <c r="C127" s="2"/>
      <c r="D127" s="2"/>
      <c r="E127" s="2"/>
      <c r="F127" s="2"/>
      <c r="G127" s="27"/>
      <c r="H127" s="54" t="s">
        <v>146</v>
      </c>
      <c r="I127" s="8"/>
      <c r="J127" s="8"/>
      <c r="K127" s="52" t="s">
        <v>147</v>
      </c>
      <c r="L127" s="26"/>
      <c r="M127" s="27"/>
      <c r="N127" s="5"/>
    </row>
    <row r="128" spans="1:14" ht="60" customHeight="1" x14ac:dyDescent="0.35">
      <c r="A128" s="37"/>
      <c r="B128" s="24"/>
      <c r="C128" s="18"/>
      <c r="D128" s="18"/>
      <c r="E128" s="18"/>
      <c r="F128" s="18"/>
      <c r="G128" s="19"/>
      <c r="H128" s="54" t="s">
        <v>148</v>
      </c>
      <c r="I128" s="8"/>
      <c r="J128" s="8"/>
      <c r="K128" s="52" t="s">
        <v>147</v>
      </c>
      <c r="L128" s="24"/>
      <c r="M128" s="19"/>
      <c r="N128" s="5"/>
    </row>
    <row r="129" spans="1:14" ht="68.25" hidden="1" customHeight="1" x14ac:dyDescent="0.35">
      <c r="A129" s="46" t="s">
        <v>149</v>
      </c>
      <c r="B129" s="54" t="s">
        <v>150</v>
      </c>
      <c r="C129" s="8"/>
      <c r="D129" s="8"/>
      <c r="E129" s="8"/>
      <c r="F129" s="8"/>
      <c r="G129" s="10"/>
      <c r="H129" s="54"/>
      <c r="I129" s="8"/>
      <c r="J129" s="8"/>
      <c r="K129" s="10"/>
      <c r="L129" s="55"/>
      <c r="M129" s="10"/>
      <c r="N129" s="5"/>
    </row>
    <row r="130" spans="1:14" ht="46.5" x14ac:dyDescent="0.35">
      <c r="A130" s="46" t="s">
        <v>151</v>
      </c>
      <c r="B130" s="54" t="s">
        <v>152</v>
      </c>
      <c r="C130" s="8"/>
      <c r="D130" s="8"/>
      <c r="E130" s="8"/>
      <c r="F130" s="8"/>
      <c r="G130" s="10"/>
      <c r="H130" s="54" t="s">
        <v>153</v>
      </c>
      <c r="I130" s="8"/>
      <c r="J130" s="8"/>
      <c r="K130" s="10"/>
      <c r="L130" s="55">
        <v>0.25</v>
      </c>
      <c r="M130" s="10"/>
      <c r="N130" s="5"/>
    </row>
    <row r="131" spans="1:14" ht="31" hidden="1" x14ac:dyDescent="0.35">
      <c r="A131" s="46" t="s">
        <v>154</v>
      </c>
      <c r="B131" s="56" t="s">
        <v>155</v>
      </c>
      <c r="C131" s="8"/>
      <c r="D131" s="8"/>
      <c r="E131" s="8"/>
      <c r="F131" s="8"/>
      <c r="G131" s="10"/>
      <c r="H131" s="54"/>
      <c r="I131" s="8"/>
      <c r="J131" s="8"/>
      <c r="K131" s="10"/>
      <c r="L131" s="42"/>
      <c r="M131" s="10"/>
      <c r="N131" s="5"/>
    </row>
    <row r="132" spans="1:14" ht="15.5" x14ac:dyDescent="0.35">
      <c r="A132" s="47" t="s">
        <v>156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6" t="s">
        <v>157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7" t="s">
        <v>158</v>
      </c>
      <c r="B135" s="10"/>
      <c r="C135" s="58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7" t="s">
        <v>159</v>
      </c>
      <c r="B137" s="10"/>
      <c r="C137" s="9" t="str">
        <f>E15</f>
        <v>Şef lucr.dr.ing.fiz. Aleodor-Daniel Ioan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9" t="s">
        <v>160</v>
      </c>
      <c r="B139" s="15"/>
      <c r="C139" s="9" t="str">
        <f t="shared" ref="C139:C141" si="0">E17</f>
        <v>Şef lucr.dr.ing.fiz. Aleodor-Daniel Ioan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6"/>
      <c r="B140" s="27"/>
      <c r="C140" s="9" t="str">
        <f t="shared" si="0"/>
        <v>Dr.ing. George Mihalache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customHeight="1" x14ac:dyDescent="0.35">
      <c r="A141" s="24"/>
      <c r="B141" s="19"/>
      <c r="C141" s="9" t="str">
        <f t="shared" si="0"/>
        <v>Ing. Sebastian Tonu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7" t="s">
        <v>161</v>
      </c>
      <c r="B143" s="10"/>
      <c r="C143" s="60">
        <f>[1]Date!C25</f>
        <v>45915</v>
      </c>
      <c r="D143" s="10"/>
      <c r="E143" s="57" t="s">
        <v>162</v>
      </c>
      <c r="F143" s="8"/>
      <c r="G143" s="10"/>
      <c r="H143" s="61" t="str">
        <f>[1]Date!C27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2"/>
      <c r="B144" s="62"/>
      <c r="C144" s="63"/>
      <c r="D144" s="63"/>
      <c r="E144" s="62"/>
      <c r="F144" s="62"/>
      <c r="G144" s="62"/>
      <c r="H144" s="63"/>
      <c r="I144" s="63"/>
      <c r="J144" s="63"/>
      <c r="K144" s="63"/>
      <c r="L144" s="63"/>
      <c r="M144" s="63"/>
      <c r="N144" s="5"/>
    </row>
    <row r="145" spans="1:14" ht="28.5" customHeight="1" x14ac:dyDescent="0.35">
      <c r="A145" s="57" t="s">
        <v>163</v>
      </c>
      <c r="B145" s="10"/>
      <c r="C145" s="60">
        <f>[1]Date!C26</f>
        <v>45918</v>
      </c>
      <c r="D145" s="10"/>
      <c r="E145" s="57" t="s">
        <v>164</v>
      </c>
      <c r="F145" s="8"/>
      <c r="G145" s="10"/>
      <c r="H145" s="61" t="str">
        <f>[1]Date!C28</f>
        <v>Prof.univ.dr.ing. Adrian BURLACU</v>
      </c>
      <c r="I145" s="8"/>
      <c r="J145" s="8"/>
      <c r="K145" s="8"/>
      <c r="L145" s="8"/>
      <c r="M145" s="10"/>
      <c r="N145" s="5"/>
    </row>
  </sheetData>
  <mergeCells count="20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6"/>
    <mergeCell ref="L126:M128"/>
    <mergeCell ref="H127:J127"/>
    <mergeCell ref="H128:J128"/>
    <mergeCell ref="A108:A121"/>
    <mergeCell ref="B108:G121"/>
    <mergeCell ref="H108:K121"/>
    <mergeCell ref="L108:M121"/>
    <mergeCell ref="A122:M122"/>
    <mergeCell ref="A124:M124"/>
    <mergeCell ref="B105:G105"/>
    <mergeCell ref="L105:M105"/>
    <mergeCell ref="B106:G106"/>
    <mergeCell ref="L106:M106"/>
    <mergeCell ref="A107:G107"/>
    <mergeCell ref="H107:K107"/>
    <mergeCell ref="L107:M107"/>
    <mergeCell ref="B102:G102"/>
    <mergeCell ref="L102:M102"/>
    <mergeCell ref="B103:G103"/>
    <mergeCell ref="L103:M103"/>
    <mergeCell ref="B104:G104"/>
    <mergeCell ref="L104:M104"/>
    <mergeCell ref="B99:G99"/>
    <mergeCell ref="L99:M99"/>
    <mergeCell ref="B100:G100"/>
    <mergeCell ref="L100:M100"/>
    <mergeCell ref="B101:G101"/>
    <mergeCell ref="L101:M101"/>
    <mergeCell ref="B96:G96"/>
    <mergeCell ref="L96:M96"/>
    <mergeCell ref="B97:G97"/>
    <mergeCell ref="L97:M97"/>
    <mergeCell ref="B98:G98"/>
    <mergeCell ref="L98:M98"/>
    <mergeCell ref="A92:G92"/>
    <mergeCell ref="H92:K92"/>
    <mergeCell ref="L92:M92"/>
    <mergeCell ref="B93:G93"/>
    <mergeCell ref="H93:K106"/>
    <mergeCell ref="L93:M93"/>
    <mergeCell ref="B94:G94"/>
    <mergeCell ref="L94:M94"/>
    <mergeCell ref="B95:G95"/>
    <mergeCell ref="L95:M95"/>
    <mergeCell ref="A76:M76"/>
    <mergeCell ref="A77:G77"/>
    <mergeCell ref="H77:K77"/>
    <mergeCell ref="L77:M77"/>
    <mergeCell ref="A78:A91"/>
    <mergeCell ref="B78:G91"/>
    <mergeCell ref="H78:K91"/>
    <mergeCell ref="L78:M91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2026-03-01T09:00:58Z</dcterms:created>
  <dcterms:modified xsi:type="dcterms:W3CDTF">2026-03-01T09:01:01Z</dcterms:modified>
</cp:coreProperties>
</file>