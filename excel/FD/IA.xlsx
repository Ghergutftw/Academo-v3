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784E0714-E7B4-4414-B87C-6B3E0A790FE2}" xr6:coauthVersionLast="47" xr6:coauthVersionMax="47" xr10:uidLastSave="{00000000-0000-0000-0000-000000000000}"/>
  <bookViews>
    <workbookView xWindow="-110" yWindow="-110" windowWidth="25820" windowHeight="15500" xr2:uid="{D2E4CE0A-C485-478F-B0DB-A648197C8A79}"/>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I26" i="1" a="1"/>
  <c r="I26" i="1" s="1"/>
  <c r="I27" i="1" s="1"/>
  <c r="C23" i="1"/>
  <c r="E14" i="1" a="1"/>
  <c r="E14" i="1" s="1"/>
  <c r="C9" i="1"/>
  <c r="C8" i="1"/>
  <c r="C7" i="1"/>
  <c r="A2" i="1"/>
  <c r="E13" i="1" l="1" a="1"/>
  <c r="E13" i="1" s="1"/>
  <c r="G26" i="1" a="1"/>
  <c r="G26" i="1" s="1"/>
  <c r="G27" i="1" s="1"/>
  <c r="K26" i="1" a="1"/>
  <c r="K26" i="1" s="1"/>
  <c r="K27" i="1" s="1"/>
  <c r="E23" i="1" a="1"/>
  <c r="E23" i="1" s="1"/>
  <c r="M14" i="1" a="1"/>
  <c r="M14"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3020AD7C-3677-40FD-9B59-904902630B85}">
      <text>
        <r>
          <rPr>
            <sz val="10"/>
            <color rgb="FF000000"/>
            <rFont val="Aptos Narrow"/>
            <scheme val="minor"/>
          </rPr>
          <t>Pondere din nota de la E / V</t>
        </r>
      </text>
    </comment>
    <comment ref="K127" authorId="0" shapeId="0" xr:uid="{9FD4A31D-092D-4FED-A782-52F0B12B5331}">
      <text>
        <r>
          <rPr>
            <sz val="10"/>
            <color rgb="FF000000"/>
            <rFont val="Aptos Narrow"/>
            <scheme val="minor"/>
          </rPr>
          <t>Pondere din nota de la E / V</t>
        </r>
      </text>
    </comment>
    <comment ref="K128" authorId="0" shapeId="0" xr:uid="{AE9627E8-4F4B-4CA4-88F5-FB6363498C7B}">
      <text>
        <r>
          <rPr>
            <sz val="10"/>
            <color rgb="FF000000"/>
            <rFont val="Aptos Narrow"/>
            <scheme val="minor"/>
          </rPr>
          <t>Pondere din nota de la E / V</t>
        </r>
      </text>
    </comment>
  </commentList>
</comments>
</file>

<file path=xl/sharedStrings.xml><?xml version="1.0" encoding="utf-8"?>
<sst xmlns="http://schemas.openxmlformats.org/spreadsheetml/2006/main" count="204" uniqueCount="154">
  <si>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</si>
  <si>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</si>
  <si>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</si>
  <si>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</si>
  <si>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</si>
  <si>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</si>
  <si>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</si>
  <si>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</si>
  <si>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</si>
  <si>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</si>
  <si>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</si>
  <si>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</si>
  <si>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</si>
  <si>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Introducere în automatică</t>
  </si>
  <si>
    <t>(în limba engleză, conform Suplimentului la diplomă)</t>
  </si>
  <si>
    <t>2.1.2. Codul disciplinei</t>
  </si>
  <si>
    <t xml:space="preserve">2.1.3. Categoria formativă </t>
  </si>
  <si>
    <t>2.2 Titularul / titularii activităţilor de curs</t>
  </si>
  <si>
    <t xml:space="preserve">Conf. dr. ing. Cristina Budaciu </t>
  </si>
  <si>
    <t>2.3 Titularul / titularii activităţilor de aplicaţii (S, L, P, Pr)</t>
  </si>
  <si>
    <t>Asist. dr. Sofia Huștiu</t>
  </si>
  <si>
    <t>Asist.dr. Codrin Lupașcu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</si>
  <si>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</si>
  <si>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</si>
  <si>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</si>
  <si>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</si>
  <si>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</si>
  <si>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</si>
  <si>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</si>
  <si>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</si>
  <si>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</si>
  <si>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</si>
  <si>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</si>
  <si>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</si>
  <si>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</si>
  <si>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</si>
  <si>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</si>
  <si>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</si>
  <si>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</si>
  <si>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</si>
  <si>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</si>
  <si>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</si>
  <si>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</si>
  <si>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</si>
  <si>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</si>
  <si>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</si>
  <si>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</si>
  <si>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</si>
  <si>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</si>
  <si>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</si>
  <si>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</si>
  <si>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</si>
  <si>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</si>
  <si>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utilizare algebră și analiză matematică; utilizare ecuaţii diferenţiale şi calcul operaţional; utilizarea cunoștințelor de modelare a sistemelor fizice și din electrotehnică</t>
  </si>
  <si>
    <t>5. Condiţii</t>
  </si>
  <si>
    <t>5.1 de desfăşurare a cursului</t>
  </si>
  <si>
    <t>Cursul se desfășoară într-un amfiteatru echipat cu videoproiector și tabla de scris.</t>
  </si>
  <si>
    <t>5.2 de desfăşurare a seminarului / laboratorului / proiectului</t>
  </si>
  <si>
    <t>Laboratorul se desfășoară într-o sală dedicată lucrărilor practice echipată cu tablă, calculatoare și machete de laborator</t>
  </si>
  <si>
    <t>6. Obiectivul general al disciplinei</t>
  </si>
  <si>
    <t>Disciplina este teoretic-aplicativă, de introducere a cunoştinţelor de bază din automatică şi de formare în scopul utilizării acestor cunoştinţe în analiza, proiectarea și realizarea sistemelor automate monovariabile.</t>
  </si>
  <si>
    <t>7. Rezultatele învățării</t>
  </si>
  <si>
    <t>Cunoștințe</t>
  </si>
  <si>
    <t>Studentul / Absolventul:</t>
  </si>
  <si>
    <t xml:space="preserve">- definește și explică semnificația pentru semnale de intrare și ieșire care sunt accesibile măsurării sau înregistrării pentru orice tip de sistem, precum și elementele unui sistem automat.
- recunoaște imaginea Laplace a unui semnal folosind proprietățile, teoremele și dicționarul cu transformate Laplace uzuale. Studentul definește și explică proprietățile semnalului în domeniul timp, analizate din examinarea imaginilor Laplace, fără calculul propriu-zis al semnalului original.
- definește și explică concepte legate de reprezentări/modele intrare-ieșire, modele intrare-stare-ieșire și reprezentări de tip diagrama bloc.
- explică utilitatea modelării matematice a sistemelor dinamice. 
- definește și deduce funcțiile de transfer echivalente, considerând diagrame bloc definite prin conexiuni standard.
- analizează stabilitatea externă și identifică performanțele de regim staționar și tranzitoriu pe răspunsul indicial.
- definește și explică răspunsul în frecvență, caracteristicile de filtrare ale semnalelor și aplică regulile de trasare a Diagramei Bode pe scara logaritmică a pulsațiilor.                                                                                                                                                                                                                                        </t>
  </si>
  <si>
    <t>Aptitudini</t>
  </si>
  <si>
    <t>- identifică semnale de intrare și ieșire care sunt accesibile măsurării sau înregistrării pentru orice tip de sistem, precum și elementele unui sistem automat.                                                                                                                                                                                                                                   - distinge și schițează tipurile de modele matematice, precum și mărimile de interes (intrări, stări și ieșiri) dintr-un sistem dinamic liniar, determină funcția de transfer dintr-o ecuație diferențială și viceversa, precum și din modelele pe stare ale unui sistem liniar monovariabil.
- identifică performanțele de regim tranzitoriu și permanent din evoluția grafică a răspunsului indicial, rezultate obținute folosind instrumente Matlab/Simulink.                                                                                                                                                                                                                        - clasifică polii și zerourile funcției de transfer în două categorii: îndepărtați și apropiați/dominanți și analizează influența acestora asupra dinamicii sistemului.
- proiectează și construiește structura de reglare automată, rolul regulatorului și acordarea parametrilor regulatorului PID (Proporțional, Integrator, Derivativ) folosind două metode experimentale bazate atât pe răspunsul procesului la semnal treaptă, cât și pe comportarea în circuit închis - la limita de stabilitate.                                                                                                                                                                                                                            - identifică caracteristicile de filtrare ale unui sistem dinamic liniar de pe diagrama Bode pe care o schițează parcurgând anumiți pași pentru trasarea caracteristicii Atenuare si Faza.
- interpretează informaţiile furnizate de diagrama Bode din perspectiva performanțelor răspunsului sistemului.
- testează performanțele de reglare a sistemului automat pe răspunsul indicial obținut  cu regulatorul proiectat folosind două metode experimentale ale lui Ziegler-Nichols bazate atât pe răspunsul procesului la semnal treaptă, cât și pe comportarea în circuit închis - la limita de stabilitate</t>
  </si>
  <si>
    <t>Responsabilitate și autonomie</t>
  </si>
  <si>
    <t xml:space="preserve">- urmărește și identifică noțiuni general acceptate și demonstrate în teorie și exersează rezolvarea problemelor propuse
- propune și alege metode de proiectare pentru modificarea  parametrilor de acord ai unui regulator de tip PID pentru un sistem de control a turației unui motor de curent continuu - macheta laborator GUNT.  
- demonstrează responsabilitate în documentarea corectă și interpretarea rezultatelor obținute
- manevrează instrumente software pentru implementare și vizualizare grafică.  </t>
  </si>
  <si>
    <t xml:space="preserve">8. Metode de predare </t>
  </si>
  <si>
    <t>Prezentarea materialelor de curs folosind videoproiector corelată cu dialog permanent cu studenții și fixarea informațiilor esențiale prin notarea pe tabla.</t>
  </si>
  <si>
    <t>9. Conţinuturi</t>
  </si>
  <si>
    <t>9.1. Curs</t>
  </si>
  <si>
    <t>Metode de predare</t>
  </si>
  <si>
    <t>Timp alocat</t>
  </si>
  <si>
    <t>1</t>
  </si>
  <si>
    <t>Obiectivul general al disciplinei, prezentarea conținutului disciplinei, rezultatele învățării, legături cu alte discipline și modul de organizare și evaluare.                                                                                                  Conceptele de semnal, sistem şi model                                                                                                                                                              - Conceptele de semnal, sistem şi model. 
- Conceptul de sistem automat</t>
  </si>
  <si>
    <t>2</t>
  </si>
  <si>
    <t>Descrierea matematică a semnalelor continue, deterministe                                             - Reprezentarea semnalelor în domeniul timp
- Reprezentarea semnalelor în domeniul complex
- Conexiuni între proprietăţile semnalului descris în domeniul timp şi localizarea polilor imaginii Laplace.</t>
  </si>
  <si>
    <t>3</t>
  </si>
  <si>
    <t>- Reprezentări liniare intrare - stare – ieşire
- Reprezentări liniare intrare - ieşire
- Reprezentări de tip diagramă (schemă) bloc
- Viziune de ansamblu asupra utilizării modelelor liniare
- Simularea modelelor matematice în mediul software MATLAB-Simulink</t>
  </si>
  <si>
    <t>4</t>
  </si>
  <si>
    <t>- Reprezentări (modele) în domeniul complex de tip funcţie de transfer și semnificaţia acesteia ca imagine Laplace.                                                                                                           - Construcţia de la model de stare la funcţie de transfer și viceversa.
- Modele în domeniul timp de tip ecuaţie diferenţială de ordin superior. Conexiunea funcţie de transfer – ecuaţie diferenţială
- Reprezentări (modele) în domeniul frecvenţă</t>
  </si>
  <si>
    <t>5</t>
  </si>
  <si>
    <t>Modele de tip diagramă (schemă) bloc.                                                            - Definirea diagramelor bloc si tipuri de blocuri constitutive
- Funcţia de transfer echivalentă a unei diagrame bloc definita printr-o conexiune standard (serie, paralel, reactie inversa)
- Funcţia de transfer echivalentă a unei diagrame bloc cu diverse tipuri de conexiuni</t>
  </si>
  <si>
    <t>6</t>
  </si>
  <si>
    <t xml:space="preserve">Analiza stabilităţii externe                                                                                                                                                                                                           - Conceptul de stabilitate externă                                                                                                                                                                                             - Analiza stabilităţii pe baza poziţiei polilor funcţiei de transfer                                                                                                                                                   - Analiza stabilităţii externe pe baza răspunsului sistemului la semnale treaptă                                                                                                                      - Stabilitatea relativa (conceptele de grad de stabilitate si margine/rezerva de stabilitate) </t>
  </si>
  <si>
    <t>7</t>
  </si>
  <si>
    <t xml:space="preserve">Analiza dinamicii sistemelor                                                                                          
- Analiza performanţelor în domeniul timp 
- Proprietăţi specifice sistemelor liniare cu structură în buclă închisă (circuit inchis) şi reacţie unitară </t>
  </si>
  <si>
    <t>8</t>
  </si>
  <si>
    <t xml:space="preserve">- Configuraţii sistemice cu poli dominanţi şi poli indepărtaţi, zerouri dominante şi zerouri îndepărtate                                                                                                       - Poli dominanţi şi poli îndepărtaţi                                                                                                                                                                                            - Influența polilor și a zerourilor asupra răspunsului indicial
</t>
  </si>
  <si>
    <t>9</t>
  </si>
  <si>
    <t xml:space="preserve">Analiza performanţelor în domeniul frecvenţă                                        
Răspunsul la semnale de test sinusoidale – caracteristica de filtru                                                                                                                                          - Reprezentări grafice ale răspunsului la frecvenţă, Locul de transfer (diagrama Nyquist)                                                                                                                      - Studiul stabilităţii unui sistem în circuit închis pe baza răspunsului la frecvenţă a sistemului în circuit deschis (Criteriul Nyquit de stabilitate)                                          - Elemente compensatoare cu avans sau/şi întârziere de fază
</t>
  </si>
  <si>
    <t>10</t>
  </si>
  <si>
    <t>Analiza performanţelor în domeniul frecvenţă                                         
-  Diagrama Bode                                                                                                                                                                                                                     -  Marginea de fază și marginea de amplitudine
-  Faciltăţi pentru analiza în domeniul frecvenţă oferite de mediul MATLAB
-  Performanţe referitoare la comportarea în domeniul frecvenţă</t>
  </si>
  <si>
    <t>11</t>
  </si>
  <si>
    <t xml:space="preserve">        Noţiuni elementare de identificare                                                       
- Utilizarea răspunsului la semnal treaptă trasat experimental pentru stabilirea modelului parametric sub forma unei funcţii de transfer tipice                                       - Utilizarea diagramei Bode trasată experimental pentru stabilirea modelului parametric sub forma unei funcţii de transfer factorizate
</t>
  </si>
  <si>
    <t>12</t>
  </si>
  <si>
    <t>Conducerea automată a sistemelor utilizând legi de reglare continue                                                                                                                                      - Structura sistemelor de conducere bazate pe principiul erorii                                    - Legi de reglare tipizate, continue (Elementele fundamentale P, I şi D)</t>
  </si>
  <si>
    <t>13</t>
  </si>
  <si>
    <t xml:space="preserve">Conducerea automată a sistemelor utilizând legi de reglare continue                                                                                                                                            - Legi de reglare realizate prin conectarea în paralel a elementelor fundamentale
- Analiza legilor de reglare tipizate (în domeniul timp și frecvență)                                                                                                                                                 - Conducerea bazată pe legi de reglare tipizate ai căror parametri rezultă prin acordare folosind cele două metode experimentale ale lui Ziegler-Nichols bazate atât pe răspunsul procesului la semnal treaptă, cât și pe comportarea în circuit închis - la limita de stabilitate.
</t>
  </si>
  <si>
    <t>14</t>
  </si>
  <si>
    <t xml:space="preserve">Conducerea bazată pe legi de reglare tipizate ai căror parametri rezultă prin acordare folosind cele două metode experimentale ale lui Ziegler-Nichols </t>
  </si>
  <si>
    <r>
      <rPr>
        <sz val="12"/>
        <rFont val="Arial"/>
      </rPr>
      <t xml:space="preserve">
Bibliografie curs:
1.        O. Păstrăvanu, L. Ferariu, M. Kloetzer, C. Budaciu. Introducere în automatică. Fundamente teoretice și studii de caz (</t>
    </r>
    <r>
      <rPr>
        <u/>
        <sz val="12"/>
        <color rgb="FF1155CC"/>
        <rFont val="Arial"/>
      </rPr>
      <t>www.edu.tuiasi.ro</t>
    </r>
    <r>
      <rPr>
        <sz val="12"/>
        <rFont val="Arial"/>
      </rPr>
      <t>)
2.        M. Kloetzer, L. Mirea. O. Păstrăvanu, Sisteme liniare continue, Ed. Politehnium, Iasi, 2014                                                                                                                                                                                                                                                                                               3.        K. J. Åström, R. Murray, Feedback Systems. An Introduction for Scientists and Engineers, Second Edition, Princeton University Press, 2021 (</t>
    </r>
    <r>
      <rPr>
        <u/>
        <sz val="12"/>
        <color rgb="FF1155CC"/>
        <rFont val="Arial"/>
      </rPr>
      <t>https://www.cds.caltech.edu/~murray/books/AM08/pdf/fbs-public_24Jul2020.pdf</t>
    </r>
    <r>
      <rPr>
        <sz val="12"/>
        <rFont val="Arial"/>
      </rPr>
      <t xml:space="preserve"> )
4.        M. Voicu, Introducere in automatică (ed. II), Ed. Polirom, Iaşi, 2002
</t>
    </r>
  </si>
  <si>
    <t>9.2a Seminar</t>
  </si>
  <si>
    <t>Metode de lucru</t>
  </si>
  <si>
    <t>9.2b Laborator</t>
  </si>
  <si>
    <t>Prezentarea lucrărilor de laborator, modul de desfășurare și evaluare a activității la ședințele de laborator.                                                                                                                                                                                 Analizează funcționalitatea, specificațiile, cerințele unor sisteme (comportarea unui circuit RLC) și identifică mărimile de intrare, stare și ieșire.                                                                                                             Determină modelul intrare-stare-ieșire pornind de la principiile fizice în contextul mărimilor de intrare, stare și ieșire specificate.</t>
  </si>
  <si>
    <t>Aplicatiile se desfăşoară în concordanţă cronologică şi de conţinut cu prelegerile de curs. Se utilizează atât metode de lucru convenționale - rezolvarea pe hârtie a problemelor analitice propuse cât și software - mediul de lucru Matlab/Simulink. De asemenea este utilizată o machetă de laborator (GUNT) pentru controlul turației unui motor de curent continuu, aplicație în timp real ce utilizează o interfață grafică.</t>
  </si>
  <si>
    <t xml:space="preserve">Calculul analitic al imaginii Laplace a unui semnal reprezentat în domeniul timp  folosind proprietățile, teoremele și dicționarul cu transformate Laplace uzuale. </t>
  </si>
  <si>
    <t xml:space="preserve">Analiza și coreleția proprietăților semnalului descris în domeniul timp cu localizarea polilor imaginii Laplace.    </t>
  </si>
  <si>
    <t xml:space="preserve">Determinarea modelelor de tip funcție de transfer pornind de la modele intrare-stare-ieșire cunoscute (un circuit electric și un sistem mecanic cu masa resort și amortizor)  precum și analiza proprietăților semnalelor de ieșire. </t>
  </si>
  <si>
    <t xml:space="preserve">Simularea modelelor matematice în mediul software MATLAB-Simulink și calcul simbolic.      </t>
  </si>
  <si>
    <t xml:space="preserve">Studiul stabilității BIBO a unui sistem dinamic liniar conform cu teoremele și conditiile necesare și suficiente de stabilitate.       </t>
  </si>
  <si>
    <t>Analiza performanţelor corespunzătoare răspunsului indicial.</t>
  </si>
  <si>
    <t>Analiză a performanţelor corespunzătoare răspunsului indicial, utilizând atât calcul analitic pe baza formulelor de calcul cât și simularea numerică a răspunsului (valoarea de regim staţionar, valoarea suprareglării, timpul de răspuns pentru eroare de 5% și timp de creștere).</t>
  </si>
  <si>
    <t xml:space="preserve">Configurații cu poli dominanți, poli îndepărtați, zerouri dominante si zerouri indepartate.      </t>
  </si>
  <si>
    <t xml:space="preserve">Răspunsul la semnale de test sinusoidale                                                                                                                                                                                 - Reprezentări grafice ale răspunsului la frecvenţă. Trasarea analitică şi în Matlab a diagramei Bode, stabilirea pulsaţiile de taiere, analiza proprietăților de filtrare. </t>
  </si>
  <si>
    <t>- Analiza în frecvență a stabilității  sistemelor automate;marginea de fază și marginea de amplitudine.</t>
  </si>
  <si>
    <t xml:space="preserve">Implementarea și testarea în timp real a parametrilor regulatorului pentru un sistem de control a turației unui motor de curent continuu -macheta laborator GUNT.              </t>
  </si>
  <si>
    <t xml:space="preserve">Proiectarea software în Matlab/Simulink și testarea prin simulare a unui sistem automat cu o lege de reglare tipizată ai cărei parametri rezultă prin acordare. Pentru acordarea parametrilor regulatorului se  folosesc cele două metode experimentale ale lui Ziegler-Nichols bazate atât pe răspunsul procesului la semnal treaptă, cât și pe comportarea în circuit închis - la limita de stabilitate.    </t>
  </si>
  <si>
    <t>Sesiune de recuperări laboratoare</t>
  </si>
  <si>
    <t>9.2c Proiect</t>
  </si>
  <si>
    <r>
      <rPr>
        <sz val="12"/>
        <rFont val="Arial"/>
      </rPr>
      <t>Bibliografie aplicaţii (seminar / laborator / proiect):
1.        O. Păstrăvanu, L. Ferariu, M. Kloetzer, C. Budaciu. Introducere în automatică. Fundamente teoretice și studii de caz (www.edu.tuiasi.ro)
2.        M. Kloetzer, L. Mirea. O. Păstrăvanu, Sisteme liniare continue, Ed. Politehnium, Iasi, 2014                                                                                                                                                                                                                                                                                               3.        K. J. Åström, R. Murray, Feedback Systems. An Introduction for Scientists and Engineers, Second Edition, Princeton University Press, 2021 (</t>
    </r>
    <r>
      <rPr>
        <u/>
        <sz val="12"/>
        <color rgb="FF1155CC"/>
        <rFont val="Arial"/>
      </rPr>
      <t>https://www.cds.caltech.edu/~murray/books/AM08/pdf/fbs-public_24Jul2020.pdf</t>
    </r>
    <r>
      <rPr>
        <sz val="12"/>
        <rFont val="Arial"/>
      </rPr>
      <t xml:space="preserve"> )
4.        M. Voicu, L. Ferariu, O. Păstrăvanu, F. Schonberger, Introducere în automatica. Culegere de probleme, Ed. Matrix Rom, București, 1999
</t>
    </r>
  </si>
  <si>
    <t>10. Evaluare</t>
  </si>
  <si>
    <t>Tip activitate</t>
  </si>
  <si>
    <t>10.1 Criterii de evaluare</t>
  </si>
  <si>
    <t>10.2 Metode de evaluare</t>
  </si>
  <si>
    <t>10.3 Pondere din nota finală [%]</t>
  </si>
  <si>
    <t>10.4 Examen / Colocviu</t>
  </si>
  <si>
    <t>Completitudinea şi corectitudinea cunoştinţelor. 
Coerenţa logică, fluenţa și capacitatea de analiza.
Gradul de asimilare a limbajului de specialitate şi capacitatea de a valorifica abilităţile dobândite prin găsirea de soluții la problemele propuse.</t>
  </si>
  <si>
    <t>- observarea sistematică a studenţilor (teme individuale/ de echipă - temele trebuie efectuate în săptămâna dintre cursuri, pregătirea unui referat - studiu de caz).</t>
  </si>
  <si>
    <t>20%</t>
  </si>
  <si>
    <t>- test de evaluare formativ (verificări pe parcursul semestrului).</t>
  </si>
  <si>
    <t>- test de evaluare sumativ (verificare finală).</t>
  </si>
  <si>
    <t>60%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</si>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</sst>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4">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cds.caltech.edu/~murray/books/AM08/pdf/fbs-public_24Jul2020.pdf" TargetMode="External"/><Relationship Id="rId1" Type="http://schemas.openxmlformats.org/officeDocument/2006/relationships/hyperlink" Target="https://dicd.tuiasi.ro/ro/studenti/platforma-educationala/"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E755-7E38-4616-B62E-4EB743569E82}">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Fundamentals of Feedback Control</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AIA207</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2</v>
      </c>
      <c r="D23" s="28" t="s">
        <v>23</v>
      </c>
      <c r="E23" s="27">
        <f t="array" aca="1" ref="E23" ca="1">INDEX([1]Date!A8:A21, MATCH(E12,[1]Date!C8:C21,0),0)</f>
        <v>2</v>
      </c>
      <c r="F23" s="29" t="s">
        <v>24</v>
      </c>
      <c r="G23" s="8"/>
      <c r="H23" s="10"/>
      <c r="I23" s="22" t="str">
        <f t="array" aca="1" ref="I23" ca="1">INDEX([1]Date!M8:M21, MATCH(E12,[1]Date!C8:C21,0),0)</f>
        <v>E</v>
      </c>
      <c r="J23" s="29" t="s">
        <v>25</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5</v>
      </c>
      <c r="D26" s="28" t="s">
        <v>28</v>
      </c>
      <c r="E26" s="27">
        <f t="array" aca="1" ref="E26" ca="1">INDEX([1]Date!H8:H21, MATCH(E12,[1]Date!C8:C21,0),0)</f>
        <v>3</v>
      </c>
      <c r="F26" s="28" t="s">
        <v>29</v>
      </c>
      <c r="G26" s="27">
        <f t="array" aca="1" ref="G26" ca="1">INDEX([1]Date!I8:I21, MATCH(E12,[1]Date!C8:C21,0),0)</f>
        <v>0</v>
      </c>
      <c r="H26" s="28" t="s">
        <v>30</v>
      </c>
      <c r="I26" s="31">
        <f t="array" aca="1" ref="I26" ca="1">INDEX([1]Date!J8:J21, MATCH(E12,[1]Date!C8:C21,0),0)</f>
        <v>2</v>
      </c>
      <c r="J26" s="28" t="s">
        <v>31</v>
      </c>
      <c r="K26" s="27">
        <f t="array" aca="1" ref="K26" ca="1">INDEX([1]Date!K8:K21, MATCH(E12,[1]Date!C8:C21,0),0)</f>
        <v>0</v>
      </c>
      <c r="L26" s="7" t="s">
        <v>32</v>
      </c>
      <c r="M26" s="10"/>
      <c r="N26" s="30"/>
    </row>
    <row r="27" spans="1:14" ht="31" x14ac:dyDescent="0.35">
      <c r="A27" s="7" t="s">
        <v>33</v>
      </c>
      <c r="B27" s="10"/>
      <c r="C27" s="27">
        <f ca="1">C26*14</f>
        <v>70</v>
      </c>
      <c r="D27" s="28" t="s">
        <v>34</v>
      </c>
      <c r="E27" s="27">
        <f ca="1">E26*14</f>
        <v>42</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20</v>
      </c>
      <c r="N29" s="5"/>
    </row>
    <row r="30" spans="1:14" ht="15.5" x14ac:dyDescent="0.35">
      <c r="A30" s="7" t="s">
        <v>42</v>
      </c>
      <c r="B30" s="8"/>
      <c r="C30" s="8"/>
      <c r="D30" s="8"/>
      <c r="E30" s="8"/>
      <c r="F30" s="8"/>
      <c r="G30" s="8"/>
      <c r="H30" s="8"/>
      <c r="I30" s="8"/>
      <c r="J30" s="8"/>
      <c r="K30" s="8"/>
      <c r="L30" s="10"/>
      <c r="M30" s="32">
        <v>22</v>
      </c>
      <c r="N30" s="5"/>
    </row>
    <row r="31" spans="1:14" ht="15.5" x14ac:dyDescent="0.35">
      <c r="A31" s="7" t="s">
        <v>43</v>
      </c>
      <c r="B31" s="8"/>
      <c r="C31" s="8"/>
      <c r="D31" s="8"/>
      <c r="E31" s="8"/>
      <c r="F31" s="8"/>
      <c r="G31" s="8"/>
      <c r="H31" s="8"/>
      <c r="I31" s="8"/>
      <c r="J31" s="8"/>
      <c r="K31" s="8"/>
      <c r="L31" s="10"/>
      <c r="M31" s="32">
        <v>13</v>
      </c>
      <c r="N31" s="5"/>
    </row>
    <row r="32" spans="1:14" ht="15.5" x14ac:dyDescent="0.35">
      <c r="A32" s="7" t="s">
        <v>44</v>
      </c>
      <c r="B32" s="8"/>
      <c r="C32" s="8"/>
      <c r="D32" s="8"/>
      <c r="E32" s="8"/>
      <c r="F32" s="8"/>
      <c r="G32" s="8"/>
      <c r="H32" s="8"/>
      <c r="I32" s="8"/>
      <c r="J32" s="8"/>
      <c r="K32" s="8"/>
      <c r="L32" s="10"/>
      <c r="M32" s="27">
        <f t="array" aca="1" ref="M32" ca="1">IF(INDEX([1]Date!M8:M21, MATCH(E12,[1]Date!C8:C21,0),0)="E",3,0)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55</v>
      </c>
      <c r="D34" s="5"/>
      <c r="E34" s="5"/>
      <c r="F34" s="5"/>
      <c r="G34" s="5"/>
      <c r="H34" s="5"/>
      <c r="I34" s="5"/>
      <c r="J34" s="5"/>
      <c r="K34" s="5"/>
      <c r="L34" s="5"/>
      <c r="M34" s="5"/>
      <c r="N34" s="5"/>
    </row>
    <row r="35" spans="1:14" ht="15.5" x14ac:dyDescent="0.35">
      <c r="A35" s="7" t="s">
        <v>47</v>
      </c>
      <c r="B35" s="10"/>
      <c r="C35" s="27">
        <f ca="1">C27+C34</f>
        <v>125</v>
      </c>
      <c r="D35" s="5"/>
      <c r="E35" s="5"/>
      <c r="F35" s="5"/>
      <c r="G35" s="5"/>
      <c r="H35" s="5"/>
      <c r="I35" s="5"/>
      <c r="J35" s="5"/>
      <c r="K35" s="5"/>
      <c r="L35" s="5"/>
      <c r="M35" s="5"/>
      <c r="N35" s="5"/>
    </row>
    <row r="36" spans="1:14" ht="15.5" x14ac:dyDescent="0.35">
      <c r="A36" s="7" t="s">
        <v>48</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5.5"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97.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8" t="s">
        <v>72</v>
      </c>
      <c r="B61" s="8"/>
      <c r="C61" s="8"/>
      <c r="D61" s="8"/>
      <c r="E61" s="8"/>
      <c r="F61" s="8"/>
      <c r="G61" s="10"/>
      <c r="H61" s="38" t="s">
        <v>73</v>
      </c>
      <c r="I61" s="8"/>
      <c r="J61" s="8"/>
      <c r="K61" s="10"/>
      <c r="L61" s="38" t="s">
        <v>74</v>
      </c>
      <c r="M61" s="10"/>
      <c r="N61" s="30"/>
    </row>
    <row r="62" spans="1:14" ht="15.5" x14ac:dyDescent="0.35">
      <c r="A62" s="39" t="s">
        <v>75</v>
      </c>
      <c r="B62" s="23" t="s">
        <v>76</v>
      </c>
      <c r="C62" s="8"/>
      <c r="D62" s="8"/>
      <c r="E62" s="8"/>
      <c r="F62" s="8"/>
      <c r="G62" s="10"/>
      <c r="H62" s="40"/>
      <c r="I62" s="14"/>
      <c r="J62" s="14"/>
      <c r="K62" s="15"/>
      <c r="L62" s="41">
        <v>3</v>
      </c>
      <c r="M62" s="10"/>
      <c r="N62" s="5"/>
    </row>
    <row r="63" spans="1:14" ht="15.5" x14ac:dyDescent="0.35">
      <c r="A63" s="39" t="s">
        <v>77</v>
      </c>
      <c r="B63" s="23" t="s">
        <v>78</v>
      </c>
      <c r="C63" s="8"/>
      <c r="D63" s="8"/>
      <c r="E63" s="8"/>
      <c r="F63" s="8"/>
      <c r="G63" s="10"/>
      <c r="H63" s="25"/>
      <c r="I63" s="2"/>
      <c r="J63" s="2"/>
      <c r="K63" s="26"/>
      <c r="L63" s="41">
        <v>3</v>
      </c>
      <c r="M63" s="10"/>
      <c r="N63" s="5"/>
    </row>
    <row r="64" spans="1:14" ht="15.5" x14ac:dyDescent="0.35">
      <c r="A64" s="39" t="s">
        <v>79</v>
      </c>
      <c r="B64" s="23" t="s">
        <v>80</v>
      </c>
      <c r="C64" s="8"/>
      <c r="D64" s="8"/>
      <c r="E64" s="8"/>
      <c r="F64" s="8"/>
      <c r="G64" s="10"/>
      <c r="H64" s="25"/>
      <c r="I64" s="2"/>
      <c r="J64" s="2"/>
      <c r="K64" s="26"/>
      <c r="L64" s="41">
        <v>3</v>
      </c>
      <c r="M64" s="10"/>
      <c r="N64" s="5"/>
    </row>
    <row r="65" spans="1:14" ht="15.5" x14ac:dyDescent="0.35">
      <c r="A65" s="39" t="s">
        <v>81</v>
      </c>
      <c r="B65" s="23" t="s">
        <v>82</v>
      </c>
      <c r="C65" s="8"/>
      <c r="D65" s="8"/>
      <c r="E65" s="8"/>
      <c r="F65" s="8"/>
      <c r="G65" s="10"/>
      <c r="H65" s="25"/>
      <c r="I65" s="2"/>
      <c r="J65" s="2"/>
      <c r="K65" s="26"/>
      <c r="L65" s="41">
        <v>3</v>
      </c>
      <c r="M65" s="10"/>
      <c r="N65" s="5"/>
    </row>
    <row r="66" spans="1:14" ht="15.5" x14ac:dyDescent="0.35">
      <c r="A66" s="39" t="s">
        <v>83</v>
      </c>
      <c r="B66" s="23" t="s">
        <v>84</v>
      </c>
      <c r="C66" s="8"/>
      <c r="D66" s="8"/>
      <c r="E66" s="8"/>
      <c r="F66" s="8"/>
      <c r="G66" s="10"/>
      <c r="H66" s="25"/>
      <c r="I66" s="2"/>
      <c r="J66" s="2"/>
      <c r="K66" s="26"/>
      <c r="L66" s="41">
        <v>3</v>
      </c>
      <c r="M66" s="10"/>
      <c r="N66" s="5"/>
    </row>
    <row r="67" spans="1:14" ht="15.5" x14ac:dyDescent="0.35">
      <c r="A67" s="39" t="s">
        <v>85</v>
      </c>
      <c r="B67" s="23" t="s">
        <v>86</v>
      </c>
      <c r="C67" s="8"/>
      <c r="D67" s="8"/>
      <c r="E67" s="8"/>
      <c r="F67" s="8"/>
      <c r="G67" s="10"/>
      <c r="H67" s="25"/>
      <c r="I67" s="2"/>
      <c r="J67" s="2"/>
      <c r="K67" s="26"/>
      <c r="L67" s="41">
        <v>3</v>
      </c>
      <c r="M67" s="10"/>
      <c r="N67" s="5"/>
    </row>
    <row r="68" spans="1:14" ht="15.5" x14ac:dyDescent="0.35">
      <c r="A68" s="39" t="s">
        <v>87</v>
      </c>
      <c r="B68" s="23" t="s">
        <v>88</v>
      </c>
      <c r="C68" s="8"/>
      <c r="D68" s="8"/>
      <c r="E68" s="8"/>
      <c r="F68" s="8"/>
      <c r="G68" s="10"/>
      <c r="H68" s="25"/>
      <c r="I68" s="2"/>
      <c r="J68" s="2"/>
      <c r="K68" s="26"/>
      <c r="L68" s="41">
        <v>3</v>
      </c>
      <c r="M68" s="10"/>
      <c r="N68" s="5"/>
    </row>
    <row r="69" spans="1:14" ht="15.5" x14ac:dyDescent="0.35">
      <c r="A69" s="39" t="s">
        <v>89</v>
      </c>
      <c r="B69" s="23" t="s">
        <v>90</v>
      </c>
      <c r="C69" s="8"/>
      <c r="D69" s="8"/>
      <c r="E69" s="8"/>
      <c r="F69" s="8"/>
      <c r="G69" s="10"/>
      <c r="H69" s="25"/>
      <c r="I69" s="2"/>
      <c r="J69" s="2"/>
      <c r="K69" s="26"/>
      <c r="L69" s="41">
        <v>2</v>
      </c>
      <c r="M69" s="10"/>
      <c r="N69" s="5"/>
    </row>
    <row r="70" spans="1:14" ht="15.5" x14ac:dyDescent="0.35">
      <c r="A70" s="39" t="s">
        <v>91</v>
      </c>
      <c r="B70" s="23" t="s">
        <v>92</v>
      </c>
      <c r="C70" s="8"/>
      <c r="D70" s="8"/>
      <c r="E70" s="8"/>
      <c r="F70" s="8"/>
      <c r="G70" s="10"/>
      <c r="H70" s="25"/>
      <c r="I70" s="2"/>
      <c r="J70" s="2"/>
      <c r="K70" s="26"/>
      <c r="L70" s="41">
        <v>4</v>
      </c>
      <c r="M70" s="10"/>
      <c r="N70" s="5"/>
    </row>
    <row r="71" spans="1:14" ht="15.5" x14ac:dyDescent="0.35">
      <c r="A71" s="39" t="s">
        <v>93</v>
      </c>
      <c r="B71" s="23" t="s">
        <v>94</v>
      </c>
      <c r="C71" s="8"/>
      <c r="D71" s="8"/>
      <c r="E71" s="8"/>
      <c r="F71" s="8"/>
      <c r="G71" s="10"/>
      <c r="H71" s="25"/>
      <c r="I71" s="2"/>
      <c r="J71" s="2"/>
      <c r="K71" s="26"/>
      <c r="L71" s="41">
        <v>3</v>
      </c>
      <c r="M71" s="10"/>
      <c r="N71" s="5"/>
    </row>
    <row r="72" spans="1:14" ht="15.5" x14ac:dyDescent="0.35">
      <c r="A72" s="39" t="s">
        <v>95</v>
      </c>
      <c r="B72" s="23" t="s">
        <v>96</v>
      </c>
      <c r="C72" s="8"/>
      <c r="D72" s="8"/>
      <c r="E72" s="8"/>
      <c r="F72" s="8"/>
      <c r="G72" s="10"/>
      <c r="H72" s="25"/>
      <c r="I72" s="2"/>
      <c r="J72" s="2"/>
      <c r="K72" s="26"/>
      <c r="L72" s="41">
        <v>3</v>
      </c>
      <c r="M72" s="10"/>
      <c r="N72" s="5"/>
    </row>
    <row r="73" spans="1:14" ht="15.5" x14ac:dyDescent="0.35">
      <c r="A73" s="39" t="s">
        <v>97</v>
      </c>
      <c r="B73" s="23" t="s">
        <v>98</v>
      </c>
      <c r="C73" s="8"/>
      <c r="D73" s="8"/>
      <c r="E73" s="8"/>
      <c r="F73" s="8"/>
      <c r="G73" s="10"/>
      <c r="H73" s="25"/>
      <c r="I73" s="2"/>
      <c r="J73" s="2"/>
      <c r="K73" s="26"/>
      <c r="L73" s="41">
        <v>3</v>
      </c>
      <c r="M73" s="10"/>
      <c r="N73" s="5"/>
    </row>
    <row r="74" spans="1:14" ht="15.5" x14ac:dyDescent="0.35">
      <c r="A74" s="39" t="s">
        <v>99</v>
      </c>
      <c r="B74" s="23" t="s">
        <v>100</v>
      </c>
      <c r="C74" s="8"/>
      <c r="D74" s="8"/>
      <c r="E74" s="8"/>
      <c r="F74" s="8"/>
      <c r="G74" s="10"/>
      <c r="H74" s="25"/>
      <c r="I74" s="2"/>
      <c r="J74" s="2"/>
      <c r="K74" s="26"/>
      <c r="L74" s="41">
        <v>3</v>
      </c>
      <c r="M74" s="10"/>
      <c r="N74" s="5"/>
    </row>
    <row r="75" spans="1:14" ht="15.5" x14ac:dyDescent="0.35">
      <c r="A75" s="39" t="s">
        <v>101</v>
      </c>
      <c r="B75" s="23" t="s">
        <v>102</v>
      </c>
      <c r="C75" s="8"/>
      <c r="D75" s="8"/>
      <c r="E75" s="8"/>
      <c r="F75" s="8"/>
      <c r="G75" s="10"/>
      <c r="H75" s="24"/>
      <c r="I75" s="18"/>
      <c r="J75" s="18"/>
      <c r="K75" s="19"/>
      <c r="L75" s="41">
        <v>3</v>
      </c>
      <c r="M75" s="10"/>
      <c r="N75" s="5"/>
    </row>
    <row r="76" spans="1:14" ht="15.5" x14ac:dyDescent="0.35">
      <c r="A76" s="42" t="s">
        <v>103</v>
      </c>
      <c r="B76" s="8"/>
      <c r="C76" s="8"/>
      <c r="D76" s="8"/>
      <c r="E76" s="8"/>
      <c r="F76" s="8"/>
      <c r="G76" s="8"/>
      <c r="H76" s="8"/>
      <c r="I76" s="8"/>
      <c r="J76" s="8"/>
      <c r="K76" s="8"/>
      <c r="L76" s="8"/>
      <c r="M76" s="10"/>
      <c r="N76" s="5"/>
    </row>
    <row r="77" spans="1:14" ht="24.75" hidden="1" customHeight="1" x14ac:dyDescent="0.35">
      <c r="A77" s="38" t="s">
        <v>104</v>
      </c>
      <c r="B77" s="8"/>
      <c r="C77" s="8"/>
      <c r="D77" s="8"/>
      <c r="E77" s="8"/>
      <c r="F77" s="8"/>
      <c r="G77" s="10"/>
      <c r="H77" s="38" t="s">
        <v>105</v>
      </c>
      <c r="I77" s="8"/>
      <c r="J77" s="8"/>
      <c r="K77" s="10"/>
      <c r="L77" s="38" t="s">
        <v>74</v>
      </c>
      <c r="M77" s="10"/>
      <c r="N77" s="30"/>
    </row>
    <row r="78" spans="1:14" ht="15.5" hidden="1" x14ac:dyDescent="0.35">
      <c r="A78" s="39" t="s">
        <v>75</v>
      </c>
      <c r="B78" s="23"/>
      <c r="C78" s="8"/>
      <c r="D78" s="8"/>
      <c r="E78" s="8"/>
      <c r="F78" s="8"/>
      <c r="G78" s="10"/>
      <c r="H78" s="40"/>
      <c r="I78" s="14"/>
      <c r="J78" s="14"/>
      <c r="K78" s="15"/>
      <c r="L78" s="23"/>
      <c r="M78" s="10"/>
      <c r="N78" s="5"/>
    </row>
    <row r="79" spans="1:14" ht="15.5" hidden="1" x14ac:dyDescent="0.35">
      <c r="A79" s="39" t="s">
        <v>77</v>
      </c>
      <c r="B79" s="23"/>
      <c r="C79" s="8"/>
      <c r="D79" s="8"/>
      <c r="E79" s="8"/>
      <c r="F79" s="8"/>
      <c r="G79" s="10"/>
      <c r="H79" s="25"/>
      <c r="I79" s="2"/>
      <c r="J79" s="2"/>
      <c r="K79" s="26"/>
      <c r="L79" s="23"/>
      <c r="M79" s="10"/>
      <c r="N79" s="5"/>
    </row>
    <row r="80" spans="1:14" ht="15.5" hidden="1" x14ac:dyDescent="0.35">
      <c r="A80" s="39" t="s">
        <v>79</v>
      </c>
      <c r="B80" s="23"/>
      <c r="C80" s="8"/>
      <c r="D80" s="8"/>
      <c r="E80" s="8"/>
      <c r="F80" s="8"/>
      <c r="G80" s="10"/>
      <c r="H80" s="25"/>
      <c r="I80" s="2"/>
      <c r="J80" s="2"/>
      <c r="K80" s="26"/>
      <c r="L80" s="23"/>
      <c r="M80" s="10"/>
      <c r="N80" s="5"/>
    </row>
    <row r="81" spans="1:14" ht="15.5" hidden="1" x14ac:dyDescent="0.35">
      <c r="A81" s="39" t="s">
        <v>81</v>
      </c>
      <c r="B81" s="23"/>
      <c r="C81" s="8"/>
      <c r="D81" s="8"/>
      <c r="E81" s="8"/>
      <c r="F81" s="8"/>
      <c r="G81" s="10"/>
      <c r="H81" s="25"/>
      <c r="I81" s="2"/>
      <c r="J81" s="2"/>
      <c r="K81" s="26"/>
      <c r="L81" s="23"/>
      <c r="M81" s="10"/>
      <c r="N81" s="5"/>
    </row>
    <row r="82" spans="1:14" ht="15.5" hidden="1" x14ac:dyDescent="0.35">
      <c r="A82" s="39" t="s">
        <v>83</v>
      </c>
      <c r="B82" s="23"/>
      <c r="C82" s="8"/>
      <c r="D82" s="8"/>
      <c r="E82" s="8"/>
      <c r="F82" s="8"/>
      <c r="G82" s="10"/>
      <c r="H82" s="25"/>
      <c r="I82" s="2"/>
      <c r="J82" s="2"/>
      <c r="K82" s="26"/>
      <c r="L82" s="23"/>
      <c r="M82" s="10"/>
      <c r="N82" s="5"/>
    </row>
    <row r="83" spans="1:14" ht="15.5" hidden="1" x14ac:dyDescent="0.35">
      <c r="A83" s="39" t="s">
        <v>85</v>
      </c>
      <c r="B83" s="23"/>
      <c r="C83" s="8"/>
      <c r="D83" s="8"/>
      <c r="E83" s="8"/>
      <c r="F83" s="8"/>
      <c r="G83" s="10"/>
      <c r="H83" s="25"/>
      <c r="I83" s="2"/>
      <c r="J83" s="2"/>
      <c r="K83" s="26"/>
      <c r="L83" s="23"/>
      <c r="M83" s="10"/>
      <c r="N83" s="5"/>
    </row>
    <row r="84" spans="1:14" ht="15.5" hidden="1" x14ac:dyDescent="0.35">
      <c r="A84" s="39" t="s">
        <v>87</v>
      </c>
      <c r="B84" s="23"/>
      <c r="C84" s="8"/>
      <c r="D84" s="8"/>
      <c r="E84" s="8"/>
      <c r="F84" s="8"/>
      <c r="G84" s="10"/>
      <c r="H84" s="25"/>
      <c r="I84" s="2"/>
      <c r="J84" s="2"/>
      <c r="K84" s="26"/>
      <c r="L84" s="23"/>
      <c r="M84" s="10"/>
      <c r="N84" s="5"/>
    </row>
    <row r="85" spans="1:14" ht="15.5" hidden="1" x14ac:dyDescent="0.35">
      <c r="A85" s="39" t="s">
        <v>89</v>
      </c>
      <c r="B85" s="23"/>
      <c r="C85" s="8"/>
      <c r="D85" s="8"/>
      <c r="E85" s="8"/>
      <c r="F85" s="8"/>
      <c r="G85" s="10"/>
      <c r="H85" s="25"/>
      <c r="I85" s="2"/>
      <c r="J85" s="2"/>
      <c r="K85" s="26"/>
      <c r="L85" s="23"/>
      <c r="M85" s="10"/>
      <c r="N85" s="5"/>
    </row>
    <row r="86" spans="1:14" ht="15.5" hidden="1" x14ac:dyDescent="0.35">
      <c r="A86" s="39" t="s">
        <v>91</v>
      </c>
      <c r="B86" s="23"/>
      <c r="C86" s="8"/>
      <c r="D86" s="8"/>
      <c r="E86" s="8"/>
      <c r="F86" s="8"/>
      <c r="G86" s="10"/>
      <c r="H86" s="25"/>
      <c r="I86" s="2"/>
      <c r="J86" s="2"/>
      <c r="K86" s="26"/>
      <c r="L86" s="23"/>
      <c r="M86" s="10"/>
      <c r="N86" s="5"/>
    </row>
    <row r="87" spans="1:14" ht="15.5" hidden="1" x14ac:dyDescent="0.35">
      <c r="A87" s="39" t="s">
        <v>93</v>
      </c>
      <c r="B87" s="23"/>
      <c r="C87" s="8"/>
      <c r="D87" s="8"/>
      <c r="E87" s="8"/>
      <c r="F87" s="8"/>
      <c r="G87" s="10"/>
      <c r="H87" s="25"/>
      <c r="I87" s="2"/>
      <c r="J87" s="2"/>
      <c r="K87" s="26"/>
      <c r="L87" s="23"/>
      <c r="M87" s="10"/>
      <c r="N87" s="5"/>
    </row>
    <row r="88" spans="1:14" ht="15.5" hidden="1" x14ac:dyDescent="0.35">
      <c r="A88" s="39" t="s">
        <v>95</v>
      </c>
      <c r="B88" s="23"/>
      <c r="C88" s="8"/>
      <c r="D88" s="8"/>
      <c r="E88" s="8"/>
      <c r="F88" s="8"/>
      <c r="G88" s="10"/>
      <c r="H88" s="25"/>
      <c r="I88" s="2"/>
      <c r="J88" s="2"/>
      <c r="K88" s="26"/>
      <c r="L88" s="23"/>
      <c r="M88" s="10"/>
      <c r="N88" s="5"/>
    </row>
    <row r="89" spans="1:14" ht="15.5" hidden="1" x14ac:dyDescent="0.35">
      <c r="A89" s="39" t="s">
        <v>97</v>
      </c>
      <c r="B89" s="23"/>
      <c r="C89" s="8"/>
      <c r="D89" s="8"/>
      <c r="E89" s="8"/>
      <c r="F89" s="8"/>
      <c r="G89" s="10"/>
      <c r="H89" s="25"/>
      <c r="I89" s="2"/>
      <c r="J89" s="2"/>
      <c r="K89" s="26"/>
      <c r="L89" s="23"/>
      <c r="M89" s="10"/>
      <c r="N89" s="5"/>
    </row>
    <row r="90" spans="1:14" ht="15.5" hidden="1" x14ac:dyDescent="0.35">
      <c r="A90" s="39" t="s">
        <v>99</v>
      </c>
      <c r="B90" s="23"/>
      <c r="C90" s="8"/>
      <c r="D90" s="8"/>
      <c r="E90" s="8"/>
      <c r="F90" s="8"/>
      <c r="G90" s="10"/>
      <c r="H90" s="25"/>
      <c r="I90" s="2"/>
      <c r="J90" s="2"/>
      <c r="K90" s="26"/>
      <c r="L90" s="23"/>
      <c r="M90" s="10"/>
      <c r="N90" s="5"/>
    </row>
    <row r="91" spans="1:14" ht="15.5" hidden="1" x14ac:dyDescent="0.35">
      <c r="A91" s="39" t="s">
        <v>101</v>
      </c>
      <c r="B91" s="23"/>
      <c r="C91" s="8"/>
      <c r="D91" s="8"/>
      <c r="E91" s="8"/>
      <c r="F91" s="8"/>
      <c r="G91" s="10"/>
      <c r="H91" s="24"/>
      <c r="I91" s="18"/>
      <c r="J91" s="18"/>
      <c r="K91" s="19"/>
      <c r="L91" s="23"/>
      <c r="M91" s="10"/>
      <c r="N91" s="5"/>
    </row>
    <row r="92" spans="1:14" ht="24" customHeight="1" x14ac:dyDescent="0.35">
      <c r="A92" s="38" t="s">
        <v>106</v>
      </c>
      <c r="B92" s="8"/>
      <c r="C92" s="8"/>
      <c r="D92" s="8"/>
      <c r="E92" s="8"/>
      <c r="F92" s="8"/>
      <c r="G92" s="10"/>
      <c r="H92" s="38" t="s">
        <v>105</v>
      </c>
      <c r="I92" s="8"/>
      <c r="J92" s="8"/>
      <c r="K92" s="10"/>
      <c r="L92" s="38" t="s">
        <v>74</v>
      </c>
      <c r="M92" s="10"/>
      <c r="N92" s="30"/>
    </row>
    <row r="93" spans="1:14" ht="15.5" x14ac:dyDescent="0.35">
      <c r="A93" s="39" t="s">
        <v>75</v>
      </c>
      <c r="B93" s="23" t="s">
        <v>107</v>
      </c>
      <c r="C93" s="8"/>
      <c r="D93" s="8"/>
      <c r="E93" s="8"/>
      <c r="F93" s="8"/>
      <c r="G93" s="10"/>
      <c r="H93" s="40" t="s">
        <v>108</v>
      </c>
      <c r="I93" s="14"/>
      <c r="J93" s="14"/>
      <c r="K93" s="15"/>
      <c r="L93" s="41">
        <v>2</v>
      </c>
      <c r="M93" s="10"/>
      <c r="N93" s="5"/>
    </row>
    <row r="94" spans="1:14" ht="15.5" x14ac:dyDescent="0.35">
      <c r="A94" s="39" t="s">
        <v>77</v>
      </c>
      <c r="B94" s="23" t="s">
        <v>109</v>
      </c>
      <c r="C94" s="8"/>
      <c r="D94" s="8"/>
      <c r="E94" s="8"/>
      <c r="F94" s="8"/>
      <c r="G94" s="10"/>
      <c r="H94" s="25"/>
      <c r="I94" s="2"/>
      <c r="J94" s="2"/>
      <c r="K94" s="26"/>
      <c r="L94" s="41">
        <v>2</v>
      </c>
      <c r="M94" s="10"/>
      <c r="N94" s="5"/>
    </row>
    <row r="95" spans="1:14" ht="15.5" x14ac:dyDescent="0.35">
      <c r="A95" s="39" t="s">
        <v>79</v>
      </c>
      <c r="B95" s="23" t="s">
        <v>110</v>
      </c>
      <c r="C95" s="8"/>
      <c r="D95" s="8"/>
      <c r="E95" s="8"/>
      <c r="F95" s="8"/>
      <c r="G95" s="10"/>
      <c r="H95" s="25"/>
      <c r="I95" s="2"/>
      <c r="J95" s="2"/>
      <c r="K95" s="26"/>
      <c r="L95" s="41">
        <v>2</v>
      </c>
      <c r="M95" s="10"/>
      <c r="N95" s="5"/>
    </row>
    <row r="96" spans="1:14" ht="15.5" x14ac:dyDescent="0.35">
      <c r="A96" s="39" t="s">
        <v>81</v>
      </c>
      <c r="B96" s="23" t="s">
        <v>111</v>
      </c>
      <c r="C96" s="8"/>
      <c r="D96" s="8"/>
      <c r="E96" s="8"/>
      <c r="F96" s="8"/>
      <c r="G96" s="10"/>
      <c r="H96" s="25"/>
      <c r="I96" s="2"/>
      <c r="J96" s="2"/>
      <c r="K96" s="26"/>
      <c r="L96" s="41">
        <v>2</v>
      </c>
      <c r="M96" s="10"/>
      <c r="N96" s="5"/>
    </row>
    <row r="97" spans="1:14" ht="15.5" x14ac:dyDescent="0.35">
      <c r="A97" s="39" t="s">
        <v>83</v>
      </c>
      <c r="B97" s="23" t="s">
        <v>112</v>
      </c>
      <c r="C97" s="8"/>
      <c r="D97" s="8"/>
      <c r="E97" s="8"/>
      <c r="F97" s="8"/>
      <c r="G97" s="10"/>
      <c r="H97" s="25"/>
      <c r="I97" s="2"/>
      <c r="J97" s="2"/>
      <c r="K97" s="26"/>
      <c r="L97" s="41">
        <v>2</v>
      </c>
      <c r="M97" s="10"/>
      <c r="N97" s="5"/>
    </row>
    <row r="98" spans="1:14" ht="15.5" x14ac:dyDescent="0.35">
      <c r="A98" s="39" t="s">
        <v>85</v>
      </c>
      <c r="B98" s="23" t="s">
        <v>113</v>
      </c>
      <c r="C98" s="8"/>
      <c r="D98" s="8"/>
      <c r="E98" s="8"/>
      <c r="F98" s="8"/>
      <c r="G98" s="10"/>
      <c r="H98" s="25"/>
      <c r="I98" s="2"/>
      <c r="J98" s="2"/>
      <c r="K98" s="26"/>
      <c r="L98" s="41">
        <v>2</v>
      </c>
      <c r="M98" s="10"/>
      <c r="N98" s="5"/>
    </row>
    <row r="99" spans="1:14" ht="15.5" x14ac:dyDescent="0.35">
      <c r="A99" s="39" t="s">
        <v>87</v>
      </c>
      <c r="B99" s="23" t="s">
        <v>114</v>
      </c>
      <c r="C99" s="8"/>
      <c r="D99" s="8"/>
      <c r="E99" s="8"/>
      <c r="F99" s="8"/>
      <c r="G99" s="10"/>
      <c r="H99" s="25"/>
      <c r="I99" s="2"/>
      <c r="J99" s="2"/>
      <c r="K99" s="26"/>
      <c r="L99" s="41">
        <v>2</v>
      </c>
      <c r="M99" s="10"/>
      <c r="N99" s="5"/>
    </row>
    <row r="100" spans="1:14" ht="15.5" x14ac:dyDescent="0.35">
      <c r="A100" s="39" t="s">
        <v>89</v>
      </c>
      <c r="B100" s="23" t="s">
        <v>115</v>
      </c>
      <c r="C100" s="8"/>
      <c r="D100" s="8"/>
      <c r="E100" s="8"/>
      <c r="F100" s="8"/>
      <c r="G100" s="10"/>
      <c r="H100" s="25"/>
      <c r="I100" s="2"/>
      <c r="J100" s="2"/>
      <c r="K100" s="26"/>
      <c r="L100" s="41">
        <v>2</v>
      </c>
      <c r="M100" s="10"/>
      <c r="N100" s="5"/>
    </row>
    <row r="101" spans="1:14" ht="15.5" x14ac:dyDescent="0.35">
      <c r="A101" s="39" t="s">
        <v>91</v>
      </c>
      <c r="B101" s="23" t="s">
        <v>116</v>
      </c>
      <c r="C101" s="8"/>
      <c r="D101" s="8"/>
      <c r="E101" s="8"/>
      <c r="F101" s="8"/>
      <c r="G101" s="10"/>
      <c r="H101" s="25"/>
      <c r="I101" s="2"/>
      <c r="J101" s="2"/>
      <c r="K101" s="26"/>
      <c r="L101" s="41">
        <v>2</v>
      </c>
      <c r="M101" s="10"/>
      <c r="N101" s="5"/>
    </row>
    <row r="102" spans="1:14" ht="15.5" x14ac:dyDescent="0.35">
      <c r="A102" s="39" t="s">
        <v>93</v>
      </c>
      <c r="B102" s="23" t="s">
        <v>117</v>
      </c>
      <c r="C102" s="8"/>
      <c r="D102" s="8"/>
      <c r="E102" s="8"/>
      <c r="F102" s="8"/>
      <c r="G102" s="10"/>
      <c r="H102" s="25"/>
      <c r="I102" s="2"/>
      <c r="J102" s="2"/>
      <c r="K102" s="26"/>
      <c r="L102" s="41">
        <v>2</v>
      </c>
      <c r="M102" s="10"/>
      <c r="N102" s="5"/>
    </row>
    <row r="103" spans="1:14" ht="15.5" x14ac:dyDescent="0.35">
      <c r="A103" s="39" t="s">
        <v>95</v>
      </c>
      <c r="B103" s="23" t="s">
        <v>118</v>
      </c>
      <c r="C103" s="8"/>
      <c r="D103" s="8"/>
      <c r="E103" s="8"/>
      <c r="F103" s="8"/>
      <c r="G103" s="10"/>
      <c r="H103" s="25"/>
      <c r="I103" s="2"/>
      <c r="J103" s="2"/>
      <c r="K103" s="26"/>
      <c r="L103" s="41">
        <v>2</v>
      </c>
      <c r="M103" s="10"/>
      <c r="N103" s="5"/>
    </row>
    <row r="104" spans="1:14" ht="15.5" x14ac:dyDescent="0.35">
      <c r="A104" s="39" t="s">
        <v>97</v>
      </c>
      <c r="B104" s="23" t="s">
        <v>119</v>
      </c>
      <c r="C104" s="8"/>
      <c r="D104" s="8"/>
      <c r="E104" s="8"/>
      <c r="F104" s="8"/>
      <c r="G104" s="10"/>
      <c r="H104" s="25"/>
      <c r="I104" s="2"/>
      <c r="J104" s="2"/>
      <c r="K104" s="26"/>
      <c r="L104" s="41">
        <v>2</v>
      </c>
      <c r="M104" s="10"/>
      <c r="N104" s="5"/>
    </row>
    <row r="105" spans="1:14" ht="15.5" x14ac:dyDescent="0.35">
      <c r="A105" s="39" t="s">
        <v>99</v>
      </c>
      <c r="B105" s="23" t="s">
        <v>120</v>
      </c>
      <c r="C105" s="8"/>
      <c r="D105" s="8"/>
      <c r="E105" s="8"/>
      <c r="F105" s="8"/>
      <c r="G105" s="10"/>
      <c r="H105" s="25"/>
      <c r="I105" s="2"/>
      <c r="J105" s="2"/>
      <c r="K105" s="26"/>
      <c r="L105" s="41">
        <v>2</v>
      </c>
      <c r="M105" s="10"/>
      <c r="N105" s="5"/>
    </row>
    <row r="106" spans="1:14" ht="15.5" x14ac:dyDescent="0.35">
      <c r="A106" s="39" t="s">
        <v>101</v>
      </c>
      <c r="B106" s="23" t="s">
        <v>121</v>
      </c>
      <c r="C106" s="8"/>
      <c r="D106" s="8"/>
      <c r="E106" s="8"/>
      <c r="F106" s="8"/>
      <c r="G106" s="10"/>
      <c r="H106" s="24"/>
      <c r="I106" s="18"/>
      <c r="J106" s="18"/>
      <c r="K106" s="19"/>
      <c r="L106" s="41">
        <v>2</v>
      </c>
      <c r="M106" s="10"/>
      <c r="N106" s="5"/>
    </row>
    <row r="107" spans="1:14" ht="24" hidden="1" customHeight="1" x14ac:dyDescent="0.35">
      <c r="A107" s="38" t="s">
        <v>122</v>
      </c>
      <c r="B107" s="8"/>
      <c r="C107" s="8"/>
      <c r="D107" s="8"/>
      <c r="E107" s="8"/>
      <c r="F107" s="8"/>
      <c r="G107" s="10"/>
      <c r="H107" s="38" t="s">
        <v>105</v>
      </c>
      <c r="I107" s="8"/>
      <c r="J107" s="8"/>
      <c r="K107" s="10"/>
      <c r="L107" s="38" t="s">
        <v>74</v>
      </c>
      <c r="M107" s="10"/>
      <c r="N107" s="30"/>
    </row>
    <row r="108" spans="1:14" ht="15.5" hidden="1" x14ac:dyDescent="0.35">
      <c r="A108" s="39" t="s">
        <v>75</v>
      </c>
      <c r="B108" s="23"/>
      <c r="C108" s="8"/>
      <c r="D108" s="8"/>
      <c r="E108" s="8"/>
      <c r="F108" s="8"/>
      <c r="G108" s="10"/>
      <c r="H108" s="40"/>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79</v>
      </c>
      <c r="B110" s="23"/>
      <c r="C110" s="8"/>
      <c r="D110" s="8"/>
      <c r="E110" s="8"/>
      <c r="F110" s="8"/>
      <c r="G110" s="10"/>
      <c r="H110" s="25"/>
      <c r="I110" s="2"/>
      <c r="J110" s="2"/>
      <c r="K110" s="26"/>
      <c r="L110" s="23"/>
      <c r="M110" s="10"/>
      <c r="N110" s="5"/>
    </row>
    <row r="111" spans="1:14" ht="15.5" hidden="1" x14ac:dyDescent="0.35">
      <c r="A111" s="39" t="s">
        <v>81</v>
      </c>
      <c r="B111" s="23"/>
      <c r="C111" s="8"/>
      <c r="D111" s="8"/>
      <c r="E111" s="8"/>
      <c r="F111" s="8"/>
      <c r="G111" s="10"/>
      <c r="H111" s="25"/>
      <c r="I111" s="2"/>
      <c r="J111" s="2"/>
      <c r="K111" s="26"/>
      <c r="L111" s="23"/>
      <c r="M111" s="10"/>
      <c r="N111" s="5"/>
    </row>
    <row r="112" spans="1:14" ht="15.5" hidden="1" x14ac:dyDescent="0.35">
      <c r="A112" s="39" t="s">
        <v>83</v>
      </c>
      <c r="B112" s="23"/>
      <c r="C112" s="8"/>
      <c r="D112" s="8"/>
      <c r="E112" s="8"/>
      <c r="F112" s="8"/>
      <c r="G112" s="10"/>
      <c r="H112" s="25"/>
      <c r="I112" s="2"/>
      <c r="J112" s="2"/>
      <c r="K112" s="26"/>
      <c r="L112" s="23"/>
      <c r="M112" s="10"/>
      <c r="N112" s="5"/>
    </row>
    <row r="113" spans="1:14" ht="15.5" hidden="1" x14ac:dyDescent="0.35">
      <c r="A113" s="39" t="s">
        <v>85</v>
      </c>
      <c r="B113" s="23"/>
      <c r="C113" s="8"/>
      <c r="D113" s="8"/>
      <c r="E113" s="8"/>
      <c r="F113" s="8"/>
      <c r="G113" s="10"/>
      <c r="H113" s="25"/>
      <c r="I113" s="2"/>
      <c r="J113" s="2"/>
      <c r="K113" s="26"/>
      <c r="L113" s="23"/>
      <c r="M113" s="10"/>
      <c r="N113" s="5"/>
    </row>
    <row r="114" spans="1:14" ht="15.5" hidden="1" x14ac:dyDescent="0.35">
      <c r="A114" s="39" t="s">
        <v>87</v>
      </c>
      <c r="B114" s="23"/>
      <c r="C114" s="8"/>
      <c r="D114" s="8"/>
      <c r="E114" s="8"/>
      <c r="F114" s="8"/>
      <c r="G114" s="10"/>
      <c r="H114" s="25"/>
      <c r="I114" s="2"/>
      <c r="J114" s="2"/>
      <c r="K114" s="26"/>
      <c r="L114" s="23"/>
      <c r="M114" s="10"/>
      <c r="N114" s="5"/>
    </row>
    <row r="115" spans="1:14" ht="15.5" hidden="1" x14ac:dyDescent="0.35">
      <c r="A115" s="39" t="s">
        <v>89</v>
      </c>
      <c r="B115" s="23"/>
      <c r="C115" s="8"/>
      <c r="D115" s="8"/>
      <c r="E115" s="8"/>
      <c r="F115" s="8"/>
      <c r="G115" s="10"/>
      <c r="H115" s="25"/>
      <c r="I115" s="2"/>
      <c r="J115" s="2"/>
      <c r="K115" s="26"/>
      <c r="L115" s="23"/>
      <c r="M115" s="10"/>
      <c r="N115" s="5"/>
    </row>
    <row r="116" spans="1:14" ht="15.5" hidden="1" x14ac:dyDescent="0.35">
      <c r="A116" s="39" t="s">
        <v>91</v>
      </c>
      <c r="B116" s="23"/>
      <c r="C116" s="8"/>
      <c r="D116" s="8"/>
      <c r="E116" s="8"/>
      <c r="F116" s="8"/>
      <c r="G116" s="10"/>
      <c r="H116" s="25"/>
      <c r="I116" s="2"/>
      <c r="J116" s="2"/>
      <c r="K116" s="26"/>
      <c r="L116" s="23"/>
      <c r="M116" s="10"/>
      <c r="N116" s="5"/>
    </row>
    <row r="117" spans="1:14" ht="15.5" hidden="1" x14ac:dyDescent="0.35">
      <c r="A117" s="39" t="s">
        <v>93</v>
      </c>
      <c r="B117" s="23"/>
      <c r="C117" s="8"/>
      <c r="D117" s="8"/>
      <c r="E117" s="8"/>
      <c r="F117" s="8"/>
      <c r="G117" s="10"/>
      <c r="H117" s="25"/>
      <c r="I117" s="2"/>
      <c r="J117" s="2"/>
      <c r="K117" s="26"/>
      <c r="L117" s="23"/>
      <c r="M117" s="10"/>
      <c r="N117" s="5"/>
    </row>
    <row r="118" spans="1:14" ht="15.5" hidden="1" x14ac:dyDescent="0.35">
      <c r="A118" s="39" t="s">
        <v>95</v>
      </c>
      <c r="B118" s="23"/>
      <c r="C118" s="8"/>
      <c r="D118" s="8"/>
      <c r="E118" s="8"/>
      <c r="F118" s="8"/>
      <c r="G118" s="10"/>
      <c r="H118" s="25"/>
      <c r="I118" s="2"/>
      <c r="J118" s="2"/>
      <c r="K118" s="26"/>
      <c r="L118" s="23"/>
      <c r="M118" s="10"/>
      <c r="N118" s="5"/>
    </row>
    <row r="119" spans="1:14" ht="15.5" hidden="1" x14ac:dyDescent="0.35">
      <c r="A119" s="39" t="s">
        <v>97</v>
      </c>
      <c r="B119" s="23"/>
      <c r="C119" s="8"/>
      <c r="D119" s="8"/>
      <c r="E119" s="8"/>
      <c r="F119" s="8"/>
      <c r="G119" s="10"/>
      <c r="H119" s="25"/>
      <c r="I119" s="2"/>
      <c r="J119" s="2"/>
      <c r="K119" s="26"/>
      <c r="L119" s="23"/>
      <c r="M119" s="10"/>
      <c r="N119" s="5"/>
    </row>
    <row r="120" spans="1:14" ht="15.5" hidden="1" x14ac:dyDescent="0.35">
      <c r="A120" s="39" t="s">
        <v>99</v>
      </c>
      <c r="B120" s="23"/>
      <c r="C120" s="8"/>
      <c r="D120" s="8"/>
      <c r="E120" s="8"/>
      <c r="F120" s="8"/>
      <c r="G120" s="10"/>
      <c r="H120" s="25"/>
      <c r="I120" s="2"/>
      <c r="J120" s="2"/>
      <c r="K120" s="26"/>
      <c r="L120" s="23"/>
      <c r="M120" s="10"/>
      <c r="N120" s="5"/>
    </row>
    <row r="121" spans="1:14" ht="15.5" hidden="1" x14ac:dyDescent="0.35">
      <c r="A121" s="39" t="s">
        <v>101</v>
      </c>
      <c r="B121" s="23"/>
      <c r="C121" s="8"/>
      <c r="D121" s="8"/>
      <c r="E121" s="8"/>
      <c r="F121" s="8"/>
      <c r="G121" s="10"/>
      <c r="H121" s="24"/>
      <c r="I121" s="18"/>
      <c r="J121" s="18"/>
      <c r="K121" s="19"/>
      <c r="L121" s="23"/>
      <c r="M121" s="10"/>
      <c r="N121" s="5"/>
    </row>
    <row r="122" spans="1:14" ht="15.5" x14ac:dyDescent="0.35">
      <c r="A122" s="43" t="s">
        <v>123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124</v>
      </c>
      <c r="B124" s="2"/>
      <c r="C124" s="2"/>
      <c r="D124" s="2"/>
      <c r="E124" s="2"/>
      <c r="F124" s="2"/>
      <c r="G124" s="2"/>
      <c r="H124" s="2"/>
      <c r="I124" s="2"/>
      <c r="J124" s="2"/>
      <c r="K124" s="2"/>
      <c r="L124" s="2"/>
      <c r="M124" s="2"/>
      <c r="N124" s="30"/>
    </row>
    <row r="125" spans="1:14" ht="46.5" x14ac:dyDescent="0.35">
      <c r="A125" s="44" t="s">
        <v>125</v>
      </c>
      <c r="B125" s="45" t="s">
        <v>126</v>
      </c>
      <c r="C125" s="8"/>
      <c r="D125" s="8"/>
      <c r="E125" s="8"/>
      <c r="F125" s="8"/>
      <c r="G125" s="10"/>
      <c r="H125" s="45" t="s">
        <v>127</v>
      </c>
      <c r="I125" s="8"/>
      <c r="J125" s="8"/>
      <c r="K125" s="10"/>
      <c r="L125" s="46" t="s">
        <v>128</v>
      </c>
      <c r="M125" s="10"/>
      <c r="N125" s="5"/>
    </row>
    <row r="126" spans="1:14" ht="15.5" x14ac:dyDescent="0.35">
      <c r="A126" s="47" t="s">
        <v>129</v>
      </c>
      <c r="B126" s="48" t="s">
        <v>130</v>
      </c>
      <c r="C126" s="14"/>
      <c r="D126" s="14"/>
      <c r="E126" s="14"/>
      <c r="F126" s="14"/>
      <c r="G126" s="15"/>
      <c r="H126" s="49" t="s">
        <v>131</v>
      </c>
      <c r="I126" s="8"/>
      <c r="J126" s="8"/>
      <c r="K126" s="50" t="s">
        <v>132</v>
      </c>
      <c r="L126" s="51">
        <f>1-SUM(L129:M131)</f>
        <v>0.7</v>
      </c>
      <c r="M126" s="15"/>
      <c r="N126" s="5"/>
    </row>
    <row r="127" spans="1:14" ht="15.5" x14ac:dyDescent="0.35">
      <c r="A127" s="52"/>
      <c r="B127" s="25"/>
      <c r="C127" s="2"/>
      <c r="D127" s="2"/>
      <c r="E127" s="2"/>
      <c r="F127" s="2"/>
      <c r="G127" s="26"/>
      <c r="H127" s="53" t="s">
        <v>133</v>
      </c>
      <c r="I127" s="8"/>
      <c r="J127" s="8"/>
      <c r="K127" s="50" t="s">
        <v>132</v>
      </c>
      <c r="L127" s="25"/>
      <c r="M127" s="26"/>
      <c r="N127" s="5"/>
    </row>
    <row r="128" spans="1:14" ht="15.5" x14ac:dyDescent="0.35">
      <c r="A128" s="35"/>
      <c r="B128" s="24"/>
      <c r="C128" s="18"/>
      <c r="D128" s="18"/>
      <c r="E128" s="18"/>
      <c r="F128" s="18"/>
      <c r="G128" s="19"/>
      <c r="H128" s="53" t="s">
        <v>134</v>
      </c>
      <c r="I128" s="8"/>
      <c r="J128" s="8"/>
      <c r="K128" s="50" t="s">
        <v>135</v>
      </c>
      <c r="L128" s="24"/>
      <c r="M128" s="19"/>
      <c r="N128" s="5"/>
    </row>
    <row r="129" spans="1:14" ht="68.25" hidden="1" customHeight="1" x14ac:dyDescent="0.35">
      <c r="A129" s="44" t="s">
        <v>136</v>
      </c>
      <c r="B129" s="53" t="s">
        <v>137</v>
      </c>
      <c r="C129" s="8"/>
      <c r="D129" s="8"/>
      <c r="E129" s="8"/>
      <c r="F129" s="8"/>
      <c r="G129" s="10"/>
      <c r="H129" s="53" t="s">
        <v>138</v>
      </c>
      <c r="I129" s="8"/>
      <c r="J129" s="8"/>
      <c r="K129" s="10"/>
      <c r="L129" s="54"/>
      <c r="M129" s="10"/>
      <c r="N129" s="5"/>
    </row>
    <row r="130" spans="1:14" ht="46.5" x14ac:dyDescent="0.35">
      <c r="A130" s="44" t="s">
        <v>139</v>
      </c>
      <c r="B130" s="53" t="s">
        <v>140</v>
      </c>
      <c r="C130" s="8"/>
      <c r="D130" s="8"/>
      <c r="E130" s="8"/>
      <c r="F130" s="8"/>
      <c r="G130" s="10"/>
      <c r="H130" s="53" t="s">
        <v>141</v>
      </c>
      <c r="I130" s="8"/>
      <c r="J130" s="8"/>
      <c r="K130" s="10"/>
      <c r="L130" s="54">
        <v>0.3</v>
      </c>
      <c r="M130" s="10"/>
      <c r="N130" s="5"/>
    </row>
    <row r="131" spans="1:14" ht="31" hidden="1" x14ac:dyDescent="0.35">
      <c r="A131" s="44" t="s">
        <v>142</v>
      </c>
      <c r="B131" s="55" t="s">
        <v>143</v>
      </c>
      <c r="C131" s="8"/>
      <c r="D131" s="8"/>
      <c r="E131" s="8"/>
      <c r="F131" s="8"/>
      <c r="G131" s="10"/>
      <c r="H131" s="53" t="s">
        <v>144</v>
      </c>
      <c r="I131" s="8"/>
      <c r="J131" s="8"/>
      <c r="K131" s="10"/>
      <c r="L131" s="54"/>
      <c r="M131" s="10"/>
      <c r="N131" s="5"/>
    </row>
    <row r="132" spans="1:14" ht="15.5" x14ac:dyDescent="0.35">
      <c r="A132" s="45" t="s">
        <v>145</v>
      </c>
      <c r="B132" s="8"/>
      <c r="C132" s="8"/>
      <c r="D132" s="8"/>
      <c r="E132" s="8"/>
      <c r="F132" s="8"/>
      <c r="G132" s="8"/>
      <c r="H132" s="8"/>
      <c r="I132" s="8"/>
      <c r="J132" s="8"/>
      <c r="K132" s="8"/>
      <c r="L132" s="8"/>
      <c r="M132" s="10"/>
      <c r="N132" s="5"/>
    </row>
    <row r="133" spans="1:14" ht="15.5" x14ac:dyDescent="0.35">
      <c r="A133" s="56" t="s">
        <v>146</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7" t="s">
        <v>147</v>
      </c>
      <c r="B135" s="10"/>
      <c r="C135" s="58">
        <v>45901</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7" t="s">
        <v>148</v>
      </c>
      <c r="B137" s="10"/>
      <c r="C137" s="9" t="str">
        <f>E15</f>
        <v xml:space="preserve">Conf. dr. ing. Cristina Budaciu </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9" t="s">
        <v>149</v>
      </c>
      <c r="B139" s="15"/>
      <c r="C139" s="9" t="str">
        <f t="shared" ref="C139:C141" si="0">E17</f>
        <v>Asist. dr. Sofia Huștiu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Asist.dr. Codrin Lupașcu</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7" t="s">
        <v>150</v>
      </c>
      <c r="B143" s="10"/>
      <c r="C143" s="60">
        <f>[1]Date!C29</f>
        <v>45915</v>
      </c>
      <c r="D143" s="10"/>
      <c r="E143" s="57" t="s">
        <v>151</v>
      </c>
      <c r="F143" s="8"/>
      <c r="G143" s="10"/>
      <c r="H143" s="61" t="str">
        <f>[1]Date!C31</f>
        <v>Conf.dr.ing. Mihai POSTOLACHE</v>
      </c>
      <c r="I143" s="8"/>
      <c r="J143" s="8"/>
      <c r="K143" s="8"/>
      <c r="L143" s="8"/>
      <c r="M143" s="10"/>
      <c r="N143" s="5"/>
    </row>
    <row r="144" spans="1:14" ht="21.75" customHeight="1" x14ac:dyDescent="0.35">
      <c r="A144" s="62"/>
      <c r="B144" s="62"/>
      <c r="C144" s="63"/>
      <c r="D144" s="63"/>
      <c r="E144" s="62"/>
      <c r="F144" s="62"/>
      <c r="G144" s="62"/>
      <c r="H144" s="63"/>
      <c r="I144" s="63"/>
      <c r="J144" s="63"/>
      <c r="K144" s="63"/>
      <c r="L144" s="63"/>
      <c r="M144" s="63"/>
      <c r="N144" s="5"/>
    </row>
    <row r="145" spans="1:14" ht="28.5" customHeight="1" x14ac:dyDescent="0.35">
      <c r="A145" s="57" t="s">
        <v>152</v>
      </c>
      <c r="B145" s="10"/>
      <c r="C145" s="60">
        <f>[1]Date!C30</f>
        <v>45918</v>
      </c>
      <c r="D145" s="10"/>
      <c r="E145" s="57" t="s">
        <v>153</v>
      </c>
      <c r="F145" s="8"/>
      <c r="G145" s="10"/>
      <c r="H145" s="61" t="str">
        <f>[1]Date!C32</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1783B1FD-066C-4DDD-A681-276FF7165E88}"/>
    <hyperlink ref="A122" r:id="rId2" xr:uid="{724A7947-AF5F-417A-87AD-E34765A0EDA6}"/>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2026-03-01T09:09:42Z</dcterms:created>
  <dcterms:modified xsi:type="dcterms:W3CDTF">2026-03-01T09:09:51Z</dcterms:modified>
</cp:coreProperties>
</file>