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F2945C65-31D2-4011-8B72-730E8575DA20}" xr6:coauthVersionLast="47" xr6:coauthVersionMax="47" xr10:uidLastSave="{00000000-0000-0000-0000-000000000000}"/>
  <bookViews>
    <workbookView xWindow="-110" yWindow="-110" windowWidth="25820" windowHeight="15500" xr2:uid="{9F57166D-A380-4FE8-86BB-96BF983270D0}"/>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C23" i="1"/>
  <c r="C9" i="1"/>
  <c r="C8" i="1"/>
  <c r="C7" i="1"/>
  <c r="A2" i="1"/>
  <c r="C34" i="1" a="1"/>
  <c r="C34" i="1" s="1"/>
  <c r="M33" i="1" s="1"/>
  <c r="E13" i="1" l="1" a="1"/>
  <c r="E13" i="1" s="1"/>
  <c r="G26" i="1" a="1"/>
  <c r="G26" i="1" s="1"/>
  <c r="G27" i="1" s="1"/>
  <c r="E14" i="1" a="1"/>
  <c r="E14" i="1" s="1"/>
  <c r="I26" i="1" a="1"/>
  <c r="I26" i="1" s="1"/>
  <c r="I27" i="1" s="1"/>
  <c r="M14" i="1" a="1"/>
  <c r="M14" i="1" s="1"/>
  <c r="K26" i="1" a="1"/>
  <c r="K26" i="1" s="1"/>
  <c r="K27" i="1" s="1"/>
  <c r="E23" i="1" a="1"/>
  <c r="E23" i="1" s="1"/>
  <c r="I23" i="1" a="1"/>
  <c r="I23" i="1" s="1"/>
  <c r="M23" i="1" a="1"/>
  <c r="M23" i="1" s="1"/>
  <c r="M32" i="1" a="1"/>
  <c r="M32" i="1" s="1"/>
  <c r="E26" i="1" a="1"/>
  <c r="E2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5DD2808C-81DE-4BD8-A7B2-3A0B1ECE71C7}">
      <text>
        <r>
          <rPr>
            <sz val="10"/>
            <color rgb="FF000000"/>
            <rFont val="Aptos Narrow"/>
            <scheme val="minor"/>
          </rPr>
          <t>Pondere din nota de la E / V</t>
        </r>
      </text>
    </comment>
    <comment ref="K128" authorId="0" shapeId="0" xr:uid="{C0081B05-FE34-46C5-B8DB-8AFD00E5BE98}">
      <text>
        <r>
          <rPr>
            <sz val="10"/>
            <color rgb="FF000000"/>
            <rFont val="Aptos Narrow"/>
            <scheme val="minor"/>
          </rPr>
          <t>Pondere din nota de la E / V</t>
        </r>
      </text>
    </comment>
  </commentList>
</comments>
</file>

<file path=xl/sharedStrings.xml><?xml version="1.0" encoding="utf-8"?>
<sst xmlns="http://schemas.openxmlformats.org/spreadsheetml/2006/main" count="208" uniqueCount="145">
  <si>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</si>
  <si>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</si>
  <si>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</si>
  <si>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</si>
  <si>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</si>
  <si>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</si>
  <si>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</si>
  <si>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</si>
  <si>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</si>
  <si>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</si>
  <si>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</si>
  <si>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</si>
  <si>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</si>
  <si>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Automate și microprogramare</t>
  </si>
  <si>
    <t>(în limba engleză, conform Suplimentului la diplomă)</t>
  </si>
  <si>
    <t>2.1.2. Codul disciplinei</t>
  </si>
  <si>
    <t xml:space="preserve">2.1.3. Categoria formativă </t>
  </si>
  <si>
    <t>2.2 Titularul / titularii activităţilor de curs</t>
  </si>
  <si>
    <t xml:space="preserve">Prof. dr. ing. Constantin-Cătălin Dosoftei                                                     </t>
  </si>
  <si>
    <t>Asist.dr.ing. Georgel Gabor</t>
  </si>
  <si>
    <t>2.3 Titularul / titularii activităţilor de aplicaţii (S, L, P, Pr)</t>
  </si>
  <si>
    <t xml:space="preserve">Drd. ing. Teodor Andrei Sauciuc                                                                  </t>
  </si>
  <si>
    <t>Asist. drd. Daniel Slatineanu</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</si>
  <si>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</si>
  <si>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</si>
  <si>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</si>
  <si>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</si>
  <si>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</si>
  <si>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</si>
  <si>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</si>
  <si>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</si>
  <si>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</si>
  <si>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</si>
  <si>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</si>
  <si>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</si>
  <si>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</si>
  <si>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</si>
  <si>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</si>
  <si>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</si>
  <si>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</si>
  <si>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</si>
  <si>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</si>
  <si>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</si>
  <si>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</si>
  <si>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</si>
  <si>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</si>
  <si>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</si>
  <si>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</si>
  <si>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</si>
  <si>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</si>
  <si>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</si>
  <si>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</si>
  <si>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</si>
  <si>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</si>
  <si>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</si>
  <si>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</si>
  <si>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Videoproiector, tablă</t>
  </si>
  <si>
    <t>5.2 de desfăşurare a seminarului / laboratorului / proiectului</t>
  </si>
  <si>
    <t>Tablă inteligentă, videoproiector, calculatoare cu softuri specifice programarii PLC-urilor, standuri de laborator</t>
  </si>
  <si>
    <t>6. Obiectivul general al disciplinei</t>
  </si>
  <si>
    <t>Familiarizarea studenților cu domeniul automatelor logice, de diferite tipuri și niveluri de complexitate, cu accent pe sistemele incluse în arhitecturile de automate complexe industriale – controlere logice programabile (PLC). Sunt abordate atât structurile și arhitecturile cunoscute, cât și modalitățile de programare și utilizare a acestora în aplicații industriale</t>
  </si>
  <si>
    <t>7. Rezultatele învățării</t>
  </si>
  <si>
    <t>Cunoștințe</t>
  </si>
  <si>
    <t>Studentul / Absolventul:</t>
  </si>
  <si>
    <t xml:space="preserve">- Definește conceptele fundamentale privind automatele finite și identifică diferențele dintre automate combinaționale și secvențiale utilizate în aplicații industriale.
- Descrie metodele de proiectare a automatizărilor secvențiale și ilustrează prin exemple aplicații practice de comandă pentru procese industriale simple (presă, mașină de găurit, manipulator, procese de malaxare).
- Explică principiile de funcționare ale secvențiatoarelor cablate și microprogramate, precum și conceptele de bază ale tehnicii microprogramării (structura unității de control, codificarea instrucțiunilor, scrierea și execuția microprogramelor).
- Descrie arhitectura și resursele software ale automatelor programabile (AP MICRO, Easy600, Easy800) și explică modul lor de utilizare în comanda proceselor industriale.
- Compară tipurile de automate logice neclasice (fuzzy, probabilistice, neuronale, polivalente) și raportează avantajele și limitările lor în raport cu automatele clasice.
</t>
  </si>
  <si>
    <t>Aptitudini</t>
  </si>
  <si>
    <t>- Utilizează un pachet software pentru analiza și sinteza automatelor finite.
- Operează și folosește resurse software și hardware pe AP MICRO, PLC Easy600 și Easy800.
- Ilustrează utilizarea automatelor programabile în comanda proceselor industriale.
- Evaluează și selectează metode de proiectare a automatizărilor secvențiale și adaptează soluțiile la aplicații concrete (presă, manipulator, procese de găurire/malaxare).
- Extinde metode de microprogramare pentru optimizarea formatului instrucțiunilor și microprogramelor.
- Modelează sisteme secvențiale complexe cu secvențiatoare cablate și microprogramate.
- Realizează aplicații pe automate programabile AP MICRO și PLC Easy600/Easy800 pentru controlul proceselor industriale.
- Aplică tehnici de configurare și testare a automatelor programabile și analizează rezultatele experimentale obținute.
- Analizează și compară tipurile de automate logice neclasice și relevanța lor pentru probleme din automatică.</t>
  </si>
  <si>
    <t>Responsabilitate și autonomie</t>
  </si>
  <si>
    <t>-Demonstrează capacitatea de a lucra în echipă, asumă roluri diferite în proiectarea și implementarea aplicațiilor cu automate programabile și raportează clar rezultatele tehnice atât verbal, cât și în scris.
- Manifestă spirit de inițiativă prin integrarea noilor concepte de microprogramare și logici neclasice, apreciază importanța lor în dezvoltarea aplicațiilor moderne și propune adaptări la cerințele industriei.
- Adoptă o conduită responsabilă și etică în utilizarea automatelor programabile, respectă normele de securitate și legislația aplicabilă și manifestă responsabilitate profesională pentru menținerea integrității domeniului.</t>
  </si>
  <si>
    <t xml:space="preserve">8. Metode de predare </t>
  </si>
  <si>
    <t>Cursul este predat prin prelegeri orale. Stimularea unui dialog permanent cu studenţii, ca mecanism de fixare a informaţiilor transmise în cadrul prelegerii
Ca echipament didactic auxiliar se foloseşte videoproiectorul. Noţiunile predate sunt aprofundate în cadrul orelor de aplicaţii practice de laborator și proiect.</t>
  </si>
  <si>
    <t>9. Conţinuturi</t>
  </si>
  <si>
    <t>9.1. Curs</t>
  </si>
  <si>
    <t>Metode de predare</t>
  </si>
  <si>
    <t>Timp alocat</t>
  </si>
  <si>
    <t>1</t>
  </si>
  <si>
    <t xml:space="preserve">Elemente de teoria automatelor finite  - </t>
  </si>
  <si>
    <t xml:space="preserve">Cursul este predat prin prelegeri orale. Stimularea unui dialog permanent cu studenţii, ca mecanism de fixare a informaţiilor transmise în cadrul prelegerii
Ca echipament didactic auxiliar se foloseşte videoproiectorul. Noţiunile predate sunt aprofundate în cadrul orelor de aplicaţii practice de laborator și proiect.
</t>
  </si>
  <si>
    <t>2 ore</t>
  </si>
  <si>
    <t>2</t>
  </si>
  <si>
    <t>Automate combinaţionale şi secvenţiale în structurile numerice (Automate combinaţionale realizate cu module SSI; Automate combinaţionale simple realizate cu circuite MSI; Automate combinaţionale simple realizate cu circuite LSI; Tipuri semnificative de automate combinaţionale utilizate în aplicaţii industriale; Automate secvenţiale simple realizate cu module SSI; Automate secvenţiale simple realizate cu circuite MSI; Automate secvenţiale simple realizate cu circuite LSI; Tipuri semnificative de automate secvenţiale utilizate în aplicaţii industriale)</t>
  </si>
  <si>
    <t>4 ore</t>
  </si>
  <si>
    <t>3</t>
  </si>
  <si>
    <t>Proiectarea automatizărilor secvenţiale (Reprezentarea sistemelor secvenţiale - Graful de tranziţii; Reducerea şi codificarea stărilor; Comanda unei prese; Comanda unei maşini de găurit cu masă rotativă de poziţionare; Comanda unui braţ manipulator pentru deservirea a două maşini-unelte; Comanda unui proces de găurire automată; Comanda unui proces de malaxare automată; Comanda altor procese industriale)</t>
  </si>
  <si>
    <t>4</t>
  </si>
  <si>
    <t xml:space="preserve">Sisteme secvenţiale complexe (Introducere; Secvenţiatoare cablate; Secvenţiatoare microprogramate) </t>
  </si>
  <si>
    <t>5</t>
  </si>
  <si>
    <t>Concepte de bază în tehnica microprogramării (Introducere. Limitele secvenţiatoarelor cablate. Avantaje; Reprezentarea acţiunilor prin instrucţiuni. Calculul acţiunilor; Mărimea instrucţiunilor; Adresarea instrucţiunilor. Cicli interni; Structura unităţii de control microprogramate; Codificarea ordinii într-o maşină microprogramată; Scrierea microprogramului; Execuţia microinstrucţiunilor; Determinarea formatului unei microinstrucţiuni; Optimizarea formatului cuvintelor de control; Principii de optimizare a lungimii microprogramelor)</t>
  </si>
  <si>
    <t>6</t>
  </si>
  <si>
    <t xml:space="preserve">Automate programabile (AP) (Problematica generală. Definiţii. Clasificări. Convenţii. Notaţii. Standarde; Structura generală a AP cu prelucrare pe bit (APB); Resurse software ale APB; Utilizarea echipamentelor APB în comanda proceselor industriale; Automate programabile cu prelucrare pe cuvânt (APC)) </t>
  </si>
  <si>
    <t>8 ore</t>
  </si>
  <si>
    <t>7</t>
  </si>
  <si>
    <t xml:space="preserve">Noţiuni de teoria automatelor finite bazate pe logici neclasice (Automate logice polivalente; Automate probabilistice finite; Automate logice fuzzy; Automate neuronale; Alte tipuri de automate logice neclasice) </t>
  </si>
  <si>
    <t>8</t>
  </si>
  <si>
    <t>9</t>
  </si>
  <si>
    <t>10</t>
  </si>
  <si>
    <t>11</t>
  </si>
  <si>
    <t>12</t>
  </si>
  <si>
    <t>13</t>
  </si>
  <si>
    <t>14</t>
  </si>
  <si>
    <t xml:space="preserve">Bibliografie curs:
1. Pricop A.T., Dosoftei C.C., Controlul secvențial al proceselor folosind automate programabile, Editura Galaxia GUTENBERG, 2023
2. Conducerea automata a proceselor industriale, M. Vanatoru, Ed. Universitaria, Craiova, 2001
3. Sisteme integrate de monitorizare si control pentru echipamente electrice, Editura Universitaria, Craiova, 2008
4. Guyer J. P., An Introduction to Fundamentals of SCADA Systems, CreateSpace Independent Publishing, 2017
5. Pricop A., 2000, Structuri logice şi automatizări secvenţiale, Rotaprint U.T.Iaşi.
6. Pricop A., Boboc L.,2001,  Analiza şi sinteza structurilor logice, Ed. Tehnica-Info, Chişinău
</t>
  </si>
  <si>
    <t>9.2a Seminar</t>
  </si>
  <si>
    <t>Metode de lucru</t>
  </si>
  <si>
    <t>9.2b Laborator</t>
  </si>
  <si>
    <t>Studiul asistat de calculator al automatelor finite (utilizarea unui pachet de programe pentru analiza, sinteza şi testarea funcţională a diverselor tipuri de automate finite clasice)</t>
  </si>
  <si>
    <t>Demonstrații practice și experimente pe echipamente specifice.
Discuții asupra materialelor puse la dispoziție și indicații pentru realizarea lucrărilor.
Activitate individuală și de echipă pentru rezolvarea sarcinilor din referatele de laborator.</t>
  </si>
  <si>
    <t>Studiul unui automat programabil cu prelucrare pe bit – AP MICRO</t>
  </si>
  <si>
    <t xml:space="preserve">Studiul echipamentului PLC Easy600 – Moeller </t>
  </si>
  <si>
    <t xml:space="preserve">Studiul unui automat programabil cu prelucrare pe cuvânt (Easy800 – Moeller) </t>
  </si>
  <si>
    <t>Interconectarea unui sistem de ochelari de realitate mixtă HMS (Head Mounted System) cu automatul programabil</t>
  </si>
  <si>
    <t>9.2c Proiect</t>
  </si>
  <si>
    <t xml:space="preserve">Sinteza schemei de comandă pentru automatizarea secvenţială a unui proces industrial de mică/medie complexitate utilizând circuite integrate SSI </t>
  </si>
  <si>
    <t xml:space="preserve">Sinteza schemei de comandă pentru automatizarea secvenţială a unui proces industrial de mică/medie complexitate utilizând circuite integrate MSI </t>
  </si>
  <si>
    <t>Sinteza schemei de comandă pentru automatizarea secvenţială a unui proces industrial de mică/medie complexitate utilizând Automatul programabil AP MICRO</t>
  </si>
  <si>
    <t xml:space="preserve">Sinteza schemei de comandă pentru automatizarea secvenţială a unui proces industrial de mică/medie complexitate utilizând Echipamentul PLC Easy600 </t>
  </si>
  <si>
    <r>
      <rPr>
        <sz val="12"/>
        <rFont val="Arial"/>
      </rPr>
      <t>Bibliografie aplicaţii (seminar / laborator / proiect):
1. Referate multiplicate pentru lucrările de laborator.
2. Îndrumar de proiectare
3. Culegere de aplicaţii rezolvate folosind AP MICRO
4. Culegere de aplicaţii rezolvate folosind Easy600
5. Referate de prezentare a echipamentelor Easy600 şi PS4-200C.-
6. C. Dosoftei, S. Stoleriu, G.-F. Chiriac, A.-T. Popovici, (2024). Integrating Digital Twin Capabilities with Mixed Reality Technology - An Opportunity in Educational Engineering. In: Borangiu, T., Trentesaux, D., Leitão, P., Berrah, L., Jimenez, JF. (eds) Service Oriented, Holonic and Multi-Agent Manufacturing Systems for Industry of the Future. SOHOMA 2023. Studies in Computational Intelligence, vol 1136. Springer</t>
    </r>
    <r>
      <rPr>
        <u/>
        <sz val="12"/>
        <color rgb="FF1155CC"/>
        <rFont val="Arial"/>
      </rPr>
      <t xml:space="preserve">
</t>
    </r>
    <r>
      <rPr>
        <u/>
        <sz val="12"/>
        <color rgb="FF000000"/>
        <rFont val="Arial"/>
      </rPr>
      <t>7.</t>
    </r>
    <r>
      <rPr>
        <u/>
        <sz val="12"/>
        <color rgb="FF1155CC"/>
        <rFont val="Arial"/>
      </rPr>
      <t xml:space="preserve">  *** https://www.magicleap.com/magic-leap-2
</t>
    </r>
    <r>
      <rPr>
        <sz val="12"/>
        <rFont val="Arial"/>
      </rPr>
      <t xml:space="preserve">
</t>
    </r>
  </si>
  <si>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</si>
  <si>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</si>
  <si>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</si>
  <si>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</si>
  <si>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</si>
  <si>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</si>
  <si>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Capacitatea de a prelucra cerințele și de a rezolva problemele enunțate.</t>
  </si>
  <si>
    <t>- test de evaluare formativ (verificări pe parcursul semestrului).</t>
  </si>
  <si>
    <t>20%</t>
  </si>
  <si>
    <t>- test de evaluare sumativ (verificare finală).</t>
  </si>
  <si>
    <t>80%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</si>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</sst>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u/>
      <sz val="12"/>
      <color rgb="FF0000FF"/>
      <name val="Arial"/>
    </font>
    <font>
      <sz val="12"/>
      <name val="Arial"/>
    </font>
    <font>
      <u/>
      <sz val="12"/>
      <color rgb="FF1155CC"/>
      <name val="Arial"/>
    </font>
    <font>
      <u/>
      <sz val="12"/>
      <color rgb="FF000000"/>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5">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wrapText="1"/>
    </xf>
    <xf numFmtId="0" fontId="2" fillId="3" borderId="1" xfId="0" applyFont="1" applyFill="1" applyBorder="1" applyAlignment="1">
      <alignment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4" xfId="0" applyFont="1" applyFill="1" applyBorder="1" applyAlignment="1">
      <alignment vertical="center" wrapText="1"/>
    </xf>
    <xf numFmtId="0" fontId="2" fillId="3" borderId="4" xfId="0" applyFont="1" applyFill="1" applyBorder="1" applyAlignment="1">
      <alignment horizontal="center" vertical="top" wrapText="1"/>
    </xf>
    <xf numFmtId="0" fontId="7" fillId="3" borderId="1" xfId="0" applyFont="1" applyFill="1" applyBorder="1" applyAlignment="1">
      <alignment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9" fontId="2" fillId="3" borderId="13" xfId="0" applyNumberFormat="1" applyFont="1" applyFill="1" applyBorder="1" applyAlignment="1">
      <alignment horizontal="center" vertical="center"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2.xlsx" TargetMode="External"/><Relationship Id="rId1" Type="http://schemas.openxmlformats.org/officeDocument/2006/relationships/externalLinkPath" Target="/Users/Madalin/Downloads/FD%20AIA%2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MN"/>
      <sheetName val="ASDN"/>
      <sheetName val="MS"/>
      <sheetName val="ED"/>
      <sheetName val="SDA"/>
      <sheetName val="MSF"/>
      <sheetName val="IA"/>
      <sheetName val="BD"/>
      <sheetName val="AM"/>
      <sheetName val="TO"/>
      <sheetName val="SPD"/>
      <sheetName val="MT"/>
      <sheetName val="LE I"/>
      <sheetName val="LE II"/>
      <sheetName val="SP III"/>
      <sheetName val="CI"/>
      <sheetName val="E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C1" t="str">
            <v>Anul universitar: 2025-2026</v>
          </cell>
        </row>
        <row r="2">
          <cell r="B2" t="str">
            <v>Ingineria sistemelor</v>
          </cell>
        </row>
        <row r="3">
          <cell r="B3" t="str">
            <v>Licență</v>
          </cell>
        </row>
        <row r="4">
          <cell r="B4">
            <v>2</v>
          </cell>
        </row>
        <row r="5">
          <cell r="C5" t="str">
            <v>Automatică și Informatică Aplicată</v>
          </cell>
        </row>
        <row r="8">
          <cell r="A8">
            <v>1</v>
          </cell>
          <cell r="C8" t="str">
            <v>Metode numerice</v>
          </cell>
          <cell r="D8" t="str">
            <v>Numerical Methods</v>
          </cell>
          <cell r="E8" t="str">
            <v>AIA201</v>
          </cell>
          <cell r="F8" t="str">
            <v>DI</v>
          </cell>
          <cell r="G8" t="str">
            <v>DF</v>
          </cell>
          <cell r="H8">
            <v>2</v>
          </cell>
          <cell r="I8">
            <v>0</v>
          </cell>
          <cell r="J8">
            <v>2</v>
          </cell>
          <cell r="K8">
            <v>0</v>
          </cell>
          <cell r="L8">
            <v>69</v>
          </cell>
          <cell r="M8" t="str">
            <v>E</v>
          </cell>
          <cell r="N8">
            <v>5</v>
          </cell>
        </row>
        <row r="9">
          <cell r="A9">
            <v>1</v>
          </cell>
          <cell r="C9" t="str">
            <v>Analiza și sinteza dispozitivelor numerice</v>
          </cell>
          <cell r="D9" t="str">
            <v>Analysis and Synthesis of Digital Devices</v>
          </cell>
          <cell r="E9" t="str">
            <v>AIA202</v>
          </cell>
          <cell r="F9" t="str">
            <v>DI</v>
          </cell>
          <cell r="G9" t="str">
            <v>DD</v>
          </cell>
          <cell r="H9">
            <v>2</v>
          </cell>
          <cell r="I9">
            <v>0</v>
          </cell>
          <cell r="J9">
            <v>2</v>
          </cell>
          <cell r="K9">
            <v>0</v>
          </cell>
          <cell r="L9">
            <v>69</v>
          </cell>
          <cell r="M9" t="str">
            <v>E</v>
          </cell>
          <cell r="N9">
            <v>5</v>
          </cell>
        </row>
        <row r="10">
          <cell r="A10">
            <v>1</v>
          </cell>
          <cell r="C10" t="str">
            <v>Matematici speciale</v>
          </cell>
          <cell r="D10" t="str">
            <v>Advanced Mathematics</v>
          </cell>
          <cell r="E10" t="str">
            <v>AIA203</v>
          </cell>
          <cell r="F10" t="str">
            <v>DI</v>
          </cell>
          <cell r="G10" t="str">
            <v>DF</v>
          </cell>
          <cell r="H10">
            <v>2</v>
          </cell>
          <cell r="I10">
            <v>2</v>
          </cell>
          <cell r="J10">
            <v>0</v>
          </cell>
          <cell r="K10">
            <v>0</v>
          </cell>
          <cell r="L10">
            <v>44</v>
          </cell>
          <cell r="M10" t="str">
            <v>C</v>
          </cell>
          <cell r="N10">
            <v>4</v>
          </cell>
        </row>
        <row r="11">
          <cell r="A11">
            <v>1</v>
          </cell>
          <cell r="C11" t="str">
            <v>Electronică digitală</v>
          </cell>
          <cell r="D11" t="str">
            <v>Digital Electronics</v>
          </cell>
          <cell r="E11" t="str">
            <v>AIA204</v>
          </cell>
          <cell r="F11" t="str">
            <v>DI</v>
          </cell>
          <cell r="G11" t="str">
            <v>DD</v>
          </cell>
          <cell r="H11">
            <v>2</v>
          </cell>
          <cell r="I11">
            <v>0</v>
          </cell>
          <cell r="J11">
            <v>2</v>
          </cell>
          <cell r="K11">
            <v>0</v>
          </cell>
          <cell r="L11">
            <v>44</v>
          </cell>
          <cell r="M11" t="str">
            <v>C</v>
          </cell>
          <cell r="N11">
            <v>4</v>
          </cell>
        </row>
        <row r="12">
          <cell r="A12">
            <v>1</v>
          </cell>
          <cell r="C12" t="str">
            <v>Structuri de date și algoritmi</v>
          </cell>
          <cell r="D12" t="str">
            <v>Data Structures and Algorithms</v>
          </cell>
          <cell r="E12" t="str">
            <v>AIA205</v>
          </cell>
          <cell r="F12" t="str">
            <v>DI</v>
          </cell>
          <cell r="G12" t="str">
            <v>DD</v>
          </cell>
          <cell r="H12">
            <v>2</v>
          </cell>
          <cell r="I12">
            <v>0</v>
          </cell>
          <cell r="J12">
            <v>2</v>
          </cell>
          <cell r="K12">
            <v>0</v>
          </cell>
          <cell r="L12">
            <v>69</v>
          </cell>
          <cell r="M12" t="str">
            <v>E</v>
          </cell>
          <cell r="N12">
            <v>5</v>
          </cell>
        </row>
        <row r="13">
          <cell r="A13">
            <v>1</v>
          </cell>
          <cell r="C13" t="str">
            <v>Modelarea sistemelor fizice</v>
          </cell>
          <cell r="D13" t="str">
            <v>Modelling of Physical Systems</v>
          </cell>
          <cell r="E13" t="str">
            <v>AIA206</v>
          </cell>
          <cell r="F13" t="str">
            <v>DI</v>
          </cell>
          <cell r="G13" t="str">
            <v>DD</v>
          </cell>
          <cell r="H13">
            <v>2</v>
          </cell>
          <cell r="I13">
            <v>0</v>
          </cell>
          <cell r="J13">
            <v>2</v>
          </cell>
          <cell r="K13">
            <v>0</v>
          </cell>
          <cell r="L13">
            <v>69</v>
          </cell>
          <cell r="M13" t="str">
            <v>E</v>
          </cell>
          <cell r="N13">
            <v>5</v>
          </cell>
        </row>
        <row r="14">
          <cell r="A14">
            <v>2</v>
          </cell>
          <cell r="C14" t="str">
            <v>Introducere în automatică</v>
          </cell>
          <cell r="D14" t="str">
            <v>Fundamentals of Feedback Control</v>
          </cell>
          <cell r="E14" t="str">
            <v>AIA207</v>
          </cell>
          <cell r="F14" t="str">
            <v>DI</v>
          </cell>
          <cell r="G14" t="str">
            <v>DD</v>
          </cell>
          <cell r="H14">
            <v>3</v>
          </cell>
          <cell r="I14">
            <v>0</v>
          </cell>
          <cell r="J14">
            <v>2</v>
          </cell>
          <cell r="K14">
            <v>0</v>
          </cell>
          <cell r="L14">
            <v>55</v>
          </cell>
          <cell r="M14" t="str">
            <v>E</v>
          </cell>
          <cell r="N14">
            <v>5</v>
          </cell>
        </row>
        <row r="15">
          <cell r="A15">
            <v>2</v>
          </cell>
          <cell r="C15" t="str">
            <v>Baze de date</v>
          </cell>
          <cell r="D15" t="str">
            <v>Database Systems</v>
          </cell>
          <cell r="E15" t="str">
            <v>AIA208</v>
          </cell>
          <cell r="F15" t="str">
            <v>DI</v>
          </cell>
          <cell r="G15" t="str">
            <v>DD</v>
          </cell>
          <cell r="H15">
            <v>2</v>
          </cell>
          <cell r="I15">
            <v>0</v>
          </cell>
          <cell r="J15">
            <v>2</v>
          </cell>
          <cell r="K15">
            <v>0</v>
          </cell>
          <cell r="L15">
            <v>44</v>
          </cell>
          <cell r="M15" t="str">
            <v>C</v>
          </cell>
          <cell r="N15">
            <v>4</v>
          </cell>
        </row>
        <row r="16">
          <cell r="A16">
            <v>2</v>
          </cell>
          <cell r="C16" t="str">
            <v>Automate și microprogramare</v>
          </cell>
          <cell r="D16" t="str">
            <v>Automata and Microprogramming</v>
          </cell>
          <cell r="E16" t="str">
            <v>AIA209</v>
          </cell>
          <cell r="F16" t="str">
            <v>DI</v>
          </cell>
          <cell r="G16" t="str">
            <v>DD</v>
          </cell>
          <cell r="H16">
            <v>2</v>
          </cell>
          <cell r="I16">
            <v>0</v>
          </cell>
          <cell r="J16">
            <v>1</v>
          </cell>
          <cell r="K16">
            <v>1</v>
          </cell>
          <cell r="L16">
            <v>69</v>
          </cell>
          <cell r="M16" t="str">
            <v>E</v>
          </cell>
          <cell r="N16">
            <v>5</v>
          </cell>
        </row>
        <row r="17">
          <cell r="A17">
            <v>2</v>
          </cell>
          <cell r="C17" t="str">
            <v>Tehnici de optimizare</v>
          </cell>
          <cell r="D17" t="str">
            <v>Optimization Techniques</v>
          </cell>
          <cell r="E17" t="str">
            <v>AIA210</v>
          </cell>
          <cell r="F17" t="str">
            <v>DI</v>
          </cell>
          <cell r="G17" t="str">
            <v>DD</v>
          </cell>
          <cell r="H17">
            <v>2</v>
          </cell>
          <cell r="I17">
            <v>0</v>
          </cell>
          <cell r="J17">
            <v>2</v>
          </cell>
          <cell r="K17">
            <v>0</v>
          </cell>
          <cell r="L17">
            <v>69</v>
          </cell>
          <cell r="M17" t="str">
            <v>E</v>
          </cell>
          <cell r="N17">
            <v>5</v>
          </cell>
        </row>
        <row r="18">
          <cell r="A18">
            <v>2</v>
          </cell>
          <cell r="C18" t="str">
            <v>Statistică și prelucrarea datelor</v>
          </cell>
          <cell r="D18" t="str">
            <v>Statistics and Data Processing</v>
          </cell>
          <cell r="E18" t="str">
            <v>AIA211</v>
          </cell>
          <cell r="F18" t="str">
            <v>DI</v>
          </cell>
          <cell r="G18" t="str">
            <v>DF</v>
          </cell>
          <cell r="H18">
            <v>2</v>
          </cell>
          <cell r="I18">
            <v>0</v>
          </cell>
          <cell r="J18">
            <v>2</v>
          </cell>
          <cell r="K18">
            <v>0</v>
          </cell>
          <cell r="L18">
            <v>69</v>
          </cell>
          <cell r="M18" t="str">
            <v>E</v>
          </cell>
          <cell r="N18">
            <v>5</v>
          </cell>
        </row>
        <row r="19">
          <cell r="A19">
            <v>2</v>
          </cell>
          <cell r="C19" t="str">
            <v>Măsurări și traductoare</v>
          </cell>
          <cell r="D19" t="str">
            <v>Measurements and Transducers</v>
          </cell>
          <cell r="E19" t="str">
            <v>AIA212</v>
          </cell>
          <cell r="F19" t="str">
            <v>DI</v>
          </cell>
          <cell r="G19" t="str">
            <v>DD</v>
          </cell>
          <cell r="H19">
            <v>2</v>
          </cell>
          <cell r="I19">
            <v>0</v>
          </cell>
          <cell r="J19">
            <v>2</v>
          </cell>
          <cell r="K19">
            <v>0</v>
          </cell>
          <cell r="L19">
            <v>69</v>
          </cell>
          <cell r="M19" t="str">
            <v>E</v>
          </cell>
          <cell r="N19">
            <v>5</v>
          </cell>
        </row>
        <row r="20">
          <cell r="A20">
            <v>1</v>
          </cell>
          <cell r="C20" t="str">
            <v>Limba engleză I</v>
          </cell>
          <cell r="D20" t="str">
            <v>The English Language I</v>
          </cell>
          <cell r="E20" t="str">
            <v>AIA213</v>
          </cell>
          <cell r="F20" t="str">
            <v>DI</v>
          </cell>
          <cell r="G20" t="str">
            <v>DC</v>
          </cell>
          <cell r="H20">
            <v>0</v>
          </cell>
          <cell r="I20">
            <v>1</v>
          </cell>
          <cell r="J20">
            <v>0</v>
          </cell>
          <cell r="K20">
            <v>0</v>
          </cell>
          <cell r="L20">
            <v>11</v>
          </cell>
          <cell r="M20" t="str">
            <v>VP</v>
          </cell>
          <cell r="N20">
            <v>1</v>
          </cell>
        </row>
        <row r="21">
          <cell r="A21">
            <v>2</v>
          </cell>
          <cell r="C21" t="str">
            <v>Limba engleză II</v>
          </cell>
          <cell r="D21" t="str">
            <v>The English Language II</v>
          </cell>
          <cell r="E21" t="str">
            <v>AIA214</v>
          </cell>
          <cell r="F21" t="str">
            <v>DI</v>
          </cell>
          <cell r="G21" t="str">
            <v>DC</v>
          </cell>
          <cell r="H21">
            <v>0</v>
          </cell>
          <cell r="I21">
            <v>1</v>
          </cell>
          <cell r="J21">
            <v>0</v>
          </cell>
          <cell r="K21">
            <v>0</v>
          </cell>
          <cell r="L21">
            <v>11</v>
          </cell>
          <cell r="M21" t="str">
            <v>VP</v>
          </cell>
          <cell r="N21">
            <v>1</v>
          </cell>
        </row>
        <row r="29">
          <cell r="C29">
            <v>45915</v>
          </cell>
        </row>
        <row r="30">
          <cell r="C30">
            <v>45918</v>
          </cell>
        </row>
        <row r="31">
          <cell r="C31" t="str">
            <v>Conf.dr.ing. Mihai POSTOLACHE</v>
          </cell>
        </row>
        <row r="32">
          <cell r="C32"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magicleap.com/magic-leap-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B337D-C768-4717-9AD0-3045BFDB4D7B}">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Automata and Microprogramming</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AIA209</v>
      </c>
      <c r="F14" s="18"/>
      <c r="G14" s="18"/>
      <c r="H14" s="18"/>
      <c r="I14" s="7" t="s">
        <v>16</v>
      </c>
      <c r="J14" s="8"/>
      <c r="K14" s="8"/>
      <c r="L14" s="10"/>
      <c r="M14" s="22" t="str">
        <f t="array" aca="1" ref="M14" ca="1">INDEX([1]Date!G8:G21, MATCH(E12,[1]Date!C8:C21,0),0)</f>
        <v>DD</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t="s">
        <v>19</v>
      </c>
      <c r="F16" s="8"/>
      <c r="G16" s="8"/>
      <c r="H16" s="8"/>
      <c r="I16" s="8"/>
      <c r="J16" s="8"/>
      <c r="K16" s="8"/>
      <c r="L16" s="8"/>
      <c r="M16" s="10"/>
      <c r="N16" s="5"/>
    </row>
    <row r="17" spans="1:14" ht="15.5" x14ac:dyDescent="0.35">
      <c r="A17" s="13" t="s">
        <v>20</v>
      </c>
      <c r="B17" s="14"/>
      <c r="C17" s="14"/>
      <c r="D17" s="15"/>
      <c r="E17" s="23" t="s">
        <v>21</v>
      </c>
      <c r="F17" s="8"/>
      <c r="G17" s="8"/>
      <c r="H17" s="8"/>
      <c r="I17" s="8"/>
      <c r="J17" s="8"/>
      <c r="K17" s="8"/>
      <c r="L17" s="8"/>
      <c r="M17" s="10"/>
      <c r="N17" s="5"/>
    </row>
    <row r="18" spans="1:14" ht="15.5" x14ac:dyDescent="0.35">
      <c r="A18" s="25"/>
      <c r="B18" s="2"/>
      <c r="C18" s="2"/>
      <c r="D18" s="26"/>
      <c r="E18" s="23" t="s">
        <v>22</v>
      </c>
      <c r="F18" s="8"/>
      <c r="G18" s="8"/>
      <c r="H18" s="8"/>
      <c r="I18" s="8"/>
      <c r="J18" s="8"/>
      <c r="K18" s="8"/>
      <c r="L18" s="8"/>
      <c r="M18" s="10"/>
      <c r="N18" s="5"/>
    </row>
    <row r="19" spans="1:14" ht="15.5" x14ac:dyDescent="0.35">
      <c r="A19" s="25"/>
      <c r="B19" s="2"/>
      <c r="C19" s="2"/>
      <c r="D19" s="26"/>
      <c r="E19" s="23" t="s">
        <v>19</v>
      </c>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23</v>
      </c>
      <c r="B23" s="10"/>
      <c r="C23" s="27">
        <f>[1]Date!B4</f>
        <v>2</v>
      </c>
      <c r="D23" s="28" t="s">
        <v>24</v>
      </c>
      <c r="E23" s="27">
        <f t="array" aca="1" ref="E23" ca="1">INDEX([1]Date!A8:A21, MATCH(E12,[1]Date!C8:C21,0),0)</f>
        <v>2</v>
      </c>
      <c r="F23" s="29" t="s">
        <v>25</v>
      </c>
      <c r="G23" s="8"/>
      <c r="H23" s="10"/>
      <c r="I23" s="22" t="str">
        <f t="array" aca="1" ref="I23" ca="1">INDEX([1]Date!M8:M21, MATCH(E12,[1]Date!C8:C21,0),0)</f>
        <v>E</v>
      </c>
      <c r="J23" s="29" t="s">
        <v>26</v>
      </c>
      <c r="K23" s="8"/>
      <c r="L23" s="10"/>
      <c r="M23" s="27" t="str">
        <f t="array" aca="1" ref="M23" ca="1">INDEX([1]Date!F8:F21, MATCH(E12,[1]Date!C8:C21,0),0)</f>
        <v>DI</v>
      </c>
      <c r="N23" s="5"/>
    </row>
    <row r="24" spans="1:14" ht="15.5" x14ac:dyDescent="0.35">
      <c r="A24" s="12"/>
      <c r="B24" s="2"/>
      <c r="C24" s="2"/>
      <c r="D24" s="2"/>
      <c r="E24" s="2"/>
      <c r="F24" s="2"/>
      <c r="G24" s="2"/>
      <c r="H24" s="2"/>
      <c r="I24" s="2"/>
      <c r="J24" s="2"/>
      <c r="K24" s="2"/>
      <c r="L24" s="2"/>
      <c r="M24" s="2"/>
      <c r="N24" s="5"/>
    </row>
    <row r="25" spans="1:14" ht="15.5" x14ac:dyDescent="0.35">
      <c r="A25" s="6" t="s">
        <v>27</v>
      </c>
      <c r="B25" s="2"/>
      <c r="C25" s="2"/>
      <c r="D25" s="2"/>
      <c r="E25" s="2"/>
      <c r="F25" s="2"/>
      <c r="G25" s="2"/>
      <c r="H25" s="2"/>
      <c r="I25" s="2"/>
      <c r="J25" s="2"/>
      <c r="K25" s="2"/>
      <c r="L25" s="2"/>
      <c r="M25" s="2"/>
      <c r="N25" s="30"/>
    </row>
    <row r="26" spans="1:14" ht="31" x14ac:dyDescent="0.35">
      <c r="A26" s="7" t="s">
        <v>28</v>
      </c>
      <c r="B26" s="10"/>
      <c r="C26" s="31">
        <f ca="1">SUM(E26+G26+I26+K26)</f>
        <v>4</v>
      </c>
      <c r="D26" s="28" t="s">
        <v>29</v>
      </c>
      <c r="E26" s="27">
        <f t="array" aca="1" ref="E26" ca="1">INDEX([1]Date!H8:H21, MATCH(E12,[1]Date!C8:C21,0),0)</f>
        <v>2</v>
      </c>
      <c r="F26" s="28" t="s">
        <v>30</v>
      </c>
      <c r="G26" s="27">
        <f t="array" aca="1" ref="G26" ca="1">INDEX([1]Date!I8:I21, MATCH(E12,[1]Date!C8:C21,0),0)</f>
        <v>0</v>
      </c>
      <c r="H26" s="28" t="s">
        <v>31</v>
      </c>
      <c r="I26" s="31">
        <f t="array" aca="1" ref="I26" ca="1">INDEX([1]Date!J8:J21, MATCH(E12,[1]Date!C8:C21,0),0)</f>
        <v>1</v>
      </c>
      <c r="J26" s="28" t="s">
        <v>32</v>
      </c>
      <c r="K26" s="27">
        <f t="array" aca="1" ref="K26" ca="1">INDEX([1]Date!K8:K21, MATCH(E12,[1]Date!C8:C21,0),0)</f>
        <v>1</v>
      </c>
      <c r="L26" s="7" t="s">
        <v>33</v>
      </c>
      <c r="M26" s="10"/>
      <c r="N26" s="30"/>
    </row>
    <row r="27" spans="1:14" ht="31" x14ac:dyDescent="0.35">
      <c r="A27" s="7" t="s">
        <v>34</v>
      </c>
      <c r="B27" s="10"/>
      <c r="C27" s="27">
        <f ca="1">C26*14</f>
        <v>56</v>
      </c>
      <c r="D27" s="28" t="s">
        <v>35</v>
      </c>
      <c r="E27" s="27">
        <f ca="1">E26*14</f>
        <v>28</v>
      </c>
      <c r="F27" s="28" t="s">
        <v>36</v>
      </c>
      <c r="G27" s="27">
        <f ca="1">G26*14</f>
        <v>0</v>
      </c>
      <c r="H27" s="28" t="s">
        <v>37</v>
      </c>
      <c r="I27" s="27">
        <f ca="1">I26*14</f>
        <v>14</v>
      </c>
      <c r="J27" s="28" t="s">
        <v>38</v>
      </c>
      <c r="K27" s="27">
        <f ca="1">K26*14</f>
        <v>14</v>
      </c>
      <c r="L27" s="28" t="s">
        <v>39</v>
      </c>
      <c r="M27" s="27">
        <v>0</v>
      </c>
      <c r="N27" s="5"/>
    </row>
    <row r="28" spans="1:14" ht="15.5" x14ac:dyDescent="0.35">
      <c r="A28" s="7" t="s">
        <v>40</v>
      </c>
      <c r="B28" s="8"/>
      <c r="C28" s="8"/>
      <c r="D28" s="8"/>
      <c r="E28" s="8"/>
      <c r="F28" s="8"/>
      <c r="G28" s="8"/>
      <c r="H28" s="8"/>
      <c r="I28" s="8"/>
      <c r="J28" s="8"/>
      <c r="K28" s="8"/>
      <c r="L28" s="10"/>
      <c r="M28" s="27" t="s">
        <v>41</v>
      </c>
      <c r="N28" s="5"/>
    </row>
    <row r="29" spans="1:14" ht="15.5" x14ac:dyDescent="0.35">
      <c r="A29" s="7" t="s">
        <v>42</v>
      </c>
      <c r="B29" s="8"/>
      <c r="C29" s="8"/>
      <c r="D29" s="8"/>
      <c r="E29" s="8"/>
      <c r="F29" s="8"/>
      <c r="G29" s="8"/>
      <c r="H29" s="8"/>
      <c r="I29" s="8"/>
      <c r="J29" s="8"/>
      <c r="K29" s="8"/>
      <c r="L29" s="10"/>
      <c r="M29" s="32">
        <v>29</v>
      </c>
      <c r="N29" s="5"/>
    </row>
    <row r="30" spans="1:14" ht="15.5" x14ac:dyDescent="0.35">
      <c r="A30" s="7" t="s">
        <v>43</v>
      </c>
      <c r="B30" s="8"/>
      <c r="C30" s="8"/>
      <c r="D30" s="8"/>
      <c r="E30" s="8"/>
      <c r="F30" s="8"/>
      <c r="G30" s="8"/>
      <c r="H30" s="8"/>
      <c r="I30" s="8"/>
      <c r="J30" s="8"/>
      <c r="K30" s="8"/>
      <c r="L30" s="10"/>
      <c r="M30" s="32">
        <v>20</v>
      </c>
      <c r="N30" s="5"/>
    </row>
    <row r="31" spans="1:14" ht="15.5" x14ac:dyDescent="0.35">
      <c r="A31" s="7" t="s">
        <v>44</v>
      </c>
      <c r="B31" s="8"/>
      <c r="C31" s="8"/>
      <c r="D31" s="8"/>
      <c r="E31" s="8"/>
      <c r="F31" s="8"/>
      <c r="G31" s="8"/>
      <c r="H31" s="8"/>
      <c r="I31" s="8"/>
      <c r="J31" s="8"/>
      <c r="K31" s="8"/>
      <c r="L31" s="10"/>
      <c r="M31" s="32">
        <v>20</v>
      </c>
      <c r="N31" s="5"/>
    </row>
    <row r="32" spans="1:14" ht="15.5" x14ac:dyDescent="0.35">
      <c r="A32" s="7" t="s">
        <v>45</v>
      </c>
      <c r="B32" s="8"/>
      <c r="C32" s="8"/>
      <c r="D32" s="8"/>
      <c r="E32" s="8"/>
      <c r="F32" s="8"/>
      <c r="G32" s="8"/>
      <c r="H32" s="8"/>
      <c r="I32" s="8"/>
      <c r="J32" s="8"/>
      <c r="K32" s="8"/>
      <c r="L32" s="10"/>
      <c r="M32" s="27">
        <f t="array" aca="1" ref="M32" ca="1">IF(INDEX([1]Date!M8:M21, MATCH(E12,[1]Date!C8:C21,0),0)="E",3,0)</f>
        <v>3</v>
      </c>
      <c r="N32" s="5"/>
    </row>
    <row r="33" spans="1:14" ht="15.5" x14ac:dyDescent="0.35">
      <c r="A33" s="7" t="s">
        <v>46</v>
      </c>
      <c r="B33" s="8"/>
      <c r="C33" s="8"/>
      <c r="D33" s="8"/>
      <c r="E33" s="8"/>
      <c r="F33" s="8"/>
      <c r="G33" s="8"/>
      <c r="H33" s="8"/>
      <c r="I33" s="8"/>
      <c r="J33" s="8"/>
      <c r="K33" s="8"/>
      <c r="L33" s="10"/>
      <c r="M33" s="27">
        <f ca="1">C34-SUM(M29:M31)</f>
        <v>0</v>
      </c>
      <c r="N33" s="5"/>
    </row>
    <row r="34" spans="1:14" ht="15.5" x14ac:dyDescent="0.35">
      <c r="A34" s="7" t="s">
        <v>47</v>
      </c>
      <c r="B34" s="10"/>
      <c r="C34" s="27">
        <f t="array" aca="1" ref="C34" ca="1">INDEX([1]Date!L8:L21, MATCH(E12,[1]Date!C8:C21,0),0)</f>
        <v>69</v>
      </c>
      <c r="D34" s="5"/>
      <c r="E34" s="5"/>
      <c r="F34" s="5"/>
      <c r="G34" s="5"/>
      <c r="H34" s="5"/>
      <c r="I34" s="5"/>
      <c r="J34" s="5"/>
      <c r="K34" s="5"/>
      <c r="L34" s="5"/>
      <c r="M34" s="5"/>
      <c r="N34" s="5"/>
    </row>
    <row r="35" spans="1:14" ht="15.5" x14ac:dyDescent="0.35">
      <c r="A35" s="7" t="s">
        <v>48</v>
      </c>
      <c r="B35" s="10"/>
      <c r="C35" s="27">
        <f ca="1">C27+C34</f>
        <v>125</v>
      </c>
      <c r="D35" s="5"/>
      <c r="E35" s="5"/>
      <c r="F35" s="5"/>
      <c r="G35" s="5"/>
      <c r="H35" s="5"/>
      <c r="I35" s="5"/>
      <c r="J35" s="5"/>
      <c r="K35" s="5"/>
      <c r="L35" s="5"/>
      <c r="M35" s="5"/>
      <c r="N35" s="5"/>
    </row>
    <row r="36" spans="1:14" ht="15.5" x14ac:dyDescent="0.35">
      <c r="A36" s="7" t="s">
        <v>49</v>
      </c>
      <c r="B36" s="10"/>
      <c r="C36" s="27">
        <f t="array" aca="1" ref="C36" ca="1">INDEX([1]Date!N8:N21, MATCH(E12,[1]Date!C8:C21,0),0)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50</v>
      </c>
      <c r="B38" s="2"/>
      <c r="C38" s="2"/>
      <c r="D38" s="2"/>
      <c r="E38" s="2"/>
      <c r="F38" s="2"/>
      <c r="G38" s="2"/>
      <c r="H38" s="2"/>
      <c r="I38" s="2"/>
      <c r="J38" s="2"/>
      <c r="K38" s="2"/>
      <c r="L38" s="2"/>
      <c r="M38" s="2"/>
      <c r="N38" s="30"/>
    </row>
    <row r="39" spans="1:14" ht="15.5" x14ac:dyDescent="0.35">
      <c r="A39" s="7" t="s">
        <v>51</v>
      </c>
      <c r="B39" s="10"/>
      <c r="C39" s="9" t="s">
        <v>52</v>
      </c>
      <c r="D39" s="8"/>
      <c r="E39" s="8"/>
      <c r="F39" s="8"/>
      <c r="G39" s="8"/>
      <c r="H39" s="8"/>
      <c r="I39" s="8"/>
      <c r="J39" s="8"/>
      <c r="K39" s="8"/>
      <c r="L39" s="8"/>
      <c r="M39" s="10"/>
      <c r="N39" s="30"/>
    </row>
    <row r="40" spans="1:14" ht="15.5" x14ac:dyDescent="0.35">
      <c r="A40" s="7" t="s">
        <v>53</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54</v>
      </c>
      <c r="B42" s="2"/>
      <c r="C42" s="2"/>
      <c r="D42" s="2"/>
      <c r="E42" s="2"/>
      <c r="F42" s="2"/>
      <c r="G42" s="2"/>
      <c r="H42" s="2"/>
      <c r="I42" s="2"/>
      <c r="J42" s="2"/>
      <c r="K42" s="2"/>
      <c r="L42" s="2"/>
      <c r="M42" s="2"/>
      <c r="N42" s="30"/>
    </row>
    <row r="43" spans="1:14" ht="15.5" x14ac:dyDescent="0.35">
      <c r="A43" s="7" t="s">
        <v>55</v>
      </c>
      <c r="B43" s="10"/>
      <c r="C43" s="33" t="s">
        <v>56</v>
      </c>
      <c r="D43" s="8"/>
      <c r="E43" s="8"/>
      <c r="F43" s="8"/>
      <c r="G43" s="8"/>
      <c r="H43" s="8"/>
      <c r="I43" s="8"/>
      <c r="J43" s="8"/>
      <c r="K43" s="8"/>
      <c r="L43" s="8"/>
      <c r="M43" s="10"/>
      <c r="N43" s="30"/>
    </row>
    <row r="44" spans="1:14" ht="15.5" x14ac:dyDescent="0.35">
      <c r="A44" s="7" t="s">
        <v>57</v>
      </c>
      <c r="B44" s="10"/>
      <c r="C44" s="33" t="s">
        <v>58</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59</v>
      </c>
      <c r="B46" s="2"/>
      <c r="C46" s="2"/>
      <c r="D46" s="2"/>
      <c r="E46" s="2"/>
      <c r="F46" s="2"/>
      <c r="G46" s="2"/>
      <c r="H46" s="2"/>
      <c r="I46" s="2"/>
      <c r="J46" s="2"/>
      <c r="K46" s="2"/>
      <c r="L46" s="2"/>
      <c r="M46" s="2"/>
      <c r="N46" s="30"/>
    </row>
    <row r="47" spans="1:14" ht="62.25" customHeight="1" x14ac:dyDescent="0.35">
      <c r="A47" s="23" t="s">
        <v>60</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61</v>
      </c>
      <c r="B49" s="2"/>
      <c r="C49" s="2"/>
      <c r="D49" s="2"/>
      <c r="E49" s="2"/>
      <c r="F49" s="2"/>
      <c r="G49" s="2"/>
      <c r="H49" s="2"/>
      <c r="I49" s="2"/>
      <c r="J49" s="2"/>
      <c r="K49" s="2"/>
      <c r="L49" s="2"/>
      <c r="M49" s="2"/>
      <c r="N49" s="30"/>
    </row>
    <row r="50" spans="1:14" ht="15.5" x14ac:dyDescent="0.35">
      <c r="A50" s="34" t="s">
        <v>62</v>
      </c>
      <c r="B50" s="35" t="s">
        <v>63</v>
      </c>
      <c r="C50" s="8"/>
      <c r="D50" s="8"/>
      <c r="E50" s="8"/>
      <c r="F50" s="8"/>
      <c r="G50" s="8"/>
      <c r="H50" s="8"/>
      <c r="I50" s="8"/>
      <c r="J50" s="8"/>
      <c r="K50" s="8"/>
      <c r="L50" s="8"/>
      <c r="M50" s="10"/>
      <c r="N50" s="5"/>
    </row>
    <row r="51" spans="1:14" ht="15.5" x14ac:dyDescent="0.35">
      <c r="A51" s="36"/>
      <c r="B51" s="37" t="s">
        <v>64</v>
      </c>
      <c r="C51" s="8"/>
      <c r="D51" s="8"/>
      <c r="E51" s="8"/>
      <c r="F51" s="8"/>
      <c r="G51" s="8"/>
      <c r="H51" s="8"/>
      <c r="I51" s="8"/>
      <c r="J51" s="8"/>
      <c r="K51" s="8"/>
      <c r="L51" s="8"/>
      <c r="M51" s="10"/>
      <c r="N51" s="5"/>
    </row>
    <row r="52" spans="1:14" ht="15.5" x14ac:dyDescent="0.35">
      <c r="A52" s="34" t="s">
        <v>65</v>
      </c>
      <c r="B52" s="35" t="s">
        <v>63</v>
      </c>
      <c r="C52" s="8"/>
      <c r="D52" s="8"/>
      <c r="E52" s="8"/>
      <c r="F52" s="8"/>
      <c r="G52" s="8"/>
      <c r="H52" s="8"/>
      <c r="I52" s="8"/>
      <c r="J52" s="8"/>
      <c r="K52" s="8"/>
      <c r="L52" s="8"/>
      <c r="M52" s="10"/>
      <c r="N52" s="5"/>
    </row>
    <row r="53" spans="1:14" ht="15.5" x14ac:dyDescent="0.35">
      <c r="A53" s="36"/>
      <c r="B53" s="37" t="s">
        <v>66</v>
      </c>
      <c r="C53" s="8"/>
      <c r="D53" s="8"/>
      <c r="E53" s="8"/>
      <c r="F53" s="8"/>
      <c r="G53" s="8"/>
      <c r="H53" s="8"/>
      <c r="I53" s="8"/>
      <c r="J53" s="8"/>
      <c r="K53" s="8"/>
      <c r="L53" s="8"/>
      <c r="M53" s="10"/>
      <c r="N53" s="5"/>
    </row>
    <row r="54" spans="1:14" ht="18" customHeight="1" x14ac:dyDescent="0.35">
      <c r="A54" s="34" t="s">
        <v>67</v>
      </c>
      <c r="B54" s="35" t="s">
        <v>63</v>
      </c>
      <c r="C54" s="8"/>
      <c r="D54" s="8"/>
      <c r="E54" s="8"/>
      <c r="F54" s="8"/>
      <c r="G54" s="8"/>
      <c r="H54" s="8"/>
      <c r="I54" s="8"/>
      <c r="J54" s="8"/>
      <c r="K54" s="8"/>
      <c r="L54" s="8"/>
      <c r="M54" s="10"/>
      <c r="N54" s="5"/>
    </row>
    <row r="55" spans="1:14" ht="104.25" customHeight="1" x14ac:dyDescent="0.35">
      <c r="A55" s="36"/>
      <c r="B55" s="38" t="s">
        <v>68</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69</v>
      </c>
      <c r="B57" s="2"/>
      <c r="C57" s="2"/>
      <c r="D57" s="2"/>
      <c r="E57" s="2"/>
      <c r="F57" s="2"/>
      <c r="G57" s="2"/>
      <c r="H57" s="2"/>
      <c r="I57" s="2"/>
      <c r="J57" s="2"/>
      <c r="K57" s="2"/>
      <c r="L57" s="2"/>
      <c r="M57" s="2"/>
      <c r="N57" s="30"/>
    </row>
    <row r="58" spans="1:14" ht="53.25" customHeight="1" x14ac:dyDescent="0.35">
      <c r="A58" s="23" t="s">
        <v>70</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71</v>
      </c>
      <c r="B60" s="2"/>
      <c r="C60" s="2"/>
      <c r="D60" s="2"/>
      <c r="E60" s="2"/>
      <c r="F60" s="2"/>
      <c r="G60" s="2"/>
      <c r="H60" s="2"/>
      <c r="I60" s="2"/>
      <c r="J60" s="2"/>
      <c r="K60" s="2"/>
      <c r="L60" s="2"/>
      <c r="M60" s="2"/>
      <c r="N60" s="30"/>
    </row>
    <row r="61" spans="1:14" ht="24.75" customHeight="1" x14ac:dyDescent="0.35">
      <c r="A61" s="39" t="s">
        <v>72</v>
      </c>
      <c r="B61" s="8"/>
      <c r="C61" s="8"/>
      <c r="D61" s="8"/>
      <c r="E61" s="8"/>
      <c r="F61" s="8"/>
      <c r="G61" s="10"/>
      <c r="H61" s="39" t="s">
        <v>73</v>
      </c>
      <c r="I61" s="8"/>
      <c r="J61" s="8"/>
      <c r="K61" s="10"/>
      <c r="L61" s="39" t="s">
        <v>74</v>
      </c>
      <c r="M61" s="10"/>
      <c r="N61" s="30"/>
    </row>
    <row r="62" spans="1:14" ht="15.5" x14ac:dyDescent="0.35">
      <c r="A62" s="40" t="s">
        <v>75</v>
      </c>
      <c r="B62" s="23" t="s">
        <v>76</v>
      </c>
      <c r="C62" s="8"/>
      <c r="D62" s="8"/>
      <c r="E62" s="8"/>
      <c r="F62" s="8"/>
      <c r="G62" s="10"/>
      <c r="H62" s="41" t="s">
        <v>77</v>
      </c>
      <c r="I62" s="14"/>
      <c r="J62" s="14"/>
      <c r="K62" s="15"/>
      <c r="L62" s="42" t="s">
        <v>78</v>
      </c>
      <c r="M62" s="10"/>
      <c r="N62" s="5"/>
    </row>
    <row r="63" spans="1:14" ht="15.5" x14ac:dyDescent="0.35">
      <c r="A63" s="40" t="s">
        <v>79</v>
      </c>
      <c r="B63" s="23" t="s">
        <v>80</v>
      </c>
      <c r="C63" s="8"/>
      <c r="D63" s="8"/>
      <c r="E63" s="8"/>
      <c r="F63" s="8"/>
      <c r="G63" s="10"/>
      <c r="H63" s="25"/>
      <c r="I63" s="2"/>
      <c r="J63" s="2"/>
      <c r="K63" s="26"/>
      <c r="L63" s="42" t="s">
        <v>81</v>
      </c>
      <c r="M63" s="10"/>
      <c r="N63" s="5"/>
    </row>
    <row r="64" spans="1:14" ht="15.5" x14ac:dyDescent="0.35">
      <c r="A64" s="40" t="s">
        <v>82</v>
      </c>
      <c r="B64" s="23" t="s">
        <v>83</v>
      </c>
      <c r="C64" s="8"/>
      <c r="D64" s="8"/>
      <c r="E64" s="8"/>
      <c r="F64" s="8"/>
      <c r="G64" s="10"/>
      <c r="H64" s="25"/>
      <c r="I64" s="2"/>
      <c r="J64" s="2"/>
      <c r="K64" s="26"/>
      <c r="L64" s="42" t="s">
        <v>81</v>
      </c>
      <c r="M64" s="10"/>
      <c r="N64" s="5"/>
    </row>
    <row r="65" spans="1:14" ht="15.5" x14ac:dyDescent="0.35">
      <c r="A65" s="40" t="s">
        <v>84</v>
      </c>
      <c r="B65" s="23" t="s">
        <v>85</v>
      </c>
      <c r="C65" s="8"/>
      <c r="D65" s="8"/>
      <c r="E65" s="8"/>
      <c r="F65" s="8"/>
      <c r="G65" s="10"/>
      <c r="H65" s="25"/>
      <c r="I65" s="2"/>
      <c r="J65" s="2"/>
      <c r="K65" s="26"/>
      <c r="L65" s="42" t="s">
        <v>78</v>
      </c>
      <c r="M65" s="10"/>
      <c r="N65" s="5"/>
    </row>
    <row r="66" spans="1:14" ht="15.5" x14ac:dyDescent="0.35">
      <c r="A66" s="40" t="s">
        <v>86</v>
      </c>
      <c r="B66" s="23" t="s">
        <v>87</v>
      </c>
      <c r="C66" s="8"/>
      <c r="D66" s="8"/>
      <c r="E66" s="8"/>
      <c r="F66" s="8"/>
      <c r="G66" s="10"/>
      <c r="H66" s="25"/>
      <c r="I66" s="2"/>
      <c r="J66" s="2"/>
      <c r="K66" s="26"/>
      <c r="L66" s="42" t="s">
        <v>81</v>
      </c>
      <c r="M66" s="10"/>
      <c r="N66" s="5"/>
    </row>
    <row r="67" spans="1:14" ht="15.5" x14ac:dyDescent="0.35">
      <c r="A67" s="40" t="s">
        <v>88</v>
      </c>
      <c r="B67" s="23" t="s">
        <v>89</v>
      </c>
      <c r="C67" s="8"/>
      <c r="D67" s="8"/>
      <c r="E67" s="8"/>
      <c r="F67" s="8"/>
      <c r="G67" s="10"/>
      <c r="H67" s="25"/>
      <c r="I67" s="2"/>
      <c r="J67" s="2"/>
      <c r="K67" s="26"/>
      <c r="L67" s="42" t="s">
        <v>90</v>
      </c>
      <c r="M67" s="10"/>
      <c r="N67" s="5"/>
    </row>
    <row r="68" spans="1:14" ht="15.5" x14ac:dyDescent="0.35">
      <c r="A68" s="40" t="s">
        <v>91</v>
      </c>
      <c r="B68" s="23" t="s">
        <v>92</v>
      </c>
      <c r="C68" s="8"/>
      <c r="D68" s="8"/>
      <c r="E68" s="8"/>
      <c r="F68" s="8"/>
      <c r="G68" s="10"/>
      <c r="H68" s="25"/>
      <c r="I68" s="2"/>
      <c r="J68" s="2"/>
      <c r="K68" s="26"/>
      <c r="L68" s="42" t="s">
        <v>78</v>
      </c>
      <c r="M68" s="10"/>
      <c r="N68" s="5"/>
    </row>
    <row r="69" spans="1:14" ht="15.5" x14ac:dyDescent="0.35">
      <c r="A69" s="40" t="s">
        <v>93</v>
      </c>
      <c r="B69" s="23"/>
      <c r="C69" s="8"/>
      <c r="D69" s="8"/>
      <c r="E69" s="8"/>
      <c r="F69" s="8"/>
      <c r="G69" s="10"/>
      <c r="H69" s="25"/>
      <c r="I69" s="2"/>
      <c r="J69" s="2"/>
      <c r="K69" s="26"/>
      <c r="L69" s="23"/>
      <c r="M69" s="10"/>
      <c r="N69" s="5"/>
    </row>
    <row r="70" spans="1:14" ht="15.5" hidden="1" x14ac:dyDescent="0.35">
      <c r="A70" s="40" t="s">
        <v>94</v>
      </c>
      <c r="B70" s="23"/>
      <c r="C70" s="8"/>
      <c r="D70" s="8"/>
      <c r="E70" s="8"/>
      <c r="F70" s="8"/>
      <c r="G70" s="10"/>
      <c r="H70" s="25"/>
      <c r="I70" s="2"/>
      <c r="J70" s="2"/>
      <c r="K70" s="26"/>
      <c r="L70" s="23"/>
      <c r="M70" s="10"/>
      <c r="N70" s="5"/>
    </row>
    <row r="71" spans="1:14" ht="15.5" hidden="1" x14ac:dyDescent="0.35">
      <c r="A71" s="40" t="s">
        <v>95</v>
      </c>
      <c r="B71" s="23"/>
      <c r="C71" s="8"/>
      <c r="D71" s="8"/>
      <c r="E71" s="8"/>
      <c r="F71" s="8"/>
      <c r="G71" s="10"/>
      <c r="H71" s="25"/>
      <c r="I71" s="2"/>
      <c r="J71" s="2"/>
      <c r="K71" s="26"/>
      <c r="L71" s="23"/>
      <c r="M71" s="10"/>
      <c r="N71" s="5"/>
    </row>
    <row r="72" spans="1:14" ht="15.5" hidden="1" x14ac:dyDescent="0.35">
      <c r="A72" s="40" t="s">
        <v>96</v>
      </c>
      <c r="B72" s="23"/>
      <c r="C72" s="8"/>
      <c r="D72" s="8"/>
      <c r="E72" s="8"/>
      <c r="F72" s="8"/>
      <c r="G72" s="10"/>
      <c r="H72" s="25"/>
      <c r="I72" s="2"/>
      <c r="J72" s="2"/>
      <c r="K72" s="26"/>
      <c r="L72" s="23"/>
      <c r="M72" s="10"/>
      <c r="N72" s="5"/>
    </row>
    <row r="73" spans="1:14" ht="15.5" hidden="1" x14ac:dyDescent="0.35">
      <c r="A73" s="40" t="s">
        <v>97</v>
      </c>
      <c r="B73" s="23"/>
      <c r="C73" s="8"/>
      <c r="D73" s="8"/>
      <c r="E73" s="8"/>
      <c r="F73" s="8"/>
      <c r="G73" s="10"/>
      <c r="H73" s="25"/>
      <c r="I73" s="2"/>
      <c r="J73" s="2"/>
      <c r="K73" s="26"/>
      <c r="L73" s="23"/>
      <c r="M73" s="10"/>
      <c r="N73" s="5"/>
    </row>
    <row r="74" spans="1:14" ht="15.5" hidden="1" x14ac:dyDescent="0.35">
      <c r="A74" s="40" t="s">
        <v>98</v>
      </c>
      <c r="B74" s="23"/>
      <c r="C74" s="8"/>
      <c r="D74" s="8"/>
      <c r="E74" s="8"/>
      <c r="F74" s="8"/>
      <c r="G74" s="10"/>
      <c r="H74" s="25"/>
      <c r="I74" s="2"/>
      <c r="J74" s="2"/>
      <c r="K74" s="26"/>
      <c r="L74" s="23"/>
      <c r="M74" s="10"/>
      <c r="N74" s="5"/>
    </row>
    <row r="75" spans="1:14" ht="15.5" hidden="1" x14ac:dyDescent="0.35">
      <c r="A75" s="40" t="s">
        <v>99</v>
      </c>
      <c r="B75" s="23"/>
      <c r="C75" s="8"/>
      <c r="D75" s="8"/>
      <c r="E75" s="8"/>
      <c r="F75" s="8"/>
      <c r="G75" s="10"/>
      <c r="H75" s="24"/>
      <c r="I75" s="18"/>
      <c r="J75" s="18"/>
      <c r="K75" s="19"/>
      <c r="L75" s="23"/>
      <c r="M75" s="10"/>
      <c r="N75" s="5"/>
    </row>
    <row r="76" spans="1:14" ht="15.5" x14ac:dyDescent="0.35">
      <c r="A76" s="38" t="s">
        <v>100</v>
      </c>
      <c r="B76" s="8"/>
      <c r="C76" s="8"/>
      <c r="D76" s="8"/>
      <c r="E76" s="8"/>
      <c r="F76" s="8"/>
      <c r="G76" s="8"/>
      <c r="H76" s="8"/>
      <c r="I76" s="8"/>
      <c r="J76" s="8"/>
      <c r="K76" s="8"/>
      <c r="L76" s="8"/>
      <c r="M76" s="10"/>
      <c r="N76" s="5"/>
    </row>
    <row r="77" spans="1:14" ht="24.75" hidden="1" customHeight="1" x14ac:dyDescent="0.35">
      <c r="A77" s="39" t="s">
        <v>101</v>
      </c>
      <c r="B77" s="8"/>
      <c r="C77" s="8"/>
      <c r="D77" s="8"/>
      <c r="E77" s="8"/>
      <c r="F77" s="8"/>
      <c r="G77" s="10"/>
      <c r="H77" s="39" t="s">
        <v>102</v>
      </c>
      <c r="I77" s="8"/>
      <c r="J77" s="8"/>
      <c r="K77" s="10"/>
      <c r="L77" s="39" t="s">
        <v>74</v>
      </c>
      <c r="M77" s="10"/>
      <c r="N77" s="30"/>
    </row>
    <row r="78" spans="1:14" ht="15.5" hidden="1" x14ac:dyDescent="0.35">
      <c r="A78" s="40" t="s">
        <v>75</v>
      </c>
      <c r="B78" s="23"/>
      <c r="C78" s="8"/>
      <c r="D78" s="8"/>
      <c r="E78" s="8"/>
      <c r="F78" s="8"/>
      <c r="G78" s="10"/>
      <c r="H78" s="43"/>
      <c r="I78" s="14"/>
      <c r="J78" s="14"/>
      <c r="K78" s="15"/>
      <c r="L78" s="23"/>
      <c r="M78" s="10"/>
      <c r="N78" s="5"/>
    </row>
    <row r="79" spans="1:14" ht="15.5" hidden="1" x14ac:dyDescent="0.35">
      <c r="A79" s="40" t="s">
        <v>79</v>
      </c>
      <c r="B79" s="23"/>
      <c r="C79" s="8"/>
      <c r="D79" s="8"/>
      <c r="E79" s="8"/>
      <c r="F79" s="8"/>
      <c r="G79" s="10"/>
      <c r="H79" s="25"/>
      <c r="I79" s="2"/>
      <c r="J79" s="2"/>
      <c r="K79" s="26"/>
      <c r="L79" s="23"/>
      <c r="M79" s="10"/>
      <c r="N79" s="5"/>
    </row>
    <row r="80" spans="1:14" ht="15.5" hidden="1" x14ac:dyDescent="0.35">
      <c r="A80" s="40" t="s">
        <v>82</v>
      </c>
      <c r="B80" s="23"/>
      <c r="C80" s="8"/>
      <c r="D80" s="8"/>
      <c r="E80" s="8"/>
      <c r="F80" s="8"/>
      <c r="G80" s="10"/>
      <c r="H80" s="25"/>
      <c r="I80" s="2"/>
      <c r="J80" s="2"/>
      <c r="K80" s="26"/>
      <c r="L80" s="23"/>
      <c r="M80" s="10"/>
      <c r="N80" s="5"/>
    </row>
    <row r="81" spans="1:14" ht="15.5" hidden="1" x14ac:dyDescent="0.35">
      <c r="A81" s="40" t="s">
        <v>84</v>
      </c>
      <c r="B81" s="23"/>
      <c r="C81" s="8"/>
      <c r="D81" s="8"/>
      <c r="E81" s="8"/>
      <c r="F81" s="8"/>
      <c r="G81" s="10"/>
      <c r="H81" s="25"/>
      <c r="I81" s="2"/>
      <c r="J81" s="2"/>
      <c r="K81" s="26"/>
      <c r="L81" s="23"/>
      <c r="M81" s="10"/>
      <c r="N81" s="5"/>
    </row>
    <row r="82" spans="1:14" ht="15.5" hidden="1" x14ac:dyDescent="0.35">
      <c r="A82" s="40" t="s">
        <v>86</v>
      </c>
      <c r="B82" s="23"/>
      <c r="C82" s="8"/>
      <c r="D82" s="8"/>
      <c r="E82" s="8"/>
      <c r="F82" s="8"/>
      <c r="G82" s="10"/>
      <c r="H82" s="25"/>
      <c r="I82" s="2"/>
      <c r="J82" s="2"/>
      <c r="K82" s="26"/>
      <c r="L82" s="23"/>
      <c r="M82" s="10"/>
      <c r="N82" s="5"/>
    </row>
    <row r="83" spans="1:14" ht="15.5" hidden="1" x14ac:dyDescent="0.35">
      <c r="A83" s="40" t="s">
        <v>88</v>
      </c>
      <c r="B83" s="23"/>
      <c r="C83" s="8"/>
      <c r="D83" s="8"/>
      <c r="E83" s="8"/>
      <c r="F83" s="8"/>
      <c r="G83" s="10"/>
      <c r="H83" s="25"/>
      <c r="I83" s="2"/>
      <c r="J83" s="2"/>
      <c r="K83" s="26"/>
      <c r="L83" s="23"/>
      <c r="M83" s="10"/>
      <c r="N83" s="5"/>
    </row>
    <row r="84" spans="1:14" ht="15.5" hidden="1" x14ac:dyDescent="0.35">
      <c r="A84" s="40" t="s">
        <v>91</v>
      </c>
      <c r="B84" s="23"/>
      <c r="C84" s="8"/>
      <c r="D84" s="8"/>
      <c r="E84" s="8"/>
      <c r="F84" s="8"/>
      <c r="G84" s="10"/>
      <c r="H84" s="25"/>
      <c r="I84" s="2"/>
      <c r="J84" s="2"/>
      <c r="K84" s="26"/>
      <c r="L84" s="23"/>
      <c r="M84" s="10"/>
      <c r="N84" s="5"/>
    </row>
    <row r="85" spans="1:14" ht="15.5" hidden="1" x14ac:dyDescent="0.35">
      <c r="A85" s="40" t="s">
        <v>93</v>
      </c>
      <c r="B85" s="23"/>
      <c r="C85" s="8"/>
      <c r="D85" s="8"/>
      <c r="E85" s="8"/>
      <c r="F85" s="8"/>
      <c r="G85" s="10"/>
      <c r="H85" s="25"/>
      <c r="I85" s="2"/>
      <c r="J85" s="2"/>
      <c r="K85" s="26"/>
      <c r="L85" s="23"/>
      <c r="M85" s="10"/>
      <c r="N85" s="5"/>
    </row>
    <row r="86" spans="1:14" ht="15.5" hidden="1" x14ac:dyDescent="0.35">
      <c r="A86" s="40" t="s">
        <v>94</v>
      </c>
      <c r="B86" s="23"/>
      <c r="C86" s="8"/>
      <c r="D86" s="8"/>
      <c r="E86" s="8"/>
      <c r="F86" s="8"/>
      <c r="G86" s="10"/>
      <c r="H86" s="25"/>
      <c r="I86" s="2"/>
      <c r="J86" s="2"/>
      <c r="K86" s="26"/>
      <c r="L86" s="23"/>
      <c r="M86" s="10"/>
      <c r="N86" s="5"/>
    </row>
    <row r="87" spans="1:14" ht="15.5" hidden="1" x14ac:dyDescent="0.35">
      <c r="A87" s="40" t="s">
        <v>95</v>
      </c>
      <c r="B87" s="23"/>
      <c r="C87" s="8"/>
      <c r="D87" s="8"/>
      <c r="E87" s="8"/>
      <c r="F87" s="8"/>
      <c r="G87" s="10"/>
      <c r="H87" s="25"/>
      <c r="I87" s="2"/>
      <c r="J87" s="2"/>
      <c r="K87" s="26"/>
      <c r="L87" s="23"/>
      <c r="M87" s="10"/>
      <c r="N87" s="5"/>
    </row>
    <row r="88" spans="1:14" ht="15.5" hidden="1" x14ac:dyDescent="0.35">
      <c r="A88" s="40" t="s">
        <v>96</v>
      </c>
      <c r="B88" s="23"/>
      <c r="C88" s="8"/>
      <c r="D88" s="8"/>
      <c r="E88" s="8"/>
      <c r="F88" s="8"/>
      <c r="G88" s="10"/>
      <c r="H88" s="25"/>
      <c r="I88" s="2"/>
      <c r="J88" s="2"/>
      <c r="K88" s="26"/>
      <c r="L88" s="23"/>
      <c r="M88" s="10"/>
      <c r="N88" s="5"/>
    </row>
    <row r="89" spans="1:14" ht="15.5" hidden="1" x14ac:dyDescent="0.35">
      <c r="A89" s="40" t="s">
        <v>97</v>
      </c>
      <c r="B89" s="23"/>
      <c r="C89" s="8"/>
      <c r="D89" s="8"/>
      <c r="E89" s="8"/>
      <c r="F89" s="8"/>
      <c r="G89" s="10"/>
      <c r="H89" s="25"/>
      <c r="I89" s="2"/>
      <c r="J89" s="2"/>
      <c r="K89" s="26"/>
      <c r="L89" s="23"/>
      <c r="M89" s="10"/>
      <c r="N89" s="5"/>
    </row>
    <row r="90" spans="1:14" ht="15.5" hidden="1" x14ac:dyDescent="0.35">
      <c r="A90" s="40" t="s">
        <v>98</v>
      </c>
      <c r="B90" s="23"/>
      <c r="C90" s="8"/>
      <c r="D90" s="8"/>
      <c r="E90" s="8"/>
      <c r="F90" s="8"/>
      <c r="G90" s="10"/>
      <c r="H90" s="25"/>
      <c r="I90" s="2"/>
      <c r="J90" s="2"/>
      <c r="K90" s="26"/>
      <c r="L90" s="23"/>
      <c r="M90" s="10"/>
      <c r="N90" s="5"/>
    </row>
    <row r="91" spans="1:14" ht="15.5" hidden="1" x14ac:dyDescent="0.35">
      <c r="A91" s="40" t="s">
        <v>99</v>
      </c>
      <c r="B91" s="23"/>
      <c r="C91" s="8"/>
      <c r="D91" s="8"/>
      <c r="E91" s="8"/>
      <c r="F91" s="8"/>
      <c r="G91" s="10"/>
      <c r="H91" s="24"/>
      <c r="I91" s="18"/>
      <c r="J91" s="18"/>
      <c r="K91" s="19"/>
      <c r="L91" s="23"/>
      <c r="M91" s="10"/>
      <c r="N91" s="5"/>
    </row>
    <row r="92" spans="1:14" ht="24" customHeight="1" x14ac:dyDescent="0.35">
      <c r="A92" s="39" t="s">
        <v>103</v>
      </c>
      <c r="B92" s="8"/>
      <c r="C92" s="8"/>
      <c r="D92" s="8"/>
      <c r="E92" s="8"/>
      <c r="F92" s="8"/>
      <c r="G92" s="10"/>
      <c r="H92" s="39" t="s">
        <v>102</v>
      </c>
      <c r="I92" s="8"/>
      <c r="J92" s="8"/>
      <c r="K92" s="10"/>
      <c r="L92" s="39" t="s">
        <v>74</v>
      </c>
      <c r="M92" s="10"/>
      <c r="N92" s="30"/>
    </row>
    <row r="93" spans="1:14" ht="15.5" x14ac:dyDescent="0.35">
      <c r="A93" s="40" t="s">
        <v>75</v>
      </c>
      <c r="B93" s="23" t="s">
        <v>104</v>
      </c>
      <c r="C93" s="8"/>
      <c r="D93" s="8"/>
      <c r="E93" s="8"/>
      <c r="F93" s="8"/>
      <c r="G93" s="10"/>
      <c r="H93" s="44" t="s">
        <v>105</v>
      </c>
      <c r="I93" s="14"/>
      <c r="J93" s="14"/>
      <c r="K93" s="15"/>
      <c r="L93" s="42" t="s">
        <v>78</v>
      </c>
      <c r="M93" s="10"/>
      <c r="N93" s="5"/>
    </row>
    <row r="94" spans="1:14" ht="15.5" x14ac:dyDescent="0.35">
      <c r="A94" s="40" t="s">
        <v>79</v>
      </c>
      <c r="B94" s="23" t="s">
        <v>106</v>
      </c>
      <c r="C94" s="8"/>
      <c r="D94" s="8"/>
      <c r="E94" s="8"/>
      <c r="F94" s="8"/>
      <c r="G94" s="10"/>
      <c r="H94" s="25"/>
      <c r="I94" s="2"/>
      <c r="J94" s="2"/>
      <c r="K94" s="26"/>
      <c r="L94" s="42" t="s">
        <v>81</v>
      </c>
      <c r="M94" s="10"/>
      <c r="N94" s="5"/>
    </row>
    <row r="95" spans="1:14" ht="15.5" x14ac:dyDescent="0.35">
      <c r="A95" s="40" t="s">
        <v>82</v>
      </c>
      <c r="B95" s="23" t="s">
        <v>107</v>
      </c>
      <c r="C95" s="8"/>
      <c r="D95" s="8"/>
      <c r="E95" s="8"/>
      <c r="F95" s="8"/>
      <c r="G95" s="10"/>
      <c r="H95" s="25"/>
      <c r="I95" s="2"/>
      <c r="J95" s="2"/>
      <c r="K95" s="26"/>
      <c r="L95" s="42" t="s">
        <v>81</v>
      </c>
      <c r="M95" s="10"/>
      <c r="N95" s="5"/>
    </row>
    <row r="96" spans="1:14" ht="15.5" x14ac:dyDescent="0.35">
      <c r="A96" s="40" t="s">
        <v>84</v>
      </c>
      <c r="B96" s="23" t="s">
        <v>108</v>
      </c>
      <c r="C96" s="8"/>
      <c r="D96" s="8"/>
      <c r="E96" s="8"/>
      <c r="F96" s="8"/>
      <c r="G96" s="10"/>
      <c r="H96" s="25"/>
      <c r="I96" s="2"/>
      <c r="J96" s="2"/>
      <c r="K96" s="26"/>
      <c r="L96" s="42" t="s">
        <v>78</v>
      </c>
      <c r="M96" s="10"/>
      <c r="N96" s="5"/>
    </row>
    <row r="97" spans="1:14" ht="15.5" x14ac:dyDescent="0.35">
      <c r="A97" s="40" t="s">
        <v>86</v>
      </c>
      <c r="B97" s="23" t="s">
        <v>109</v>
      </c>
      <c r="C97" s="8"/>
      <c r="D97" s="8"/>
      <c r="E97" s="8"/>
      <c r="F97" s="8"/>
      <c r="G97" s="10"/>
      <c r="H97" s="25"/>
      <c r="I97" s="2"/>
      <c r="J97" s="2"/>
      <c r="K97" s="26"/>
      <c r="L97" s="42" t="s">
        <v>78</v>
      </c>
      <c r="M97" s="10"/>
      <c r="N97" s="5"/>
    </row>
    <row r="98" spans="1:14" ht="15.5" x14ac:dyDescent="0.35">
      <c r="A98" s="40" t="s">
        <v>88</v>
      </c>
      <c r="B98" s="23"/>
      <c r="C98" s="8"/>
      <c r="D98" s="8"/>
      <c r="E98" s="8"/>
      <c r="F98" s="8"/>
      <c r="G98" s="10"/>
      <c r="H98" s="25"/>
      <c r="I98" s="2"/>
      <c r="J98" s="2"/>
      <c r="K98" s="26"/>
      <c r="L98" s="23"/>
      <c r="M98" s="10"/>
      <c r="N98" s="5"/>
    </row>
    <row r="99" spans="1:14" ht="15.5" hidden="1" x14ac:dyDescent="0.35">
      <c r="A99" s="40" t="s">
        <v>91</v>
      </c>
      <c r="B99" s="23"/>
      <c r="C99" s="8"/>
      <c r="D99" s="8"/>
      <c r="E99" s="8"/>
      <c r="F99" s="8"/>
      <c r="G99" s="10"/>
      <c r="H99" s="25"/>
      <c r="I99" s="2"/>
      <c r="J99" s="2"/>
      <c r="K99" s="26"/>
      <c r="L99" s="23"/>
      <c r="M99" s="10"/>
      <c r="N99" s="5"/>
    </row>
    <row r="100" spans="1:14" ht="15.5" hidden="1" x14ac:dyDescent="0.35">
      <c r="A100" s="40" t="s">
        <v>93</v>
      </c>
      <c r="B100" s="23"/>
      <c r="C100" s="8"/>
      <c r="D100" s="8"/>
      <c r="E100" s="8"/>
      <c r="F100" s="8"/>
      <c r="G100" s="10"/>
      <c r="H100" s="25"/>
      <c r="I100" s="2"/>
      <c r="J100" s="2"/>
      <c r="K100" s="26"/>
      <c r="L100" s="23"/>
      <c r="M100" s="10"/>
      <c r="N100" s="5"/>
    </row>
    <row r="101" spans="1:14" ht="15.5" hidden="1" x14ac:dyDescent="0.35">
      <c r="A101" s="40" t="s">
        <v>94</v>
      </c>
      <c r="B101" s="23"/>
      <c r="C101" s="8"/>
      <c r="D101" s="8"/>
      <c r="E101" s="8"/>
      <c r="F101" s="8"/>
      <c r="G101" s="10"/>
      <c r="H101" s="25"/>
      <c r="I101" s="2"/>
      <c r="J101" s="2"/>
      <c r="K101" s="26"/>
      <c r="L101" s="23"/>
      <c r="M101" s="10"/>
      <c r="N101" s="5"/>
    </row>
    <row r="102" spans="1:14" ht="15.5" hidden="1" x14ac:dyDescent="0.35">
      <c r="A102" s="40" t="s">
        <v>95</v>
      </c>
      <c r="B102" s="23"/>
      <c r="C102" s="8"/>
      <c r="D102" s="8"/>
      <c r="E102" s="8"/>
      <c r="F102" s="8"/>
      <c r="G102" s="10"/>
      <c r="H102" s="25"/>
      <c r="I102" s="2"/>
      <c r="J102" s="2"/>
      <c r="K102" s="26"/>
      <c r="L102" s="23"/>
      <c r="M102" s="10"/>
      <c r="N102" s="5"/>
    </row>
    <row r="103" spans="1:14" ht="15.5" hidden="1" x14ac:dyDescent="0.35">
      <c r="A103" s="40" t="s">
        <v>96</v>
      </c>
      <c r="B103" s="23"/>
      <c r="C103" s="8"/>
      <c r="D103" s="8"/>
      <c r="E103" s="8"/>
      <c r="F103" s="8"/>
      <c r="G103" s="10"/>
      <c r="H103" s="25"/>
      <c r="I103" s="2"/>
      <c r="J103" s="2"/>
      <c r="K103" s="26"/>
      <c r="L103" s="23"/>
      <c r="M103" s="10"/>
      <c r="N103" s="5"/>
    </row>
    <row r="104" spans="1:14" ht="15.5" hidden="1" x14ac:dyDescent="0.35">
      <c r="A104" s="40" t="s">
        <v>97</v>
      </c>
      <c r="B104" s="23"/>
      <c r="C104" s="8"/>
      <c r="D104" s="8"/>
      <c r="E104" s="8"/>
      <c r="F104" s="8"/>
      <c r="G104" s="10"/>
      <c r="H104" s="25"/>
      <c r="I104" s="2"/>
      <c r="J104" s="2"/>
      <c r="K104" s="26"/>
      <c r="L104" s="23"/>
      <c r="M104" s="10"/>
      <c r="N104" s="5"/>
    </row>
    <row r="105" spans="1:14" ht="15.5" hidden="1" x14ac:dyDescent="0.35">
      <c r="A105" s="40" t="s">
        <v>98</v>
      </c>
      <c r="B105" s="23"/>
      <c r="C105" s="8"/>
      <c r="D105" s="8"/>
      <c r="E105" s="8"/>
      <c r="F105" s="8"/>
      <c r="G105" s="10"/>
      <c r="H105" s="25"/>
      <c r="I105" s="2"/>
      <c r="J105" s="2"/>
      <c r="K105" s="26"/>
      <c r="L105" s="23"/>
      <c r="M105" s="10"/>
      <c r="N105" s="5"/>
    </row>
    <row r="106" spans="1:14" ht="15.5" hidden="1" x14ac:dyDescent="0.35">
      <c r="A106" s="40" t="s">
        <v>99</v>
      </c>
      <c r="B106" s="23"/>
      <c r="C106" s="8"/>
      <c r="D106" s="8"/>
      <c r="E106" s="8"/>
      <c r="F106" s="8"/>
      <c r="G106" s="10"/>
      <c r="H106" s="24"/>
      <c r="I106" s="18"/>
      <c r="J106" s="18"/>
      <c r="K106" s="19"/>
      <c r="L106" s="23"/>
      <c r="M106" s="10"/>
      <c r="N106" s="5"/>
    </row>
    <row r="107" spans="1:14" ht="24" customHeight="1" x14ac:dyDescent="0.35">
      <c r="A107" s="39" t="s">
        <v>110</v>
      </c>
      <c r="B107" s="8"/>
      <c r="C107" s="8"/>
      <c r="D107" s="8"/>
      <c r="E107" s="8"/>
      <c r="F107" s="8"/>
      <c r="G107" s="10"/>
      <c r="H107" s="39" t="s">
        <v>102</v>
      </c>
      <c r="I107" s="8"/>
      <c r="J107" s="8"/>
      <c r="K107" s="10"/>
      <c r="L107" s="39" t="s">
        <v>74</v>
      </c>
      <c r="M107" s="10"/>
      <c r="N107" s="30"/>
    </row>
    <row r="108" spans="1:14" ht="15.5" x14ac:dyDescent="0.35">
      <c r="A108" s="40" t="s">
        <v>75</v>
      </c>
      <c r="B108" s="23" t="s">
        <v>111</v>
      </c>
      <c r="C108" s="8"/>
      <c r="D108" s="8"/>
      <c r="E108" s="8"/>
      <c r="F108" s="8"/>
      <c r="G108" s="10"/>
      <c r="H108" s="43"/>
      <c r="I108" s="14"/>
      <c r="J108" s="14"/>
      <c r="K108" s="15"/>
      <c r="L108" s="42" t="s">
        <v>81</v>
      </c>
      <c r="M108" s="10"/>
      <c r="N108" s="5"/>
    </row>
    <row r="109" spans="1:14" ht="15.5" x14ac:dyDescent="0.35">
      <c r="A109" s="40" t="s">
        <v>79</v>
      </c>
      <c r="B109" s="23" t="s">
        <v>112</v>
      </c>
      <c r="C109" s="8"/>
      <c r="D109" s="8"/>
      <c r="E109" s="8"/>
      <c r="F109" s="8"/>
      <c r="G109" s="10"/>
      <c r="H109" s="25"/>
      <c r="I109" s="2"/>
      <c r="J109" s="2"/>
      <c r="K109" s="26"/>
      <c r="L109" s="42" t="s">
        <v>78</v>
      </c>
      <c r="M109" s="10"/>
      <c r="N109" s="5"/>
    </row>
    <row r="110" spans="1:14" ht="15.5" x14ac:dyDescent="0.35">
      <c r="A110" s="40" t="s">
        <v>82</v>
      </c>
      <c r="B110" s="23" t="s">
        <v>113</v>
      </c>
      <c r="C110" s="8"/>
      <c r="D110" s="8"/>
      <c r="E110" s="8"/>
      <c r="F110" s="8"/>
      <c r="G110" s="10"/>
      <c r="H110" s="25"/>
      <c r="I110" s="2"/>
      <c r="J110" s="2"/>
      <c r="K110" s="26"/>
      <c r="L110" s="42" t="s">
        <v>81</v>
      </c>
      <c r="M110" s="10"/>
      <c r="N110" s="5"/>
    </row>
    <row r="111" spans="1:14" ht="15.5" x14ac:dyDescent="0.35">
      <c r="A111" s="40" t="s">
        <v>84</v>
      </c>
      <c r="B111" s="23" t="s">
        <v>114</v>
      </c>
      <c r="C111" s="8"/>
      <c r="D111" s="8"/>
      <c r="E111" s="8"/>
      <c r="F111" s="8"/>
      <c r="G111" s="10"/>
      <c r="H111" s="25"/>
      <c r="I111" s="2"/>
      <c r="J111" s="2"/>
      <c r="K111" s="26"/>
      <c r="L111" s="42" t="s">
        <v>81</v>
      </c>
      <c r="M111" s="10"/>
      <c r="N111" s="5"/>
    </row>
    <row r="112" spans="1:14" ht="15.5" x14ac:dyDescent="0.35">
      <c r="A112" s="40" t="s">
        <v>86</v>
      </c>
      <c r="B112" s="23"/>
      <c r="C112" s="8"/>
      <c r="D112" s="8"/>
      <c r="E112" s="8"/>
      <c r="F112" s="8"/>
      <c r="G112" s="10"/>
      <c r="H112" s="25"/>
      <c r="I112" s="2"/>
      <c r="J112" s="2"/>
      <c r="K112" s="26"/>
      <c r="L112" s="23"/>
      <c r="M112" s="10"/>
      <c r="N112" s="5"/>
    </row>
    <row r="113" spans="1:14" ht="15.5" hidden="1" x14ac:dyDescent="0.35">
      <c r="A113" s="40" t="s">
        <v>88</v>
      </c>
      <c r="B113" s="23"/>
      <c r="C113" s="8"/>
      <c r="D113" s="8"/>
      <c r="E113" s="8"/>
      <c r="F113" s="8"/>
      <c r="G113" s="10"/>
      <c r="H113" s="25"/>
      <c r="I113" s="2"/>
      <c r="J113" s="2"/>
      <c r="K113" s="26"/>
      <c r="L113" s="23"/>
      <c r="M113" s="10"/>
      <c r="N113" s="5"/>
    </row>
    <row r="114" spans="1:14" ht="15.5" hidden="1" x14ac:dyDescent="0.35">
      <c r="A114" s="40" t="s">
        <v>91</v>
      </c>
      <c r="B114" s="23"/>
      <c r="C114" s="8"/>
      <c r="D114" s="8"/>
      <c r="E114" s="8"/>
      <c r="F114" s="8"/>
      <c r="G114" s="10"/>
      <c r="H114" s="25"/>
      <c r="I114" s="2"/>
      <c r="J114" s="2"/>
      <c r="K114" s="26"/>
      <c r="L114" s="23"/>
      <c r="M114" s="10"/>
      <c r="N114" s="5"/>
    </row>
    <row r="115" spans="1:14" ht="15.5" hidden="1" x14ac:dyDescent="0.35">
      <c r="A115" s="40" t="s">
        <v>93</v>
      </c>
      <c r="B115" s="23"/>
      <c r="C115" s="8"/>
      <c r="D115" s="8"/>
      <c r="E115" s="8"/>
      <c r="F115" s="8"/>
      <c r="G115" s="10"/>
      <c r="H115" s="25"/>
      <c r="I115" s="2"/>
      <c r="J115" s="2"/>
      <c r="K115" s="26"/>
      <c r="L115" s="23"/>
      <c r="M115" s="10"/>
      <c r="N115" s="5"/>
    </row>
    <row r="116" spans="1:14" ht="15.5" hidden="1" x14ac:dyDescent="0.35">
      <c r="A116" s="40" t="s">
        <v>94</v>
      </c>
      <c r="B116" s="23"/>
      <c r="C116" s="8"/>
      <c r="D116" s="8"/>
      <c r="E116" s="8"/>
      <c r="F116" s="8"/>
      <c r="G116" s="10"/>
      <c r="H116" s="25"/>
      <c r="I116" s="2"/>
      <c r="J116" s="2"/>
      <c r="K116" s="26"/>
      <c r="L116" s="23"/>
      <c r="M116" s="10"/>
      <c r="N116" s="5"/>
    </row>
    <row r="117" spans="1:14" ht="15.5" hidden="1" x14ac:dyDescent="0.35">
      <c r="A117" s="40" t="s">
        <v>95</v>
      </c>
      <c r="B117" s="23"/>
      <c r="C117" s="8"/>
      <c r="D117" s="8"/>
      <c r="E117" s="8"/>
      <c r="F117" s="8"/>
      <c r="G117" s="10"/>
      <c r="H117" s="25"/>
      <c r="I117" s="2"/>
      <c r="J117" s="2"/>
      <c r="K117" s="26"/>
      <c r="L117" s="23"/>
      <c r="M117" s="10"/>
      <c r="N117" s="5"/>
    </row>
    <row r="118" spans="1:14" ht="15.5" hidden="1" x14ac:dyDescent="0.35">
      <c r="A118" s="40" t="s">
        <v>96</v>
      </c>
      <c r="B118" s="23"/>
      <c r="C118" s="8"/>
      <c r="D118" s="8"/>
      <c r="E118" s="8"/>
      <c r="F118" s="8"/>
      <c r="G118" s="10"/>
      <c r="H118" s="25"/>
      <c r="I118" s="2"/>
      <c r="J118" s="2"/>
      <c r="K118" s="26"/>
      <c r="L118" s="23"/>
      <c r="M118" s="10"/>
      <c r="N118" s="5"/>
    </row>
    <row r="119" spans="1:14" ht="15.5" hidden="1" x14ac:dyDescent="0.35">
      <c r="A119" s="40" t="s">
        <v>97</v>
      </c>
      <c r="B119" s="23"/>
      <c r="C119" s="8"/>
      <c r="D119" s="8"/>
      <c r="E119" s="8"/>
      <c r="F119" s="8"/>
      <c r="G119" s="10"/>
      <c r="H119" s="25"/>
      <c r="I119" s="2"/>
      <c r="J119" s="2"/>
      <c r="K119" s="26"/>
      <c r="L119" s="23"/>
      <c r="M119" s="10"/>
      <c r="N119" s="5"/>
    </row>
    <row r="120" spans="1:14" ht="15.5" hidden="1" x14ac:dyDescent="0.35">
      <c r="A120" s="40" t="s">
        <v>98</v>
      </c>
      <c r="B120" s="23"/>
      <c r="C120" s="8"/>
      <c r="D120" s="8"/>
      <c r="E120" s="8"/>
      <c r="F120" s="8"/>
      <c r="G120" s="10"/>
      <c r="H120" s="25"/>
      <c r="I120" s="2"/>
      <c r="J120" s="2"/>
      <c r="K120" s="26"/>
      <c r="L120" s="23"/>
      <c r="M120" s="10"/>
      <c r="N120" s="5"/>
    </row>
    <row r="121" spans="1:14" ht="15.5" hidden="1" x14ac:dyDescent="0.35">
      <c r="A121" s="40" t="s">
        <v>99</v>
      </c>
      <c r="B121" s="23"/>
      <c r="C121" s="8"/>
      <c r="D121" s="8"/>
      <c r="E121" s="8"/>
      <c r="F121" s="8"/>
      <c r="G121" s="10"/>
      <c r="H121" s="24"/>
      <c r="I121" s="18"/>
      <c r="J121" s="18"/>
      <c r="K121" s="19"/>
      <c r="L121" s="23"/>
      <c r="M121" s="10"/>
      <c r="N121" s="5"/>
    </row>
    <row r="122" spans="1:14" ht="161.25" customHeight="1" x14ac:dyDescent="0.35">
      <c r="A122" s="45" t="s">
        <v>115</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116</v>
      </c>
      <c r="B124" s="2"/>
      <c r="C124" s="2"/>
      <c r="D124" s="2"/>
      <c r="E124" s="2"/>
      <c r="F124" s="2"/>
      <c r="G124" s="2"/>
      <c r="H124" s="2"/>
      <c r="I124" s="2"/>
      <c r="J124" s="2"/>
      <c r="K124" s="2"/>
      <c r="L124" s="2"/>
      <c r="M124" s="2"/>
      <c r="N124" s="30"/>
    </row>
    <row r="125" spans="1:14" ht="46.5" x14ac:dyDescent="0.35">
      <c r="A125" s="46" t="s">
        <v>117</v>
      </c>
      <c r="B125" s="47" t="s">
        <v>118</v>
      </c>
      <c r="C125" s="8"/>
      <c r="D125" s="8"/>
      <c r="E125" s="8"/>
      <c r="F125" s="8"/>
      <c r="G125" s="10"/>
      <c r="H125" s="47" t="s">
        <v>119</v>
      </c>
      <c r="I125" s="8"/>
      <c r="J125" s="8"/>
      <c r="K125" s="10"/>
      <c r="L125" s="48" t="s">
        <v>120</v>
      </c>
      <c r="M125" s="10"/>
      <c r="N125" s="5"/>
    </row>
    <row r="126" spans="1:14" ht="15.5" x14ac:dyDescent="0.35">
      <c r="A126" s="49" t="s">
        <v>121</v>
      </c>
      <c r="B126" s="50" t="s">
        <v>122</v>
      </c>
      <c r="C126" s="14"/>
      <c r="D126" s="14"/>
      <c r="E126" s="14"/>
      <c r="F126" s="14"/>
      <c r="G126" s="15"/>
      <c r="H126" s="51" t="s">
        <v>123</v>
      </c>
      <c r="I126" s="14"/>
      <c r="J126" s="14"/>
      <c r="K126" s="52" t="s">
        <v>124</v>
      </c>
      <c r="L126" s="53">
        <f>1-SUM(L129:M131)</f>
        <v>0.6</v>
      </c>
      <c r="M126" s="15"/>
      <c r="N126" s="5"/>
    </row>
    <row r="127" spans="1:14" ht="57" customHeight="1" x14ac:dyDescent="0.35">
      <c r="A127" s="54"/>
      <c r="B127" s="25"/>
      <c r="C127" s="2"/>
      <c r="D127" s="2"/>
      <c r="E127" s="2"/>
      <c r="F127" s="2"/>
      <c r="G127" s="26"/>
      <c r="H127" s="24"/>
      <c r="I127" s="18"/>
      <c r="J127" s="18"/>
      <c r="K127" s="36"/>
      <c r="L127" s="25"/>
      <c r="M127" s="26"/>
      <c r="N127" s="5"/>
    </row>
    <row r="128" spans="1:14" ht="42.75" customHeight="1" x14ac:dyDescent="0.35">
      <c r="A128" s="36"/>
      <c r="B128" s="24"/>
      <c r="C128" s="18"/>
      <c r="D128" s="18"/>
      <c r="E128" s="18"/>
      <c r="F128" s="18"/>
      <c r="G128" s="19"/>
      <c r="H128" s="55" t="s">
        <v>125</v>
      </c>
      <c r="I128" s="8"/>
      <c r="J128" s="8"/>
      <c r="K128" s="40" t="s">
        <v>126</v>
      </c>
      <c r="L128" s="24"/>
      <c r="M128" s="19"/>
      <c r="N128" s="5"/>
    </row>
    <row r="129" spans="1:14" ht="68.25" hidden="1" customHeight="1" x14ac:dyDescent="0.35">
      <c r="A129" s="46" t="s">
        <v>127</v>
      </c>
      <c r="B129" s="55" t="s">
        <v>128</v>
      </c>
      <c r="C129" s="8"/>
      <c r="D129" s="8"/>
      <c r="E129" s="8"/>
      <c r="F129" s="8"/>
      <c r="G129" s="10"/>
      <c r="H129" s="55" t="s">
        <v>129</v>
      </c>
      <c r="I129" s="8"/>
      <c r="J129" s="8"/>
      <c r="K129" s="10"/>
      <c r="L129" s="56"/>
      <c r="M129" s="10"/>
      <c r="N129" s="5"/>
    </row>
    <row r="130" spans="1:14" ht="46.5" x14ac:dyDescent="0.35">
      <c r="A130" s="46" t="s">
        <v>130</v>
      </c>
      <c r="B130" s="55" t="s">
        <v>131</v>
      </c>
      <c r="C130" s="8"/>
      <c r="D130" s="8"/>
      <c r="E130" s="8"/>
      <c r="F130" s="8"/>
      <c r="G130" s="10"/>
      <c r="H130" s="55" t="s">
        <v>132</v>
      </c>
      <c r="I130" s="8"/>
      <c r="J130" s="8"/>
      <c r="K130" s="10"/>
      <c r="L130" s="56">
        <v>0.1</v>
      </c>
      <c r="M130" s="10"/>
      <c r="N130" s="5"/>
    </row>
    <row r="131" spans="1:14" ht="31" x14ac:dyDescent="0.35">
      <c r="A131" s="46" t="s">
        <v>133</v>
      </c>
      <c r="B131" s="55" t="s">
        <v>134</v>
      </c>
      <c r="C131" s="8"/>
      <c r="D131" s="8"/>
      <c r="E131" s="8"/>
      <c r="F131" s="8"/>
      <c r="G131" s="10"/>
      <c r="H131" s="55" t="s">
        <v>135</v>
      </c>
      <c r="I131" s="8"/>
      <c r="J131" s="8"/>
      <c r="K131" s="10"/>
      <c r="L131" s="56">
        <v>0.3</v>
      </c>
      <c r="M131" s="10"/>
      <c r="N131" s="5"/>
    </row>
    <row r="132" spans="1:14" ht="15.5" x14ac:dyDescent="0.35">
      <c r="A132" s="47" t="s">
        <v>136</v>
      </c>
      <c r="B132" s="8"/>
      <c r="C132" s="8"/>
      <c r="D132" s="8"/>
      <c r="E132" s="8"/>
      <c r="F132" s="8"/>
      <c r="G132" s="8"/>
      <c r="H132" s="8"/>
      <c r="I132" s="8"/>
      <c r="J132" s="8"/>
      <c r="K132" s="8"/>
      <c r="L132" s="8"/>
      <c r="M132" s="10"/>
      <c r="N132" s="5"/>
    </row>
    <row r="133" spans="1:14" ht="15.5" x14ac:dyDescent="0.35">
      <c r="A133" s="57" t="s">
        <v>137</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8" t="s">
        <v>138</v>
      </c>
      <c r="B135" s="10"/>
      <c r="C135" s="59">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8" t="s">
        <v>139</v>
      </c>
      <c r="B137" s="10"/>
      <c r="C137" s="9" t="str">
        <f>E15</f>
        <v xml:space="preserve">Prof. dr. ing. Constantin-Cătălin Dosoftei                                                     </v>
      </c>
      <c r="D137" s="8"/>
      <c r="E137" s="8"/>
      <c r="F137" s="8"/>
      <c r="G137" s="10"/>
      <c r="H137" s="9" t="str">
        <f>E16</f>
        <v>Asist.dr.ing. Georgel Gabor</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60" t="s">
        <v>140</v>
      </c>
      <c r="B139" s="15"/>
      <c r="C139" s="9" t="str">
        <f t="shared" ref="C139:C141" si="0">E17</f>
        <v xml:space="preserve">Drd. ing. Teodor Andrei Sauciuc                                                                  </v>
      </c>
      <c r="D139" s="8"/>
      <c r="E139" s="8"/>
      <c r="F139" s="8"/>
      <c r="G139" s="10"/>
      <c r="H139" s="9">
        <f t="shared" ref="H139:H141" si="1">E20</f>
        <v>0</v>
      </c>
      <c r="I139" s="8"/>
      <c r="J139" s="8"/>
      <c r="K139" s="8"/>
      <c r="L139" s="8"/>
      <c r="M139" s="10"/>
      <c r="N139" s="5"/>
    </row>
    <row r="140" spans="1:14" ht="32.25" hidden="1" customHeight="1" x14ac:dyDescent="0.35">
      <c r="A140" s="25"/>
      <c r="B140" s="26"/>
      <c r="C140" s="9" t="str">
        <f t="shared" si="0"/>
        <v>Asist. drd. Daniel Slatineanu</v>
      </c>
      <c r="D140" s="8"/>
      <c r="E140" s="8"/>
      <c r="F140" s="8"/>
      <c r="G140" s="10"/>
      <c r="H140" s="9">
        <f t="shared" si="1"/>
        <v>0</v>
      </c>
      <c r="I140" s="8"/>
      <c r="J140" s="8"/>
      <c r="K140" s="8"/>
      <c r="L140" s="8"/>
      <c r="M140" s="10"/>
      <c r="N140" s="5"/>
    </row>
    <row r="141" spans="1:14" ht="32.25" hidden="1" customHeight="1" x14ac:dyDescent="0.35">
      <c r="A141" s="24"/>
      <c r="B141" s="19"/>
      <c r="C141" s="9" t="str">
        <f t="shared" si="0"/>
        <v>Asist.dr.ing. Georgel Gabor</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8" t="s">
        <v>141</v>
      </c>
      <c r="B143" s="10"/>
      <c r="C143" s="61">
        <f>[1]Date!C29</f>
        <v>45915</v>
      </c>
      <c r="D143" s="10"/>
      <c r="E143" s="58" t="s">
        <v>142</v>
      </c>
      <c r="F143" s="8"/>
      <c r="G143" s="10"/>
      <c r="H143" s="62" t="str">
        <f>[1]Date!C31</f>
        <v>Conf.dr.ing. Mihai POSTOLACHE</v>
      </c>
      <c r="I143" s="8"/>
      <c r="J143" s="8"/>
      <c r="K143" s="8"/>
      <c r="L143" s="8"/>
      <c r="M143" s="10"/>
      <c r="N143" s="5"/>
    </row>
    <row r="144" spans="1:14" ht="21.75" customHeight="1" x14ac:dyDescent="0.35">
      <c r="A144" s="63"/>
      <c r="B144" s="63"/>
      <c r="C144" s="64"/>
      <c r="D144" s="64"/>
      <c r="E144" s="63"/>
      <c r="F144" s="63"/>
      <c r="G144" s="63"/>
      <c r="H144" s="64"/>
      <c r="I144" s="64"/>
      <c r="J144" s="64"/>
      <c r="K144" s="64"/>
      <c r="L144" s="64"/>
      <c r="M144" s="64"/>
      <c r="N144" s="5"/>
    </row>
    <row r="145" spans="1:14" ht="28.5" customHeight="1" x14ac:dyDescent="0.35">
      <c r="A145" s="58" t="s">
        <v>143</v>
      </c>
      <c r="B145" s="10"/>
      <c r="C145" s="61">
        <f>[1]Date!C30</f>
        <v>45918</v>
      </c>
      <c r="D145" s="10"/>
      <c r="E145" s="58" t="s">
        <v>144</v>
      </c>
      <c r="F145" s="8"/>
      <c r="G145" s="10"/>
      <c r="H145" s="62" t="str">
        <f>[1]Date!C32</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7"/>
    <mergeCell ref="K126:K127"/>
    <mergeCell ref="L126:M128"/>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hyperlinks>
    <hyperlink ref="A122" r:id="rId1" xr:uid="{56657D74-6824-43C9-A46E-3BA89B064A3B}"/>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2026-03-01T09:10:04Z</dcterms:created>
  <dcterms:modified xsi:type="dcterms:W3CDTF">2026-03-01T09:10:11Z</dcterms:modified>
</cp:coreProperties>
</file>