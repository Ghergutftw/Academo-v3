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037913A7-D2C2-44EF-B823-D6017AE221CC}" xr6:coauthVersionLast="47" xr6:coauthVersionMax="47" xr10:uidLastSave="{00000000-0000-0000-0000-000000000000}"/>
  <bookViews>
    <workbookView xWindow="-110" yWindow="-110" windowWidth="25820" windowHeight="15500" xr2:uid="{5AB06F76-F6E7-4A70-8FE3-3B39B8DD03DC}"/>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C36" i="1" l="1" a="1"/>
  <c r="C36" i="1" s="1"/>
  <c r="E14" i="1" a="1"/>
  <c r="E14" i="1" s="1"/>
  <c r="I26" i="1" a="1"/>
  <c r="I26" i="1" s="1"/>
  <c r="I27" i="1" s="1"/>
  <c r="E13" i="1" a="1"/>
  <c r="E13" i="1" s="1"/>
  <c r="M14" i="1" a="1"/>
  <c r="M14" i="1" s="1"/>
  <c r="K26" i="1" a="1"/>
  <c r="K26" i="1" s="1"/>
  <c r="K27" i="1" s="1"/>
  <c r="G26" i="1" a="1"/>
  <c r="G26" i="1" s="1"/>
  <c r="G27" i="1" s="1"/>
  <c r="E23" i="1" a="1"/>
  <c r="E23"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514B74A3-F86C-4617-8F9F-50D955933934}">
      <text>
        <r>
          <rPr>
            <sz val="10"/>
            <color rgb="FF000000"/>
            <rFont val="Aptos Narrow"/>
            <scheme val="minor"/>
          </rPr>
          <t>Pondere din nota de la E / V</t>
        </r>
      </text>
    </comment>
    <comment ref="K127" authorId="0" shapeId="0" xr:uid="{F0F1EAC8-60A1-410C-8525-D9AFCC9DC2AA}">
      <text>
        <r>
          <rPr>
            <sz val="10"/>
            <color rgb="FF000000"/>
            <rFont val="Aptos Narrow"/>
            <scheme val="minor"/>
          </rPr>
          <t>Pondere din nota de la E / V</t>
        </r>
      </text>
    </comment>
    <comment ref="K128" authorId="0" shapeId="0" xr:uid="{F7CF8D7A-C178-4442-AEC2-E4E748AFE9D7}">
      <text>
        <r>
          <rPr>
            <sz val="10"/>
            <color rgb="FF000000"/>
            <rFont val="Aptos Narrow"/>
            <scheme val="minor"/>
          </rPr>
          <t>Pondere din nota de la E / V</t>
        </r>
      </text>
    </comment>
  </commentList>
</comments>
</file>

<file path=xl/sharedStrings.xml><?xml version="1.0" encoding="utf-8"?>
<sst xmlns="http://schemas.openxmlformats.org/spreadsheetml/2006/main" count="193" uniqueCount="147">
  <si>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</si>
  <si>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</si>
  <si>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</si>
  <si>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</si>
  <si>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</si>
  <si>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</si>
  <si>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</si>
  <si>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</si>
  <si>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</si>
  <si>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</si>
  <si>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</si>
  <si>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</si>
  <si>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</si>
  <si>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Management</t>
  </si>
  <si>
    <t>(în limba engleză, conform Suplimentului la diplomă)</t>
  </si>
  <si>
    <t>2.1.2. Codul disciplinei</t>
  </si>
  <si>
    <t xml:space="preserve">2.1.3. Categoria formativă </t>
  </si>
  <si>
    <t>2.2 Titularul / titularii activităţilor de curs</t>
  </si>
  <si>
    <t>Dr. Ec. Mădălina-Maria Brezuleanu</t>
  </si>
  <si>
    <t>2.3 Titularul / titularii activităţilor de aplicaţii (S, L, P, Pr)</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</si>
  <si>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</si>
  <si>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</si>
  <si>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</si>
  <si>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</si>
  <si>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</si>
  <si>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</si>
  <si>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</si>
  <si>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</si>
  <si>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</si>
  <si>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</si>
  <si>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</si>
  <si>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</si>
  <si>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</si>
  <si>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</si>
  <si>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</si>
  <si>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</si>
  <si>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</si>
  <si>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</si>
  <si>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</si>
  <si>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</si>
  <si>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</si>
  <si>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</si>
  <si>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</si>
  <si>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</si>
  <si>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</si>
  <si>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</si>
  <si>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</si>
  <si>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</si>
  <si>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</si>
  <si>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</si>
  <si>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</si>
  <si>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</si>
  <si>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</si>
  <si>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 xml:space="preserve">Sală dotată cu tablă şi videoproiector
</t>
  </si>
  <si>
    <t>5.2 de desfăşurare a seminarului / laboratorului / proiectului</t>
  </si>
  <si>
    <t>6. Obiectivul general al disciplinei</t>
  </si>
  <si>
    <t xml:space="preserve">Disciplina are ca obiectiv familiarizarea studenţilor cu noţiunile de bază ale managementului industrial, având în vedere următoarele aspecte :
- dezvoltarea abilităţilor identificării şi înţelegerii conceptelor de bază din domeniul managementului;
- cunoaşterea problematicii referitoare la principalele şcoli şi principii de management, activităţi, funcţii, responsabilităţi, sarcini ale managerilor, metode de management, metode şi tehnici de decizie, stiluri de management;
</t>
  </si>
  <si>
    <t>7. Rezultatele învățării</t>
  </si>
  <si>
    <t>Cunoștințe</t>
  </si>
  <si>
    <t>Studentul / Absolventul:</t>
  </si>
  <si>
    <t xml:space="preserve">-Înțelegerea conceptelor fundamentale privind sistemul de management al firmei și elementele sale constitutive.
-Cunoașterea principalelor școli de management și teorii manageriale, cu evidențierea contribuțiilor și limitărilor acestora.
-Stăpânirea funcțiilor managementului (previziune, organizare, comanda, coordonare, control) și a rolului lor în conducerea proceselor.
-Explicarea rolului previziunii în managementul producției, a tipurilor de prognoze și a modalităților de implementare.
-Asimilarea metodelor și modelelor de optimizare a deciziilor manageriale și a etapelor procesului decizional.
-Înțelegerea principiilor de planificare și organizare a producției, inclusiv metode MRP/ERP și structurile organizaționale specifice.
-Cunoașterea metodelor de conducere prin comandă, a tehnicilor de creativitate, a analizei și ingineriei valorii.
-Identificarea factorilor determinanți în localizarea și amplasarea facilităților de producție.
-Familiarizarea cu noțiunile de ergonomie aplicată și cu elementele de microclimat ce influențează relația om–muncă.
</t>
  </si>
  <si>
    <t>Aptitudini</t>
  </si>
  <si>
    <t>-Manifestarea unei atitudini proactive și critice față de problemele de management și luarea deciziilor.
-Deschidere spre inovare și utilizarea tehnicilor creative în rezolvarea problemelor manageriale.
-Respect față de principiile ergonomiei și protecția muncii, în corelare cu bunăstarea angajaților.
-Promovarea eticii și responsabilității sociale în deciziile de management industrial.
-Orientare spre eficiență și performanță, dar și spre sustenabilitate și echilibru om–tehnologie.</t>
  </si>
  <si>
    <t>Responsabilitate și autonomie</t>
  </si>
  <si>
    <t>-Capacitatea de a acționa autonom în aplicarea metodelor de management la nivel de proces sau departament.
-Asumarea responsabilității pentru deciziile manageriale luate în condiții de certitudine, incertitudine sau risc.
-Participarea activă în echipe multidisciplinare, cu rol în coordonarea și controlul activităților de producție.
-Demonstrarea abilității de a planifica și organiza activități complexe în cadrul organizației, inclusiv de a monitoriza implementarea previziunilor și planurilor.
-Capacitatea de a gestiona resursele într-un mod responsabil și sustenabil, în corelare cu obiectivele firmei și cerințele mediului extern.</t>
  </si>
  <si>
    <t xml:space="preserve">8. Metode de predare </t>
  </si>
  <si>
    <t>În activitatea de predare vor fi utilizate prelegeri interactive și dezbateri pe baza unor prezentări PowerPoint, care vor fi puse la dispoziția studenților. Prezentările vor include scheme, diagrame, studii de caz și exemple practice din domeniul managementului industrial, astfel încât informațiile să fie mai ușor de înțeles și aplicat. Fiecare curs va începe cu o recapitulare sintetică a noțiunilor parcurse anterior, pentru a consolida cunoștințele și a facilita legătura cu tema nouă.
Metoda de predare se bazează pe modele de învățare prin descoperire, care implică explorarea directă și indirectă a realității organizaționale prin analiza unor situații concrete, simulări, demonstrații și studii de caz. De asemenea, vor fi utilizate metode active, centrate pe student, precum exercițiile individuale și de grup, activitățile aplicative și rezolvarea de probleme practice legate de planificarea, organizarea și optimizarea proceselor de producție.</t>
  </si>
  <si>
    <t>9. Conţinuturi</t>
  </si>
  <si>
    <t>9.1. Curs</t>
  </si>
  <si>
    <t>Metode de predare</t>
  </si>
  <si>
    <t>Timp alocat</t>
  </si>
  <si>
    <t>1</t>
  </si>
  <si>
    <t xml:space="preserve">Sistemul de management al firmei. Elementele sistemului. Moduri de abordare.   </t>
  </si>
  <si>
    <t xml:space="preserve">Prelegere interactiva prin angajarea studentilor intr-un dialog permanant in vederea fixarii informatiilor obtinute.
materialelor de curs.
Evidentierea legaturilor cu alte discipline din ciclul de licenta.
</t>
  </si>
  <si>
    <t>2</t>
  </si>
  <si>
    <t>Şcolile  de management şi teorii manageriale.</t>
  </si>
  <si>
    <t>3</t>
  </si>
  <si>
    <t xml:space="preserve">Funcţiile managementului : prevedere, organizare, 
comanda, coordonare, control
</t>
  </si>
  <si>
    <t>4</t>
  </si>
  <si>
    <t xml:space="preserve">Previziunea în managementul producţiei. Rolul și importanța. Tipuri de prognoze. Implementare previziuni.     </t>
  </si>
  <si>
    <t>5</t>
  </si>
  <si>
    <t xml:space="preserve">Optimizarea deciziilor in management. 
Conţinut, etape, elemente, metode de decizie, modele de decidenţi.    
</t>
  </si>
  <si>
    <t>6</t>
  </si>
  <si>
    <t xml:space="preserve"> Planificarea si organizarea productiei. Organizarea producţiei şi a muncii. Structuri organizaţionale. Elemente, principii, structuri. Metode MRP/ERP.</t>
  </si>
  <si>
    <t>7</t>
  </si>
  <si>
    <t xml:space="preserve">Comanda – funcție a managementului. Metode de management. 
Tehnici de creativitate. Analiza şi ingineria valorii.       
</t>
  </si>
  <si>
    <t>8</t>
  </si>
  <si>
    <t xml:space="preserve">Localizarea și amplasarea facilităților de producție. Factorii care afectează deciziile de localizare a capacităților de producție
</t>
  </si>
  <si>
    <t>9</t>
  </si>
  <si>
    <t xml:space="preserve">Elemente de ergonomie aplicata. Obiective, elemente de micro-climat, relația om-munca.
</t>
  </si>
  <si>
    <t xml:space="preserve">Bibliografie curs:
1.Pîslaru M.,Managementul Producției Electrice - Note de curs,   Ed. Performantica, ISBN 978-606-685-236-4, 2015
2.C. Neagu, L. Melnic, E. Nitu si M. Catana  Ingineria si managementul productiei Ed.Didactica si Pedagogica, Bucuresti, 2006 ISBN (10) 973-30-1623-3
3.D. Chase, N. Aquilano, B. Jacobs Productions and operations management – Manufacturing and services Editura McGraw – Hill, SUA;1998, ISBN 0-256-26921-1 ( instructor edition)
4Condurache G., Reteacă R.C. – Elemente de management aplicat, Editura       Performantica, Iaşi, 2002.
5.Condurache Gh. în colectiv , Management general, Editura Dacia, Cluj Napoca, 2002.
</t>
  </si>
  <si>
    <t>9.2a Seminar</t>
  </si>
  <si>
    <t>Metode de lucru</t>
  </si>
  <si>
    <t>10</t>
  </si>
  <si>
    <t>11</t>
  </si>
  <si>
    <t>12</t>
  </si>
  <si>
    <t>13</t>
  </si>
  <si>
    <t>14</t>
  </si>
  <si>
    <t>9.2b Laborator</t>
  </si>
  <si>
    <t>Etapele elaborarii unui plan de afaceri pentru o firma prestatoare de servicii/ producatoare de bunuri, din domeniul de specialitate.</t>
  </si>
  <si>
    <t xml:space="preserve">Lucrare individuala sau in colectiv, sub coordonarea cadrului didactic.
</t>
  </si>
  <si>
    <t xml:space="preserve">Descrierea ideii de afacerii 
 Viziune. Strategie. Obiective 
</t>
  </si>
  <si>
    <t xml:space="preserve">Descrierea produsului / serviciului 
</t>
  </si>
  <si>
    <t xml:space="preserve">Echipa de management 
 Experienţa antreprenorului
</t>
  </si>
  <si>
    <t xml:space="preserve">Experienţa membrilor echipei de proiect 
</t>
  </si>
  <si>
    <t>Analiza SWOT (mediului extern/ mediul intern)</t>
  </si>
  <si>
    <t xml:space="preserve">Analiza potențialilor clienți 
</t>
  </si>
  <si>
    <t xml:space="preserve">Analiza concurenței 
Strategia de marketing 
</t>
  </si>
  <si>
    <t xml:space="preserve"> Strategia de produs 
 Strategia de preț 
 Strategia de distribuție 
 Strategia de promovare</t>
  </si>
  <si>
    <t xml:space="preserve">Analiza financiară 
Prag de rentabilitate
</t>
  </si>
  <si>
    <t xml:space="preserve">Bugetul de investiții </t>
  </si>
  <si>
    <t xml:space="preserve">Previziunea veniturilor </t>
  </si>
  <si>
    <t xml:space="preserve">Previziunea cheltuielilor </t>
  </si>
  <si>
    <t>Previziunea fluxurilor de numerar</t>
  </si>
  <si>
    <t>9.2c Proiect</t>
  </si>
  <si>
    <t xml:space="preserve">Bibliografie aplicaţii (seminar / laborator / proiect):
11.Pîslaru M.,Managementul Producției Electrice - Note de curs,   Ed. Performantica, ISBN 978-606-685-236-4, 2015
2.C. Neagu, L. Melnic, E. Nitu si M. Catana  Ingineria si managementul productiei Ed.Didactica si Pedagogica, Bucuresti, 2006 ISBN (10) 973-30-1623-3
3.D. Chase, N. Aquilano, B. Jacobs Productions and operations management – Manufacturing and services Editura McGraw – Hill, SUA;1998, ISBN 0-256-26921-1 ( instructor edition)
4.Condurache G., Reteacă R.C. – Elemente de management aplicat, Editura       Performantica, Iaşi, 2002.
5.Condurache Gh. în colectiv , Management general, Editura Dacia, Cluj Napoca, 2002.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</si>
  <si>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</si>
  <si>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</si>
  <si>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</si>
  <si>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</si>
  <si>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</si>
  <si>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</si>
  <si>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t>
  </si>
  <si>
    <t>- observarea sistematică a studenţilor (teme individuale/ de echipă - temele trebuie efectuate în săptămâna dintre cursuri, pregătirea unui referat - studiu de caz).</t>
  </si>
  <si>
    <t>10%</t>
  </si>
  <si>
    <t>- test de evaluare formativ (verificări pe parcursul semestrului).</t>
  </si>
  <si>
    <t>20%</t>
  </si>
  <si>
    <t>- test de evaluare sumativ (verificare finală).</t>
  </si>
  <si>
    <t>70%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</si>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</sst>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1">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18648-557E-48C9-89B7-14FB019A3241}">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Management</v>
      </c>
      <c r="F13" s="18"/>
      <c r="G13" s="18"/>
      <c r="H13" s="18"/>
      <c r="I13" s="18"/>
      <c r="J13" s="18"/>
      <c r="K13" s="18"/>
      <c r="L13" s="18"/>
      <c r="M13" s="19"/>
      <c r="N13" s="5"/>
    </row>
    <row r="14" spans="1:14" ht="15.5" x14ac:dyDescent="0.35">
      <c r="A14" s="7" t="s">
        <v>15</v>
      </c>
      <c r="B14" s="8"/>
      <c r="C14" s="8"/>
      <c r="D14" s="10"/>
      <c r="E14" s="21" t="str">
        <f t="array" aca="1" ref="E14" ca="1">INDEX([1]Date!E8:E32, MATCH(E12,[1]Date!C8:C32,0),0)</f>
        <v>AIA406</v>
      </c>
      <c r="F14" s="18"/>
      <c r="G14" s="18"/>
      <c r="H14" s="18"/>
      <c r="I14" s="7" t="s">
        <v>16</v>
      </c>
      <c r="J14" s="8"/>
      <c r="K14" s="8"/>
      <c r="L14" s="10"/>
      <c r="M14" s="22" t="str">
        <f t="array" aca="1" ref="M14" ca="1">INDEX([1]Date!G8:G32, MATCH(E12,[1]Date!C8:C32,0),0)</f>
        <v>DC</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4</v>
      </c>
      <c r="D23" s="28" t="s">
        <v>21</v>
      </c>
      <c r="E23" s="27">
        <f t="array" aca="1" ref="E23" ca="1">INDEX([1]Date!A8:A32, MATCH(E12,[1]Date!C8:C32,0),0)</f>
        <v>2</v>
      </c>
      <c r="F23" s="29" t="s">
        <v>22</v>
      </c>
      <c r="G23" s="8"/>
      <c r="H23" s="10"/>
      <c r="I23" s="22" t="str">
        <f t="array" aca="1" ref="I23" ca="1">INDEX([1]Date!M8:M32, MATCH(E12,[1]Date!C8:C32,0),0)</f>
        <v>C</v>
      </c>
      <c r="J23" s="29" t="s">
        <v>23</v>
      </c>
      <c r="K23" s="8"/>
      <c r="L23" s="10"/>
      <c r="M23" s="27" t="str">
        <f t="array" aca="1" ref="M23" ca="1">INDEX([1]Date!F8:F32, MATCH(E12,[1]Date!C8:C32,0),0)</f>
        <v>DI</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3</v>
      </c>
      <c r="D26" s="28" t="s">
        <v>26</v>
      </c>
      <c r="E26" s="27">
        <f t="array" aca="1" ref="E26" ca="1">INDEX([1]Date!H8:H32, MATCH(E12,[1]Date!C8:C32,0),0)</f>
        <v>2</v>
      </c>
      <c r="F26" s="28" t="s">
        <v>27</v>
      </c>
      <c r="G26" s="27">
        <f t="array" aca="1" ref="G26" ca="1">INDEX([1]Date!I8:I32, MATCH(E12,[1]Date!C8:C32,0),0)</f>
        <v>0</v>
      </c>
      <c r="H26" s="28" t="s">
        <v>28</v>
      </c>
      <c r="I26" s="31">
        <f t="array" aca="1" ref="I26" ca="1">INDEX([1]Date!J8:J32, MATCH(E12,[1]Date!C8:C32,0),0)</f>
        <v>1</v>
      </c>
      <c r="J26" s="28" t="s">
        <v>29</v>
      </c>
      <c r="K26" s="27">
        <f t="array" aca="1" ref="K26" ca="1">INDEX([1]Date!K8:K32, MATCH(E12,[1]Date!C8:C32,0),0)</f>
        <v>0</v>
      </c>
      <c r="L26" s="7" t="s">
        <v>30</v>
      </c>
      <c r="M26" s="10"/>
      <c r="N26" s="30"/>
    </row>
    <row r="27" spans="1:14" ht="31" x14ac:dyDescent="0.35">
      <c r="A27" s="7" t="s">
        <v>31</v>
      </c>
      <c r="B27" s="10"/>
      <c r="C27" s="27">
        <f ca="1">C26*14</f>
        <v>42</v>
      </c>
      <c r="D27" s="28" t="s">
        <v>32</v>
      </c>
      <c r="E27" s="27">
        <f ca="1">E26*14</f>
        <v>28</v>
      </c>
      <c r="F27" s="28" t="s">
        <v>33</v>
      </c>
      <c r="G27" s="27">
        <f ca="1">G26*14</f>
        <v>0</v>
      </c>
      <c r="H27" s="28" t="s">
        <v>34</v>
      </c>
      <c r="I27" s="27">
        <f ca="1">I26*14</f>
        <v>14</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v>14</v>
      </c>
      <c r="N29" s="5"/>
    </row>
    <row r="30" spans="1:14" ht="15.5" x14ac:dyDescent="0.35">
      <c r="A30" s="7" t="s">
        <v>40</v>
      </c>
      <c r="B30" s="8"/>
      <c r="C30" s="8"/>
      <c r="D30" s="8"/>
      <c r="E30" s="8"/>
      <c r="F30" s="8"/>
      <c r="G30" s="8"/>
      <c r="H30" s="8"/>
      <c r="I30" s="8"/>
      <c r="J30" s="8"/>
      <c r="K30" s="8"/>
      <c r="L30" s="10"/>
      <c r="M30" s="32">
        <v>13</v>
      </c>
      <c r="N30" s="5"/>
    </row>
    <row r="31" spans="1:14" ht="15.5" x14ac:dyDescent="0.35">
      <c r="A31" s="7" t="s">
        <v>41</v>
      </c>
      <c r="B31" s="8"/>
      <c r="C31" s="8"/>
      <c r="D31" s="8"/>
      <c r="E31" s="8"/>
      <c r="F31" s="8"/>
      <c r="G31" s="8"/>
      <c r="H31" s="8"/>
      <c r="I31" s="8"/>
      <c r="J31" s="8"/>
      <c r="K31" s="8"/>
      <c r="L31" s="10"/>
      <c r="M31" s="32">
        <v>6</v>
      </c>
      <c r="N31" s="5"/>
    </row>
    <row r="32" spans="1:14" ht="15.5" x14ac:dyDescent="0.35">
      <c r="A32" s="7" t="s">
        <v>42</v>
      </c>
      <c r="B32" s="8"/>
      <c r="C32" s="8"/>
      <c r="D32" s="8"/>
      <c r="E32" s="8"/>
      <c r="F32" s="8"/>
      <c r="G32" s="8"/>
      <c r="H32" s="8"/>
      <c r="I32" s="8"/>
      <c r="J32" s="8"/>
      <c r="K32" s="8"/>
      <c r="L32" s="10"/>
      <c r="M32" s="27">
        <f t="array" aca="1" ref="M32" ca="1">IF(INDEX([1]Date!M8:M32, MATCH(E12,[1]Date!C8:C32,0),0)="E",3,0)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INDEX([1]Date!L8:L32, MATCH(E12,[1]Date!C8:C32,0),0)</f>
        <v>33</v>
      </c>
      <c r="D34" s="5"/>
      <c r="E34" s="5"/>
      <c r="F34" s="5"/>
      <c r="G34" s="5"/>
      <c r="H34" s="5"/>
      <c r="I34" s="5"/>
      <c r="J34" s="5"/>
      <c r="K34" s="5"/>
      <c r="L34" s="5"/>
      <c r="M34" s="5"/>
      <c r="N34" s="5"/>
    </row>
    <row r="35" spans="1:14" ht="15.5" x14ac:dyDescent="0.35">
      <c r="A35" s="7" t="s">
        <v>45</v>
      </c>
      <c r="B35" s="10"/>
      <c r="C35" s="27">
        <f ca="1">C27+C34</f>
        <v>75</v>
      </c>
      <c r="D35" s="5"/>
      <c r="E35" s="5"/>
      <c r="F35" s="5"/>
      <c r="G35" s="5"/>
      <c r="H35" s="5"/>
      <c r="I35" s="5"/>
      <c r="J35" s="5"/>
      <c r="K35" s="5"/>
      <c r="L35" s="5"/>
      <c r="M35" s="5"/>
      <c r="N35" s="5"/>
    </row>
    <row r="36" spans="1:14" ht="15.5" x14ac:dyDescent="0.35">
      <c r="A36" s="7" t="s">
        <v>46</v>
      </c>
      <c r="B36" s="10"/>
      <c r="C36" s="27">
        <f t="array" aca="1" ref="C36" ca="1">INDEX([1]Date!N8:N32, MATCH(E12,[1]Date!C8:C32,0),0)</f>
        <v>3</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51</v>
      </c>
      <c r="B42" s="2"/>
      <c r="C42" s="2"/>
      <c r="D42" s="2"/>
      <c r="E42" s="2"/>
      <c r="F42" s="2"/>
      <c r="G42" s="2"/>
      <c r="H42" s="2"/>
      <c r="I42" s="2"/>
      <c r="J42" s="2"/>
      <c r="K42" s="2"/>
      <c r="L42" s="2"/>
      <c r="M42" s="2"/>
      <c r="N42" s="30"/>
    </row>
    <row r="43" spans="1:14" ht="15.5" x14ac:dyDescent="0.35">
      <c r="A43" s="7" t="s">
        <v>52</v>
      </c>
      <c r="B43" s="10"/>
      <c r="C43" s="23" t="s">
        <v>53</v>
      </c>
      <c r="D43" s="8"/>
      <c r="E43" s="8"/>
      <c r="F43" s="8"/>
      <c r="G43" s="8"/>
      <c r="H43" s="8"/>
      <c r="I43" s="8"/>
      <c r="J43" s="8"/>
      <c r="K43" s="8"/>
      <c r="L43" s="8"/>
      <c r="M43" s="10"/>
      <c r="N43" s="30"/>
    </row>
    <row r="44" spans="1:14" ht="15.5" x14ac:dyDescent="0.35">
      <c r="A44" s="7" t="s">
        <v>54</v>
      </c>
      <c r="B44" s="10"/>
      <c r="C44" s="23" t="s">
        <v>53</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55</v>
      </c>
      <c r="B46" s="2"/>
      <c r="C46" s="2"/>
      <c r="D46" s="2"/>
      <c r="E46" s="2"/>
      <c r="F46" s="2"/>
      <c r="G46" s="2"/>
      <c r="H46" s="2"/>
      <c r="I46" s="2"/>
      <c r="J46" s="2"/>
      <c r="K46" s="2"/>
      <c r="L46" s="2"/>
      <c r="M46" s="2"/>
      <c r="N46" s="30"/>
    </row>
    <row r="47" spans="1:14" ht="62.25" customHeight="1" x14ac:dyDescent="0.35">
      <c r="A47" s="23" t="s">
        <v>56</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57</v>
      </c>
      <c r="B49" s="2"/>
      <c r="C49" s="2"/>
      <c r="D49" s="2"/>
      <c r="E49" s="2"/>
      <c r="F49" s="2"/>
      <c r="G49" s="2"/>
      <c r="H49" s="2"/>
      <c r="I49" s="2"/>
      <c r="J49" s="2"/>
      <c r="K49" s="2"/>
      <c r="L49" s="2"/>
      <c r="M49" s="2"/>
      <c r="N49" s="30"/>
    </row>
    <row r="50" spans="1:14" ht="15.5" x14ac:dyDescent="0.35">
      <c r="A50" s="33" t="s">
        <v>58</v>
      </c>
      <c r="B50" s="34" t="s">
        <v>59</v>
      </c>
      <c r="C50" s="8"/>
      <c r="D50" s="8"/>
      <c r="E50" s="8"/>
      <c r="F50" s="8"/>
      <c r="G50" s="8"/>
      <c r="H50" s="8"/>
      <c r="I50" s="8"/>
      <c r="J50" s="8"/>
      <c r="K50" s="8"/>
      <c r="L50" s="8"/>
      <c r="M50" s="10"/>
      <c r="N50" s="5"/>
    </row>
    <row r="51" spans="1:14" ht="15.5" x14ac:dyDescent="0.35">
      <c r="A51" s="35"/>
      <c r="B51" s="36" t="s">
        <v>60</v>
      </c>
      <c r="C51" s="8"/>
      <c r="D51" s="8"/>
      <c r="E51" s="8"/>
      <c r="F51" s="8"/>
      <c r="G51" s="8"/>
      <c r="H51" s="8"/>
      <c r="I51" s="8"/>
      <c r="J51" s="8"/>
      <c r="K51" s="8"/>
      <c r="L51" s="8"/>
      <c r="M51" s="10"/>
      <c r="N51" s="5"/>
    </row>
    <row r="52" spans="1:14" ht="15.5" x14ac:dyDescent="0.35">
      <c r="A52" s="33" t="s">
        <v>61</v>
      </c>
      <c r="B52" s="34" t="s">
        <v>59</v>
      </c>
      <c r="C52" s="8"/>
      <c r="D52" s="8"/>
      <c r="E52" s="8"/>
      <c r="F52" s="8"/>
      <c r="G52" s="8"/>
      <c r="H52" s="8"/>
      <c r="I52" s="8"/>
      <c r="J52" s="8"/>
      <c r="K52" s="8"/>
      <c r="L52" s="8"/>
      <c r="M52" s="10"/>
      <c r="N52" s="5"/>
    </row>
    <row r="53" spans="1:14" ht="15.5" x14ac:dyDescent="0.35">
      <c r="A53" s="35"/>
      <c r="B53" s="36" t="s">
        <v>62</v>
      </c>
      <c r="C53" s="8"/>
      <c r="D53" s="8"/>
      <c r="E53" s="8"/>
      <c r="F53" s="8"/>
      <c r="G53" s="8"/>
      <c r="H53" s="8"/>
      <c r="I53" s="8"/>
      <c r="J53" s="8"/>
      <c r="K53" s="8"/>
      <c r="L53" s="8"/>
      <c r="M53" s="10"/>
      <c r="N53" s="5"/>
    </row>
    <row r="54" spans="1:14" ht="18" customHeight="1" x14ac:dyDescent="0.35">
      <c r="A54" s="33" t="s">
        <v>63</v>
      </c>
      <c r="B54" s="34" t="s">
        <v>59</v>
      </c>
      <c r="C54" s="8"/>
      <c r="D54" s="8"/>
      <c r="E54" s="8"/>
      <c r="F54" s="8"/>
      <c r="G54" s="8"/>
      <c r="H54" s="8"/>
      <c r="I54" s="8"/>
      <c r="J54" s="8"/>
      <c r="K54" s="8"/>
      <c r="L54" s="8"/>
      <c r="M54" s="10"/>
      <c r="N54" s="5"/>
    </row>
    <row r="55" spans="1:14" ht="104.25" customHeight="1" x14ac:dyDescent="0.35">
      <c r="A55" s="35"/>
      <c r="B55" s="37" t="s">
        <v>64</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65</v>
      </c>
      <c r="B57" s="2"/>
      <c r="C57" s="2"/>
      <c r="D57" s="2"/>
      <c r="E57" s="2"/>
      <c r="F57" s="2"/>
      <c r="G57" s="2"/>
      <c r="H57" s="2"/>
      <c r="I57" s="2"/>
      <c r="J57" s="2"/>
      <c r="K57" s="2"/>
      <c r="L57" s="2"/>
      <c r="M57" s="2"/>
      <c r="N57" s="30"/>
    </row>
    <row r="58" spans="1:14" ht="15.5" x14ac:dyDescent="0.35">
      <c r="A58" s="23" t="s">
        <v>66</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67</v>
      </c>
      <c r="B60" s="2"/>
      <c r="C60" s="2"/>
      <c r="D60" s="2"/>
      <c r="E60" s="2"/>
      <c r="F60" s="2"/>
      <c r="G60" s="2"/>
      <c r="H60" s="2"/>
      <c r="I60" s="2"/>
      <c r="J60" s="2"/>
      <c r="K60" s="2"/>
      <c r="L60" s="2"/>
      <c r="M60" s="2"/>
      <c r="N60" s="30"/>
    </row>
    <row r="61" spans="1:14" ht="24.75" customHeight="1" x14ac:dyDescent="0.35">
      <c r="A61" s="38" t="s">
        <v>68</v>
      </c>
      <c r="B61" s="8"/>
      <c r="C61" s="8"/>
      <c r="D61" s="8"/>
      <c r="E61" s="8"/>
      <c r="F61" s="8"/>
      <c r="G61" s="10"/>
      <c r="H61" s="38" t="s">
        <v>69</v>
      </c>
      <c r="I61" s="8"/>
      <c r="J61" s="8"/>
      <c r="K61" s="10"/>
      <c r="L61" s="38" t="s">
        <v>70</v>
      </c>
      <c r="M61" s="10"/>
      <c r="N61" s="30"/>
    </row>
    <row r="62" spans="1:14" ht="15.5" x14ac:dyDescent="0.35">
      <c r="A62" s="39" t="s">
        <v>71</v>
      </c>
      <c r="B62" s="23" t="s">
        <v>72</v>
      </c>
      <c r="C62" s="8"/>
      <c r="D62" s="8"/>
      <c r="E62" s="8"/>
      <c r="F62" s="8"/>
      <c r="G62" s="10"/>
      <c r="H62" s="40" t="s">
        <v>73</v>
      </c>
      <c r="I62" s="14"/>
      <c r="J62" s="14"/>
      <c r="K62" s="15"/>
      <c r="L62" s="41">
        <v>2</v>
      </c>
      <c r="M62" s="10"/>
      <c r="N62" s="5"/>
    </row>
    <row r="63" spans="1:14" ht="15.5" x14ac:dyDescent="0.35">
      <c r="A63" s="39" t="s">
        <v>74</v>
      </c>
      <c r="B63" s="23" t="s">
        <v>75</v>
      </c>
      <c r="C63" s="8"/>
      <c r="D63" s="8"/>
      <c r="E63" s="8"/>
      <c r="F63" s="8"/>
      <c r="G63" s="10"/>
      <c r="H63" s="25"/>
      <c r="I63" s="2"/>
      <c r="J63" s="2"/>
      <c r="K63" s="26"/>
      <c r="L63" s="41">
        <v>4</v>
      </c>
      <c r="M63" s="10"/>
      <c r="N63" s="5"/>
    </row>
    <row r="64" spans="1:14" ht="15.5" x14ac:dyDescent="0.35">
      <c r="A64" s="39" t="s">
        <v>76</v>
      </c>
      <c r="B64" s="23" t="s">
        <v>77</v>
      </c>
      <c r="C64" s="8"/>
      <c r="D64" s="8"/>
      <c r="E64" s="8"/>
      <c r="F64" s="8"/>
      <c r="G64" s="10"/>
      <c r="H64" s="25"/>
      <c r="I64" s="2"/>
      <c r="J64" s="2"/>
      <c r="K64" s="26"/>
      <c r="L64" s="41">
        <v>4</v>
      </c>
      <c r="M64" s="10"/>
      <c r="N64" s="5"/>
    </row>
    <row r="65" spans="1:14" ht="15.5" x14ac:dyDescent="0.35">
      <c r="A65" s="39" t="s">
        <v>78</v>
      </c>
      <c r="B65" s="23" t="s">
        <v>79</v>
      </c>
      <c r="C65" s="8"/>
      <c r="D65" s="8"/>
      <c r="E65" s="8"/>
      <c r="F65" s="8"/>
      <c r="G65" s="10"/>
      <c r="H65" s="25"/>
      <c r="I65" s="2"/>
      <c r="J65" s="2"/>
      <c r="K65" s="26"/>
      <c r="L65" s="41">
        <v>4</v>
      </c>
      <c r="M65" s="10"/>
      <c r="N65" s="5"/>
    </row>
    <row r="66" spans="1:14" ht="15.5" x14ac:dyDescent="0.35">
      <c r="A66" s="39" t="s">
        <v>80</v>
      </c>
      <c r="B66" s="23" t="s">
        <v>81</v>
      </c>
      <c r="C66" s="8"/>
      <c r="D66" s="8"/>
      <c r="E66" s="8"/>
      <c r="F66" s="8"/>
      <c r="G66" s="10"/>
      <c r="H66" s="25"/>
      <c r="I66" s="2"/>
      <c r="J66" s="2"/>
      <c r="K66" s="26"/>
      <c r="L66" s="41">
        <v>4</v>
      </c>
      <c r="M66" s="10"/>
      <c r="N66" s="5"/>
    </row>
    <row r="67" spans="1:14" ht="15.5" x14ac:dyDescent="0.35">
      <c r="A67" s="39" t="s">
        <v>82</v>
      </c>
      <c r="B67" s="23" t="s">
        <v>83</v>
      </c>
      <c r="C67" s="8"/>
      <c r="D67" s="8"/>
      <c r="E67" s="8"/>
      <c r="F67" s="8"/>
      <c r="G67" s="10"/>
      <c r="H67" s="25"/>
      <c r="I67" s="2"/>
      <c r="J67" s="2"/>
      <c r="K67" s="26"/>
      <c r="L67" s="41">
        <v>4</v>
      </c>
      <c r="M67" s="10"/>
      <c r="N67" s="5"/>
    </row>
    <row r="68" spans="1:14" ht="15.5" x14ac:dyDescent="0.35">
      <c r="A68" s="39" t="s">
        <v>84</v>
      </c>
      <c r="B68" s="23" t="s">
        <v>85</v>
      </c>
      <c r="C68" s="8"/>
      <c r="D68" s="8"/>
      <c r="E68" s="8"/>
      <c r="F68" s="8"/>
      <c r="G68" s="10"/>
      <c r="H68" s="25"/>
      <c r="I68" s="2"/>
      <c r="J68" s="2"/>
      <c r="K68" s="26"/>
      <c r="L68" s="41">
        <v>4</v>
      </c>
      <c r="M68" s="10"/>
      <c r="N68" s="5"/>
    </row>
    <row r="69" spans="1:14" ht="15.5" x14ac:dyDescent="0.35">
      <c r="A69" s="39" t="s">
        <v>86</v>
      </c>
      <c r="B69" s="23" t="s">
        <v>87</v>
      </c>
      <c r="C69" s="8"/>
      <c r="D69" s="8"/>
      <c r="E69" s="8"/>
      <c r="F69" s="8"/>
      <c r="G69" s="10"/>
      <c r="H69" s="25"/>
      <c r="I69" s="2"/>
      <c r="J69" s="2"/>
      <c r="K69" s="26"/>
      <c r="L69" s="41">
        <v>4</v>
      </c>
      <c r="M69" s="10"/>
      <c r="N69" s="5"/>
    </row>
    <row r="70" spans="1:14" ht="15.5" x14ac:dyDescent="0.35">
      <c r="A70" s="39" t="s">
        <v>88</v>
      </c>
      <c r="B70" s="23" t="s">
        <v>89</v>
      </c>
      <c r="C70" s="8"/>
      <c r="D70" s="8"/>
      <c r="E70" s="8"/>
      <c r="F70" s="8"/>
      <c r="G70" s="10"/>
      <c r="H70" s="25"/>
      <c r="I70" s="2"/>
      <c r="J70" s="2"/>
      <c r="K70" s="26"/>
      <c r="L70" s="41">
        <v>4</v>
      </c>
      <c r="M70" s="10"/>
      <c r="N70" s="5"/>
    </row>
    <row r="71" spans="1:14" ht="15.5" x14ac:dyDescent="0.35">
      <c r="A71" s="39"/>
      <c r="B71" s="23"/>
      <c r="C71" s="8"/>
      <c r="D71" s="8"/>
      <c r="E71" s="8"/>
      <c r="F71" s="8"/>
      <c r="G71" s="10"/>
      <c r="H71" s="25"/>
      <c r="I71" s="2"/>
      <c r="J71" s="2"/>
      <c r="K71" s="26"/>
      <c r="L71" s="23"/>
      <c r="M71" s="10"/>
      <c r="N71" s="5"/>
    </row>
    <row r="72" spans="1:14" ht="15.5" hidden="1" x14ac:dyDescent="0.35">
      <c r="A72" s="39"/>
      <c r="B72" s="23"/>
      <c r="C72" s="8"/>
      <c r="D72" s="8"/>
      <c r="E72" s="8"/>
      <c r="F72" s="8"/>
      <c r="G72" s="10"/>
      <c r="H72" s="25"/>
      <c r="I72" s="2"/>
      <c r="J72" s="2"/>
      <c r="K72" s="26"/>
      <c r="L72" s="23"/>
      <c r="M72" s="10"/>
      <c r="N72" s="5"/>
    </row>
    <row r="73" spans="1:14" ht="15.5" hidden="1" x14ac:dyDescent="0.35">
      <c r="A73" s="39"/>
      <c r="B73" s="23"/>
      <c r="C73" s="8"/>
      <c r="D73" s="8"/>
      <c r="E73" s="8"/>
      <c r="F73" s="8"/>
      <c r="G73" s="10"/>
      <c r="H73" s="25"/>
      <c r="I73" s="2"/>
      <c r="J73" s="2"/>
      <c r="K73" s="26"/>
      <c r="L73" s="23"/>
      <c r="M73" s="10"/>
      <c r="N73" s="5"/>
    </row>
    <row r="74" spans="1:14" ht="15.5" hidden="1" x14ac:dyDescent="0.35">
      <c r="A74" s="39"/>
      <c r="B74" s="23"/>
      <c r="C74" s="8"/>
      <c r="D74" s="8"/>
      <c r="E74" s="8"/>
      <c r="F74" s="8"/>
      <c r="G74" s="10"/>
      <c r="H74" s="25"/>
      <c r="I74" s="2"/>
      <c r="J74" s="2"/>
      <c r="K74" s="26"/>
      <c r="L74" s="23"/>
      <c r="M74" s="10"/>
      <c r="N74" s="5"/>
    </row>
    <row r="75" spans="1:14" ht="15.5" hidden="1" x14ac:dyDescent="0.35">
      <c r="A75" s="39"/>
      <c r="B75" s="23"/>
      <c r="C75" s="8"/>
      <c r="D75" s="8"/>
      <c r="E75" s="8"/>
      <c r="F75" s="8"/>
      <c r="G75" s="10"/>
      <c r="H75" s="24"/>
      <c r="I75" s="18"/>
      <c r="J75" s="18"/>
      <c r="K75" s="19"/>
      <c r="L75" s="23"/>
      <c r="M75" s="10"/>
      <c r="N75" s="5"/>
    </row>
    <row r="76" spans="1:14" ht="15.5" x14ac:dyDescent="0.35">
      <c r="A76" s="37" t="s">
        <v>90</v>
      </c>
      <c r="B76" s="8"/>
      <c r="C76" s="8"/>
      <c r="D76" s="8"/>
      <c r="E76" s="8"/>
      <c r="F76" s="8"/>
      <c r="G76" s="8"/>
      <c r="H76" s="8"/>
      <c r="I76" s="8"/>
      <c r="J76" s="8"/>
      <c r="K76" s="8"/>
      <c r="L76" s="8"/>
      <c r="M76" s="10"/>
      <c r="N76" s="5"/>
    </row>
    <row r="77" spans="1:14" ht="24.75" hidden="1" customHeight="1" x14ac:dyDescent="0.35">
      <c r="A77" s="38" t="s">
        <v>91</v>
      </c>
      <c r="B77" s="8"/>
      <c r="C77" s="8"/>
      <c r="D77" s="8"/>
      <c r="E77" s="8"/>
      <c r="F77" s="8"/>
      <c r="G77" s="10"/>
      <c r="H77" s="38" t="s">
        <v>92</v>
      </c>
      <c r="I77" s="8"/>
      <c r="J77" s="8"/>
      <c r="K77" s="10"/>
      <c r="L77" s="38" t="s">
        <v>70</v>
      </c>
      <c r="M77" s="10"/>
      <c r="N77" s="30"/>
    </row>
    <row r="78" spans="1:14" ht="15.5" hidden="1" x14ac:dyDescent="0.35">
      <c r="A78" s="39" t="s">
        <v>71</v>
      </c>
      <c r="B78" s="23"/>
      <c r="C78" s="8"/>
      <c r="D78" s="8"/>
      <c r="E78" s="8"/>
      <c r="F78" s="8"/>
      <c r="G78" s="10"/>
      <c r="H78" s="40"/>
      <c r="I78" s="14"/>
      <c r="J78" s="14"/>
      <c r="K78" s="15"/>
      <c r="L78" s="41"/>
      <c r="M78" s="10"/>
      <c r="N78" s="5"/>
    </row>
    <row r="79" spans="1:14" ht="15.5" hidden="1" x14ac:dyDescent="0.35">
      <c r="A79" s="39" t="s">
        <v>74</v>
      </c>
      <c r="B79" s="23"/>
      <c r="C79" s="8"/>
      <c r="D79" s="8"/>
      <c r="E79" s="8"/>
      <c r="F79" s="8"/>
      <c r="G79" s="10"/>
      <c r="H79" s="25"/>
      <c r="I79" s="2"/>
      <c r="J79" s="2"/>
      <c r="K79" s="26"/>
      <c r="L79" s="41"/>
      <c r="M79" s="10"/>
      <c r="N79" s="5"/>
    </row>
    <row r="80" spans="1:14" ht="15.5" hidden="1" x14ac:dyDescent="0.35">
      <c r="A80" s="39" t="s">
        <v>76</v>
      </c>
      <c r="B80" s="23"/>
      <c r="C80" s="8"/>
      <c r="D80" s="8"/>
      <c r="E80" s="8"/>
      <c r="F80" s="8"/>
      <c r="G80" s="10"/>
      <c r="H80" s="25"/>
      <c r="I80" s="2"/>
      <c r="J80" s="2"/>
      <c r="K80" s="26"/>
      <c r="L80" s="41"/>
      <c r="M80" s="10"/>
      <c r="N80" s="5"/>
    </row>
    <row r="81" spans="1:14" ht="15.5" hidden="1" x14ac:dyDescent="0.35">
      <c r="A81" s="39" t="s">
        <v>78</v>
      </c>
      <c r="B81" s="23"/>
      <c r="C81" s="8"/>
      <c r="D81" s="8"/>
      <c r="E81" s="8"/>
      <c r="F81" s="8"/>
      <c r="G81" s="10"/>
      <c r="H81" s="25"/>
      <c r="I81" s="2"/>
      <c r="J81" s="2"/>
      <c r="K81" s="26"/>
      <c r="L81" s="41"/>
      <c r="M81" s="10"/>
      <c r="N81" s="5"/>
    </row>
    <row r="82" spans="1:14" ht="15.5" hidden="1" x14ac:dyDescent="0.35">
      <c r="A82" s="39" t="s">
        <v>80</v>
      </c>
      <c r="B82" s="23"/>
      <c r="C82" s="8"/>
      <c r="D82" s="8"/>
      <c r="E82" s="8"/>
      <c r="F82" s="8"/>
      <c r="G82" s="10"/>
      <c r="H82" s="25"/>
      <c r="I82" s="2"/>
      <c r="J82" s="2"/>
      <c r="K82" s="26"/>
      <c r="L82" s="41"/>
      <c r="M82" s="10"/>
      <c r="N82" s="5"/>
    </row>
    <row r="83" spans="1:14" ht="15.5" hidden="1" x14ac:dyDescent="0.35">
      <c r="A83" s="39" t="s">
        <v>82</v>
      </c>
      <c r="B83" s="23"/>
      <c r="C83" s="8"/>
      <c r="D83" s="8"/>
      <c r="E83" s="8"/>
      <c r="F83" s="8"/>
      <c r="G83" s="10"/>
      <c r="H83" s="25"/>
      <c r="I83" s="2"/>
      <c r="J83" s="2"/>
      <c r="K83" s="26"/>
      <c r="L83" s="41"/>
      <c r="M83" s="10"/>
      <c r="N83" s="5"/>
    </row>
    <row r="84" spans="1:14" ht="15.5" hidden="1" x14ac:dyDescent="0.35">
      <c r="A84" s="39" t="s">
        <v>84</v>
      </c>
      <c r="B84" s="23"/>
      <c r="C84" s="8"/>
      <c r="D84" s="8"/>
      <c r="E84" s="8"/>
      <c r="F84" s="8"/>
      <c r="G84" s="10"/>
      <c r="H84" s="25"/>
      <c r="I84" s="2"/>
      <c r="J84" s="2"/>
      <c r="K84" s="26"/>
      <c r="L84" s="41"/>
      <c r="M84" s="10"/>
      <c r="N84" s="5"/>
    </row>
    <row r="85" spans="1:14" ht="15.5" hidden="1" x14ac:dyDescent="0.35">
      <c r="A85" s="39" t="s">
        <v>86</v>
      </c>
      <c r="B85" s="23"/>
      <c r="C85" s="8"/>
      <c r="D85" s="8"/>
      <c r="E85" s="8"/>
      <c r="F85" s="8"/>
      <c r="G85" s="10"/>
      <c r="H85" s="25"/>
      <c r="I85" s="2"/>
      <c r="J85" s="2"/>
      <c r="K85" s="26"/>
      <c r="L85" s="41"/>
      <c r="M85" s="10"/>
      <c r="N85" s="5"/>
    </row>
    <row r="86" spans="1:14" ht="15.5" hidden="1" x14ac:dyDescent="0.35">
      <c r="A86" s="39" t="s">
        <v>88</v>
      </c>
      <c r="B86" s="23"/>
      <c r="C86" s="8"/>
      <c r="D86" s="8"/>
      <c r="E86" s="8"/>
      <c r="F86" s="8"/>
      <c r="G86" s="10"/>
      <c r="H86" s="25"/>
      <c r="I86" s="2"/>
      <c r="J86" s="2"/>
      <c r="K86" s="26"/>
      <c r="L86" s="41"/>
      <c r="M86" s="10"/>
      <c r="N86" s="5"/>
    </row>
    <row r="87" spans="1:14" ht="15.5" hidden="1" x14ac:dyDescent="0.35">
      <c r="A87" s="39" t="s">
        <v>93</v>
      </c>
      <c r="B87" s="23"/>
      <c r="C87" s="8"/>
      <c r="D87" s="8"/>
      <c r="E87" s="8"/>
      <c r="F87" s="8"/>
      <c r="G87" s="10"/>
      <c r="H87" s="25"/>
      <c r="I87" s="2"/>
      <c r="J87" s="2"/>
      <c r="K87" s="26"/>
      <c r="L87" s="23"/>
      <c r="M87" s="10"/>
      <c r="N87" s="5"/>
    </row>
    <row r="88" spans="1:14" ht="15.5" hidden="1" x14ac:dyDescent="0.35">
      <c r="A88" s="39" t="s">
        <v>94</v>
      </c>
      <c r="B88" s="23"/>
      <c r="C88" s="8"/>
      <c r="D88" s="8"/>
      <c r="E88" s="8"/>
      <c r="F88" s="8"/>
      <c r="G88" s="10"/>
      <c r="H88" s="25"/>
      <c r="I88" s="2"/>
      <c r="J88" s="2"/>
      <c r="K88" s="26"/>
      <c r="L88" s="23"/>
      <c r="M88" s="10"/>
      <c r="N88" s="5"/>
    </row>
    <row r="89" spans="1:14" ht="15.5" hidden="1" x14ac:dyDescent="0.35">
      <c r="A89" s="39" t="s">
        <v>95</v>
      </c>
      <c r="B89" s="23"/>
      <c r="C89" s="8"/>
      <c r="D89" s="8"/>
      <c r="E89" s="8"/>
      <c r="F89" s="8"/>
      <c r="G89" s="10"/>
      <c r="H89" s="25"/>
      <c r="I89" s="2"/>
      <c r="J89" s="2"/>
      <c r="K89" s="26"/>
      <c r="L89" s="23"/>
      <c r="M89" s="10"/>
      <c r="N89" s="5"/>
    </row>
    <row r="90" spans="1:14" ht="15.5" hidden="1" x14ac:dyDescent="0.35">
      <c r="A90" s="39" t="s">
        <v>96</v>
      </c>
      <c r="B90" s="23"/>
      <c r="C90" s="8"/>
      <c r="D90" s="8"/>
      <c r="E90" s="8"/>
      <c r="F90" s="8"/>
      <c r="G90" s="10"/>
      <c r="H90" s="25"/>
      <c r="I90" s="2"/>
      <c r="J90" s="2"/>
      <c r="K90" s="26"/>
      <c r="L90" s="23"/>
      <c r="M90" s="10"/>
      <c r="N90" s="5"/>
    </row>
    <row r="91" spans="1:14" ht="15.5" hidden="1" x14ac:dyDescent="0.35">
      <c r="A91" s="39" t="s">
        <v>97</v>
      </c>
      <c r="B91" s="23"/>
      <c r="C91" s="8"/>
      <c r="D91" s="8"/>
      <c r="E91" s="8"/>
      <c r="F91" s="8"/>
      <c r="G91" s="10"/>
      <c r="H91" s="24"/>
      <c r="I91" s="18"/>
      <c r="J91" s="18"/>
      <c r="K91" s="19"/>
      <c r="L91" s="23"/>
      <c r="M91" s="10"/>
      <c r="N91" s="5"/>
    </row>
    <row r="92" spans="1:14" ht="24" customHeight="1" x14ac:dyDescent="0.35">
      <c r="A92" s="38" t="s">
        <v>98</v>
      </c>
      <c r="B92" s="8"/>
      <c r="C92" s="8"/>
      <c r="D92" s="8"/>
      <c r="E92" s="8"/>
      <c r="F92" s="8"/>
      <c r="G92" s="10"/>
      <c r="H92" s="38" t="s">
        <v>92</v>
      </c>
      <c r="I92" s="8"/>
      <c r="J92" s="8"/>
      <c r="K92" s="10"/>
      <c r="L92" s="38" t="s">
        <v>70</v>
      </c>
      <c r="M92" s="10"/>
      <c r="N92" s="30"/>
    </row>
    <row r="93" spans="1:14" ht="15.5" x14ac:dyDescent="0.35">
      <c r="A93" s="39" t="s">
        <v>71</v>
      </c>
      <c r="B93" s="23" t="s">
        <v>99</v>
      </c>
      <c r="C93" s="8"/>
      <c r="D93" s="8"/>
      <c r="E93" s="8"/>
      <c r="F93" s="8"/>
      <c r="G93" s="10"/>
      <c r="H93" s="40" t="s">
        <v>100</v>
      </c>
      <c r="I93" s="14"/>
      <c r="J93" s="14"/>
      <c r="K93" s="15"/>
      <c r="L93" s="41">
        <v>2</v>
      </c>
      <c r="M93" s="10"/>
      <c r="N93" s="5"/>
    </row>
    <row r="94" spans="1:14" ht="15.5" x14ac:dyDescent="0.35">
      <c r="A94" s="39" t="s">
        <v>74</v>
      </c>
      <c r="B94" s="23" t="s">
        <v>101</v>
      </c>
      <c r="C94" s="8"/>
      <c r="D94" s="8"/>
      <c r="E94" s="8"/>
      <c r="F94" s="8"/>
      <c r="G94" s="10"/>
      <c r="H94" s="25"/>
      <c r="I94" s="2"/>
      <c r="J94" s="2"/>
      <c r="K94" s="26"/>
      <c r="L94" s="41">
        <v>2</v>
      </c>
      <c r="M94" s="10"/>
      <c r="N94" s="5"/>
    </row>
    <row r="95" spans="1:14" ht="15.5" x14ac:dyDescent="0.35">
      <c r="A95" s="39" t="s">
        <v>76</v>
      </c>
      <c r="B95" s="23" t="s">
        <v>102</v>
      </c>
      <c r="C95" s="8"/>
      <c r="D95" s="8"/>
      <c r="E95" s="8"/>
      <c r="F95" s="8"/>
      <c r="G95" s="10"/>
      <c r="H95" s="25"/>
      <c r="I95" s="2"/>
      <c r="J95" s="2"/>
      <c r="K95" s="26"/>
      <c r="L95" s="41">
        <v>2</v>
      </c>
      <c r="M95" s="10"/>
      <c r="N95" s="5"/>
    </row>
    <row r="96" spans="1:14" ht="15.5" x14ac:dyDescent="0.35">
      <c r="A96" s="39" t="s">
        <v>78</v>
      </c>
      <c r="B96" s="23" t="s">
        <v>103</v>
      </c>
      <c r="C96" s="8"/>
      <c r="D96" s="8"/>
      <c r="E96" s="8"/>
      <c r="F96" s="8"/>
      <c r="G96" s="10"/>
      <c r="H96" s="25"/>
      <c r="I96" s="2"/>
      <c r="J96" s="2"/>
      <c r="K96" s="26"/>
      <c r="L96" s="41">
        <v>2</v>
      </c>
      <c r="M96" s="10"/>
      <c r="N96" s="5"/>
    </row>
    <row r="97" spans="1:14" ht="15.5" x14ac:dyDescent="0.35">
      <c r="A97" s="39" t="s">
        <v>80</v>
      </c>
      <c r="B97" s="23" t="s">
        <v>104</v>
      </c>
      <c r="C97" s="8"/>
      <c r="D97" s="8"/>
      <c r="E97" s="8"/>
      <c r="F97" s="8"/>
      <c r="G97" s="10"/>
      <c r="H97" s="25"/>
      <c r="I97" s="2"/>
      <c r="J97" s="2"/>
      <c r="K97" s="26"/>
      <c r="L97" s="41">
        <v>2</v>
      </c>
      <c r="M97" s="10"/>
      <c r="N97" s="5"/>
    </row>
    <row r="98" spans="1:14" ht="15.5" x14ac:dyDescent="0.35">
      <c r="A98" s="39" t="s">
        <v>82</v>
      </c>
      <c r="B98" s="23" t="s">
        <v>105</v>
      </c>
      <c r="C98" s="8"/>
      <c r="D98" s="8"/>
      <c r="E98" s="8"/>
      <c r="F98" s="8"/>
      <c r="G98" s="10"/>
      <c r="H98" s="25"/>
      <c r="I98" s="2"/>
      <c r="J98" s="2"/>
      <c r="K98" s="26"/>
      <c r="L98" s="41">
        <v>2</v>
      </c>
      <c r="M98" s="10"/>
      <c r="N98" s="5"/>
    </row>
    <row r="99" spans="1:14" ht="15.5" x14ac:dyDescent="0.35">
      <c r="A99" s="39" t="s">
        <v>84</v>
      </c>
      <c r="B99" s="23" t="s">
        <v>106</v>
      </c>
      <c r="C99" s="8"/>
      <c r="D99" s="8"/>
      <c r="E99" s="8"/>
      <c r="F99" s="8"/>
      <c r="G99" s="10"/>
      <c r="H99" s="25"/>
      <c r="I99" s="2"/>
      <c r="J99" s="2"/>
      <c r="K99" s="26"/>
      <c r="L99" s="41">
        <v>2</v>
      </c>
      <c r="M99" s="10"/>
      <c r="N99" s="5"/>
    </row>
    <row r="100" spans="1:14" ht="15.5" x14ac:dyDescent="0.35">
      <c r="A100" s="39" t="s">
        <v>86</v>
      </c>
      <c r="B100" s="23" t="s">
        <v>107</v>
      </c>
      <c r="C100" s="8"/>
      <c r="D100" s="8"/>
      <c r="E100" s="8"/>
      <c r="F100" s="8"/>
      <c r="G100" s="10"/>
      <c r="H100" s="25"/>
      <c r="I100" s="2"/>
      <c r="J100" s="2"/>
      <c r="K100" s="26"/>
      <c r="L100" s="41">
        <v>2</v>
      </c>
      <c r="M100" s="10"/>
      <c r="N100" s="5"/>
    </row>
    <row r="101" spans="1:14" ht="15.5" x14ac:dyDescent="0.35">
      <c r="A101" s="39" t="s">
        <v>88</v>
      </c>
      <c r="B101" s="23" t="s">
        <v>108</v>
      </c>
      <c r="C101" s="8"/>
      <c r="D101" s="8"/>
      <c r="E101" s="8"/>
      <c r="F101" s="8"/>
      <c r="G101" s="10"/>
      <c r="H101" s="25"/>
      <c r="I101" s="2"/>
      <c r="J101" s="2"/>
      <c r="K101" s="26"/>
      <c r="L101" s="41">
        <v>2</v>
      </c>
      <c r="M101" s="10"/>
      <c r="N101" s="5"/>
    </row>
    <row r="102" spans="1:14" ht="15.5" x14ac:dyDescent="0.35">
      <c r="A102" s="39" t="s">
        <v>93</v>
      </c>
      <c r="B102" s="23" t="s">
        <v>109</v>
      </c>
      <c r="C102" s="8"/>
      <c r="D102" s="8"/>
      <c r="E102" s="8"/>
      <c r="F102" s="8"/>
      <c r="G102" s="10"/>
      <c r="H102" s="25"/>
      <c r="I102" s="2"/>
      <c r="J102" s="2"/>
      <c r="K102" s="26"/>
      <c r="L102" s="41">
        <v>2</v>
      </c>
      <c r="M102" s="10"/>
      <c r="N102" s="5"/>
    </row>
    <row r="103" spans="1:14" ht="15.5" x14ac:dyDescent="0.35">
      <c r="A103" s="39" t="s">
        <v>94</v>
      </c>
      <c r="B103" s="23" t="s">
        <v>110</v>
      </c>
      <c r="C103" s="8"/>
      <c r="D103" s="8"/>
      <c r="E103" s="8"/>
      <c r="F103" s="8"/>
      <c r="G103" s="10"/>
      <c r="H103" s="25"/>
      <c r="I103" s="2"/>
      <c r="J103" s="2"/>
      <c r="K103" s="26"/>
      <c r="L103" s="41">
        <v>2</v>
      </c>
      <c r="M103" s="10"/>
      <c r="N103" s="5"/>
    </row>
    <row r="104" spans="1:14" ht="15.5" x14ac:dyDescent="0.35">
      <c r="A104" s="39" t="s">
        <v>95</v>
      </c>
      <c r="B104" s="23" t="s">
        <v>111</v>
      </c>
      <c r="C104" s="8"/>
      <c r="D104" s="8"/>
      <c r="E104" s="8"/>
      <c r="F104" s="8"/>
      <c r="G104" s="10"/>
      <c r="H104" s="25"/>
      <c r="I104" s="2"/>
      <c r="J104" s="2"/>
      <c r="K104" s="26"/>
      <c r="L104" s="41">
        <v>2</v>
      </c>
      <c r="M104" s="10"/>
      <c r="N104" s="5"/>
    </row>
    <row r="105" spans="1:14" ht="15.5" x14ac:dyDescent="0.35">
      <c r="A105" s="39" t="s">
        <v>96</v>
      </c>
      <c r="B105" s="23" t="s">
        <v>112</v>
      </c>
      <c r="C105" s="8"/>
      <c r="D105" s="8"/>
      <c r="E105" s="8"/>
      <c r="F105" s="8"/>
      <c r="G105" s="10"/>
      <c r="H105" s="25"/>
      <c r="I105" s="2"/>
      <c r="J105" s="2"/>
      <c r="K105" s="26"/>
      <c r="L105" s="41">
        <v>2</v>
      </c>
      <c r="M105" s="10"/>
      <c r="N105" s="5"/>
    </row>
    <row r="106" spans="1:14" ht="15.5" x14ac:dyDescent="0.35">
      <c r="A106" s="39" t="s">
        <v>97</v>
      </c>
      <c r="B106" s="23" t="s">
        <v>113</v>
      </c>
      <c r="C106" s="8"/>
      <c r="D106" s="8"/>
      <c r="E106" s="8"/>
      <c r="F106" s="8"/>
      <c r="G106" s="10"/>
      <c r="H106" s="24"/>
      <c r="I106" s="18"/>
      <c r="J106" s="18"/>
      <c r="K106" s="19"/>
      <c r="L106" s="41">
        <v>2</v>
      </c>
      <c r="M106" s="10"/>
      <c r="N106" s="5"/>
    </row>
    <row r="107" spans="1:14" ht="24" hidden="1" customHeight="1" x14ac:dyDescent="0.35">
      <c r="A107" s="38" t="s">
        <v>114</v>
      </c>
      <c r="B107" s="8"/>
      <c r="C107" s="8"/>
      <c r="D107" s="8"/>
      <c r="E107" s="8"/>
      <c r="F107" s="8"/>
      <c r="G107" s="10"/>
      <c r="H107" s="38" t="s">
        <v>92</v>
      </c>
      <c r="I107" s="8"/>
      <c r="J107" s="8"/>
      <c r="K107" s="10"/>
      <c r="L107" s="38" t="s">
        <v>70</v>
      </c>
      <c r="M107" s="10"/>
      <c r="N107" s="30"/>
    </row>
    <row r="108" spans="1:14" ht="15.5" hidden="1" x14ac:dyDescent="0.35">
      <c r="A108" s="39" t="s">
        <v>71</v>
      </c>
      <c r="B108" s="23"/>
      <c r="C108" s="8"/>
      <c r="D108" s="8"/>
      <c r="E108" s="8"/>
      <c r="F108" s="8"/>
      <c r="G108" s="10"/>
      <c r="H108" s="40"/>
      <c r="I108" s="14"/>
      <c r="J108" s="14"/>
      <c r="K108" s="15"/>
      <c r="L108" s="23"/>
      <c r="M108" s="10"/>
      <c r="N108" s="5"/>
    </row>
    <row r="109" spans="1:14" ht="15.5" hidden="1" x14ac:dyDescent="0.35">
      <c r="A109" s="39" t="s">
        <v>74</v>
      </c>
      <c r="B109" s="23"/>
      <c r="C109" s="8"/>
      <c r="D109" s="8"/>
      <c r="E109" s="8"/>
      <c r="F109" s="8"/>
      <c r="G109" s="10"/>
      <c r="H109" s="25"/>
      <c r="I109" s="2"/>
      <c r="J109" s="2"/>
      <c r="K109" s="26"/>
      <c r="L109" s="23"/>
      <c r="M109" s="10"/>
      <c r="N109" s="5"/>
    </row>
    <row r="110" spans="1:14" ht="15.5" hidden="1" x14ac:dyDescent="0.35">
      <c r="A110" s="39" t="s">
        <v>76</v>
      </c>
      <c r="B110" s="23"/>
      <c r="C110" s="8"/>
      <c r="D110" s="8"/>
      <c r="E110" s="8"/>
      <c r="F110" s="8"/>
      <c r="G110" s="10"/>
      <c r="H110" s="25"/>
      <c r="I110" s="2"/>
      <c r="J110" s="2"/>
      <c r="K110" s="26"/>
      <c r="L110" s="23"/>
      <c r="M110" s="10"/>
      <c r="N110" s="5"/>
    </row>
    <row r="111" spans="1:14" ht="15.5" hidden="1" x14ac:dyDescent="0.35">
      <c r="A111" s="39" t="s">
        <v>78</v>
      </c>
      <c r="B111" s="23"/>
      <c r="C111" s="8"/>
      <c r="D111" s="8"/>
      <c r="E111" s="8"/>
      <c r="F111" s="8"/>
      <c r="G111" s="10"/>
      <c r="H111" s="25"/>
      <c r="I111" s="2"/>
      <c r="J111" s="2"/>
      <c r="K111" s="26"/>
      <c r="L111" s="23"/>
      <c r="M111" s="10"/>
      <c r="N111" s="5"/>
    </row>
    <row r="112" spans="1:14" ht="15.5" hidden="1" x14ac:dyDescent="0.35">
      <c r="A112" s="39" t="s">
        <v>80</v>
      </c>
      <c r="B112" s="23"/>
      <c r="C112" s="8"/>
      <c r="D112" s="8"/>
      <c r="E112" s="8"/>
      <c r="F112" s="8"/>
      <c r="G112" s="10"/>
      <c r="H112" s="25"/>
      <c r="I112" s="2"/>
      <c r="J112" s="2"/>
      <c r="K112" s="26"/>
      <c r="L112" s="23"/>
      <c r="M112" s="10"/>
      <c r="N112" s="5"/>
    </row>
    <row r="113" spans="1:14" ht="15.5" hidden="1" x14ac:dyDescent="0.35">
      <c r="A113" s="39" t="s">
        <v>82</v>
      </c>
      <c r="B113" s="23"/>
      <c r="C113" s="8"/>
      <c r="D113" s="8"/>
      <c r="E113" s="8"/>
      <c r="F113" s="8"/>
      <c r="G113" s="10"/>
      <c r="H113" s="25"/>
      <c r="I113" s="2"/>
      <c r="J113" s="2"/>
      <c r="K113" s="26"/>
      <c r="L113" s="23"/>
      <c r="M113" s="10"/>
      <c r="N113" s="5"/>
    </row>
    <row r="114" spans="1:14" ht="15.5" hidden="1" x14ac:dyDescent="0.35">
      <c r="A114" s="39" t="s">
        <v>84</v>
      </c>
      <c r="B114" s="23"/>
      <c r="C114" s="8"/>
      <c r="D114" s="8"/>
      <c r="E114" s="8"/>
      <c r="F114" s="8"/>
      <c r="G114" s="10"/>
      <c r="H114" s="25"/>
      <c r="I114" s="2"/>
      <c r="J114" s="2"/>
      <c r="K114" s="26"/>
      <c r="L114" s="23"/>
      <c r="M114" s="10"/>
      <c r="N114" s="5"/>
    </row>
    <row r="115" spans="1:14" ht="15.5" hidden="1" x14ac:dyDescent="0.35">
      <c r="A115" s="39" t="s">
        <v>86</v>
      </c>
      <c r="B115" s="23"/>
      <c r="C115" s="8"/>
      <c r="D115" s="8"/>
      <c r="E115" s="8"/>
      <c r="F115" s="8"/>
      <c r="G115" s="10"/>
      <c r="H115" s="25"/>
      <c r="I115" s="2"/>
      <c r="J115" s="2"/>
      <c r="K115" s="26"/>
      <c r="L115" s="23"/>
      <c r="M115" s="10"/>
      <c r="N115" s="5"/>
    </row>
    <row r="116" spans="1:14" ht="15.5" hidden="1" x14ac:dyDescent="0.35">
      <c r="A116" s="39" t="s">
        <v>88</v>
      </c>
      <c r="B116" s="23"/>
      <c r="C116" s="8"/>
      <c r="D116" s="8"/>
      <c r="E116" s="8"/>
      <c r="F116" s="8"/>
      <c r="G116" s="10"/>
      <c r="H116" s="25"/>
      <c r="I116" s="2"/>
      <c r="J116" s="2"/>
      <c r="K116" s="26"/>
      <c r="L116" s="23"/>
      <c r="M116" s="10"/>
      <c r="N116" s="5"/>
    </row>
    <row r="117" spans="1:14" ht="15.5" hidden="1" x14ac:dyDescent="0.35">
      <c r="A117" s="39" t="s">
        <v>93</v>
      </c>
      <c r="B117" s="23"/>
      <c r="C117" s="8"/>
      <c r="D117" s="8"/>
      <c r="E117" s="8"/>
      <c r="F117" s="8"/>
      <c r="G117" s="10"/>
      <c r="H117" s="25"/>
      <c r="I117" s="2"/>
      <c r="J117" s="2"/>
      <c r="K117" s="26"/>
      <c r="L117" s="23"/>
      <c r="M117" s="10"/>
      <c r="N117" s="5"/>
    </row>
    <row r="118" spans="1:14" ht="15.5" hidden="1" x14ac:dyDescent="0.35">
      <c r="A118" s="39" t="s">
        <v>94</v>
      </c>
      <c r="B118" s="23"/>
      <c r="C118" s="8"/>
      <c r="D118" s="8"/>
      <c r="E118" s="8"/>
      <c r="F118" s="8"/>
      <c r="G118" s="10"/>
      <c r="H118" s="25"/>
      <c r="I118" s="2"/>
      <c r="J118" s="2"/>
      <c r="K118" s="26"/>
      <c r="L118" s="23"/>
      <c r="M118" s="10"/>
      <c r="N118" s="5"/>
    </row>
    <row r="119" spans="1:14" ht="15.5" hidden="1" x14ac:dyDescent="0.35">
      <c r="A119" s="39" t="s">
        <v>95</v>
      </c>
      <c r="B119" s="23"/>
      <c r="C119" s="8"/>
      <c r="D119" s="8"/>
      <c r="E119" s="8"/>
      <c r="F119" s="8"/>
      <c r="G119" s="10"/>
      <c r="H119" s="25"/>
      <c r="I119" s="2"/>
      <c r="J119" s="2"/>
      <c r="K119" s="26"/>
      <c r="L119" s="23"/>
      <c r="M119" s="10"/>
      <c r="N119" s="5"/>
    </row>
    <row r="120" spans="1:14" ht="15.5" hidden="1" x14ac:dyDescent="0.35">
      <c r="A120" s="39" t="s">
        <v>96</v>
      </c>
      <c r="B120" s="23"/>
      <c r="C120" s="8"/>
      <c r="D120" s="8"/>
      <c r="E120" s="8"/>
      <c r="F120" s="8"/>
      <c r="G120" s="10"/>
      <c r="H120" s="25"/>
      <c r="I120" s="2"/>
      <c r="J120" s="2"/>
      <c r="K120" s="26"/>
      <c r="L120" s="23"/>
      <c r="M120" s="10"/>
      <c r="N120" s="5"/>
    </row>
    <row r="121" spans="1:14" ht="15.5" hidden="1" x14ac:dyDescent="0.35">
      <c r="A121" s="39" t="s">
        <v>97</v>
      </c>
      <c r="B121" s="23"/>
      <c r="C121" s="8"/>
      <c r="D121" s="8"/>
      <c r="E121" s="8"/>
      <c r="F121" s="8"/>
      <c r="G121" s="10"/>
      <c r="H121" s="24"/>
      <c r="I121" s="18"/>
      <c r="J121" s="18"/>
      <c r="K121" s="19"/>
      <c r="L121" s="23"/>
      <c r="M121" s="10"/>
      <c r="N121" s="5"/>
    </row>
    <row r="122" spans="1:14" ht="115.5" customHeight="1" x14ac:dyDescent="0.35">
      <c r="A122" s="23" t="s">
        <v>115</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116</v>
      </c>
      <c r="B124" s="2"/>
      <c r="C124" s="2"/>
      <c r="D124" s="2"/>
      <c r="E124" s="2"/>
      <c r="F124" s="2"/>
      <c r="G124" s="2"/>
      <c r="H124" s="2"/>
      <c r="I124" s="2"/>
      <c r="J124" s="2"/>
      <c r="K124" s="2"/>
      <c r="L124" s="2"/>
      <c r="M124" s="2"/>
      <c r="N124" s="30"/>
    </row>
    <row r="125" spans="1:14" ht="46.5" x14ac:dyDescent="0.35">
      <c r="A125" s="42" t="s">
        <v>117</v>
      </c>
      <c r="B125" s="43" t="s">
        <v>118</v>
      </c>
      <c r="C125" s="8"/>
      <c r="D125" s="8"/>
      <c r="E125" s="8"/>
      <c r="F125" s="8"/>
      <c r="G125" s="10"/>
      <c r="H125" s="43" t="s">
        <v>119</v>
      </c>
      <c r="I125" s="8"/>
      <c r="J125" s="8"/>
      <c r="K125" s="10"/>
      <c r="L125" s="44" t="s">
        <v>120</v>
      </c>
      <c r="M125" s="10"/>
      <c r="N125" s="5"/>
    </row>
    <row r="126" spans="1:14" ht="15.5" x14ac:dyDescent="0.35">
      <c r="A126" s="45" t="s">
        <v>121</v>
      </c>
      <c r="B126" s="46" t="s">
        <v>122</v>
      </c>
      <c r="C126" s="14"/>
      <c r="D126" s="14"/>
      <c r="E126" s="14"/>
      <c r="F126" s="14"/>
      <c r="G126" s="15"/>
      <c r="H126" s="47" t="s">
        <v>123</v>
      </c>
      <c r="I126" s="8"/>
      <c r="J126" s="8"/>
      <c r="K126" s="39" t="s">
        <v>124</v>
      </c>
      <c r="L126" s="48">
        <f>1-SUM(L129:M131)</f>
        <v>0.75</v>
      </c>
      <c r="M126" s="15"/>
      <c r="N126" s="5"/>
    </row>
    <row r="127" spans="1:14" ht="15.5" x14ac:dyDescent="0.35">
      <c r="A127" s="49"/>
      <c r="B127" s="25"/>
      <c r="C127" s="2"/>
      <c r="D127" s="2"/>
      <c r="E127" s="2"/>
      <c r="F127" s="2"/>
      <c r="G127" s="26"/>
      <c r="H127" s="50" t="s">
        <v>125</v>
      </c>
      <c r="I127" s="8"/>
      <c r="J127" s="8"/>
      <c r="K127" s="39" t="s">
        <v>126</v>
      </c>
      <c r="L127" s="25"/>
      <c r="M127" s="26"/>
      <c r="N127" s="5"/>
    </row>
    <row r="128" spans="1:14" ht="15.5" x14ac:dyDescent="0.35">
      <c r="A128" s="35"/>
      <c r="B128" s="24"/>
      <c r="C128" s="18"/>
      <c r="D128" s="18"/>
      <c r="E128" s="18"/>
      <c r="F128" s="18"/>
      <c r="G128" s="19"/>
      <c r="H128" s="50" t="s">
        <v>127</v>
      </c>
      <c r="I128" s="8"/>
      <c r="J128" s="8"/>
      <c r="K128" s="39" t="s">
        <v>128</v>
      </c>
      <c r="L128" s="24"/>
      <c r="M128" s="19"/>
      <c r="N128" s="5"/>
    </row>
    <row r="129" spans="1:14" ht="68.25" hidden="1" customHeight="1" x14ac:dyDescent="0.35">
      <c r="A129" s="42" t="s">
        <v>129</v>
      </c>
      <c r="B129" s="50" t="s">
        <v>130</v>
      </c>
      <c r="C129" s="8"/>
      <c r="D129" s="8"/>
      <c r="E129" s="8"/>
      <c r="F129" s="8"/>
      <c r="G129" s="10"/>
      <c r="H129" s="50" t="s">
        <v>131</v>
      </c>
      <c r="I129" s="8"/>
      <c r="J129" s="8"/>
      <c r="K129" s="10"/>
      <c r="L129" s="51"/>
      <c r="M129" s="10"/>
      <c r="N129" s="5"/>
    </row>
    <row r="130" spans="1:14" ht="46.5" x14ac:dyDescent="0.35">
      <c r="A130" s="42" t="s">
        <v>132</v>
      </c>
      <c r="B130" s="50" t="s">
        <v>133</v>
      </c>
      <c r="C130" s="8"/>
      <c r="D130" s="8"/>
      <c r="E130" s="8"/>
      <c r="F130" s="8"/>
      <c r="G130" s="10"/>
      <c r="H130" s="50" t="s">
        <v>134</v>
      </c>
      <c r="I130" s="8"/>
      <c r="J130" s="8"/>
      <c r="K130" s="10"/>
      <c r="L130" s="51">
        <v>0.25</v>
      </c>
      <c r="M130" s="10"/>
      <c r="N130" s="5"/>
    </row>
    <row r="131" spans="1:14" ht="31" hidden="1" x14ac:dyDescent="0.35">
      <c r="A131" s="42" t="s">
        <v>135</v>
      </c>
      <c r="B131" s="52" t="s">
        <v>136</v>
      </c>
      <c r="C131" s="8"/>
      <c r="D131" s="8"/>
      <c r="E131" s="8"/>
      <c r="F131" s="8"/>
      <c r="G131" s="10"/>
      <c r="H131" s="50" t="s">
        <v>137</v>
      </c>
      <c r="I131" s="8"/>
      <c r="J131" s="8"/>
      <c r="K131" s="10"/>
      <c r="L131" s="51"/>
      <c r="M131" s="10"/>
      <c r="N131" s="5"/>
    </row>
    <row r="132" spans="1:14" ht="15.5" x14ac:dyDescent="0.35">
      <c r="A132" s="43" t="s">
        <v>138</v>
      </c>
      <c r="B132" s="8"/>
      <c r="C132" s="8"/>
      <c r="D132" s="8"/>
      <c r="E132" s="8"/>
      <c r="F132" s="8"/>
      <c r="G132" s="8"/>
      <c r="H132" s="8"/>
      <c r="I132" s="8"/>
      <c r="J132" s="8"/>
      <c r="K132" s="8"/>
      <c r="L132" s="8"/>
      <c r="M132" s="10"/>
      <c r="N132" s="5"/>
    </row>
    <row r="133" spans="1:14" ht="15.5" x14ac:dyDescent="0.35">
      <c r="A133" s="53" t="s">
        <v>139</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4" t="s">
        <v>140</v>
      </c>
      <c r="B135" s="10"/>
      <c r="C135" s="55">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4" t="s">
        <v>141</v>
      </c>
      <c r="B137" s="10"/>
      <c r="C137" s="9" t="str">
        <f>E15</f>
        <v>Dr. Ec. Mădălina-Maria Brezuleanu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6" t="s">
        <v>142</v>
      </c>
      <c r="B139" s="15"/>
      <c r="C139" s="9" t="str">
        <f t="shared" ref="C139:C141" si="0">E17</f>
        <v>Dr. Ec. Mădălina-Maria Brezuleanu</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4" t="s">
        <v>143</v>
      </c>
      <c r="B143" s="10"/>
      <c r="C143" s="57">
        <f>[1]Date!C35</f>
        <v>45915</v>
      </c>
      <c r="D143" s="10"/>
      <c r="E143" s="54" t="s">
        <v>144</v>
      </c>
      <c r="F143" s="8"/>
      <c r="G143" s="10"/>
      <c r="H143" s="58" t="str">
        <f>[1]Date!C37</f>
        <v>Conf.dr.ing. Mihai POSTOLACHE</v>
      </c>
      <c r="I143" s="8"/>
      <c r="J143" s="8"/>
      <c r="K143" s="8"/>
      <c r="L143" s="8"/>
      <c r="M143" s="10"/>
      <c r="N143" s="5"/>
    </row>
    <row r="144" spans="1:14" ht="21.75" customHeight="1" x14ac:dyDescent="0.35">
      <c r="A144" s="59"/>
      <c r="B144" s="59"/>
      <c r="C144" s="60"/>
      <c r="D144" s="60"/>
      <c r="E144" s="59"/>
      <c r="F144" s="59"/>
      <c r="G144" s="59"/>
      <c r="H144" s="60"/>
      <c r="I144" s="60"/>
      <c r="J144" s="60"/>
      <c r="K144" s="60"/>
      <c r="L144" s="60"/>
      <c r="M144" s="60"/>
      <c r="N144" s="5"/>
    </row>
    <row r="145" spans="1:14" ht="28.5" customHeight="1" x14ac:dyDescent="0.35">
      <c r="A145" s="54" t="s">
        <v>145</v>
      </c>
      <c r="B145" s="10"/>
      <c r="C145" s="57">
        <f>[1]Date!C36</f>
        <v>45918</v>
      </c>
      <c r="D145" s="10"/>
      <c r="E145" s="54" t="s">
        <v>146</v>
      </c>
      <c r="F145" s="8"/>
      <c r="G145" s="10"/>
      <c r="H145" s="58"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2026-03-01T09:14:57Z</dcterms:created>
  <dcterms:modified xsi:type="dcterms:W3CDTF">2026-03-01T09:15:01Z</dcterms:modified>
</cp:coreProperties>
</file>