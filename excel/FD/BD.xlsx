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3F5BC32B-568D-48D1-BBFF-5CABA9195D9B}" xr6:coauthVersionLast="47" xr6:coauthVersionMax="47" xr10:uidLastSave="{00000000-0000-0000-0000-000000000000}"/>
  <bookViews>
    <workbookView xWindow="-110" yWindow="-110" windowWidth="25820" windowHeight="15500" xr2:uid="{9DD00B07-D290-4F4E-B877-88B1491619B5}"/>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C34" i="1" a="1"/>
  <c r="C34" i="1" s="1"/>
  <c r="M33" i="1" s="1"/>
  <c r="E13" i="1" l="1" a="1"/>
  <c r="E13" i="1" s="1"/>
  <c r="G26" i="1" a="1"/>
  <c r="G26" i="1" s="1"/>
  <c r="G27" i="1" s="1"/>
  <c r="E14" i="1" a="1"/>
  <c r="E14" i="1" s="1"/>
  <c r="I26" i="1" a="1"/>
  <c r="I26" i="1" s="1"/>
  <c r="I27" i="1" s="1"/>
  <c r="M14" i="1" a="1"/>
  <c r="M14" i="1" s="1"/>
  <c r="K26" i="1" a="1"/>
  <c r="K26" i="1" s="1"/>
  <c r="K27"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776F4458-E541-4B7B-AD36-1E274D40F4A6}">
      <text>
        <r>
          <rPr>
            <sz val="10"/>
            <color rgb="FF000000"/>
            <rFont val="Aptos Narrow"/>
            <scheme val="minor"/>
          </rPr>
          <t>Pondere din nota de la E / V</t>
        </r>
      </text>
    </comment>
  </commentList>
</comments>
</file>

<file path=xl/sharedStrings.xml><?xml version="1.0" encoding="utf-8"?>
<sst xmlns="http://schemas.openxmlformats.org/spreadsheetml/2006/main" count="230" uniqueCount="152">
  <si>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</si>
  <si>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</si>
  <si>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</si>
  <si>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</si>
  <si>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</si>
  <si>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</si>
  <si>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</si>
  <si>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</si>
  <si>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</si>
  <si>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</si>
  <si>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</si>
  <si>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</si>
  <si>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</si>
  <si>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Baze de date</t>
  </si>
  <si>
    <t>(în limba engleză, conform Suplimentului la diplomă)</t>
  </si>
  <si>
    <t>2.1.2. Codul disciplinei</t>
  </si>
  <si>
    <t xml:space="preserve">2.1.3. Categoria formativă </t>
  </si>
  <si>
    <t>2.2 Titularul / titularii activităţilor de curs</t>
  </si>
  <si>
    <t>Ș. l. dr. ing Florin-Cătălin Brăescu</t>
  </si>
  <si>
    <t>2.3 Titularul / titularii activităţilor de aplicaţii (S, L, P, Pr)</t>
  </si>
  <si>
    <t>Drd. asist. ing. Rareș Crăciun</t>
  </si>
  <si>
    <t>Ing. Radu Cosmin Hobincă</t>
  </si>
  <si>
    <t>Ing. Ana Maria Prisăcariu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</si>
  <si>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</si>
  <si>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</si>
  <si>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</si>
  <si>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</si>
  <si>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</si>
  <si>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</si>
  <si>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</si>
  <si>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</si>
  <si>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</si>
  <si>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</si>
  <si>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</si>
  <si>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</si>
  <si>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</si>
  <si>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</si>
  <si>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</si>
  <si>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</si>
  <si>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</si>
  <si>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</si>
  <si>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</si>
  <si>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</si>
  <si>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</si>
  <si>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</si>
  <si>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</si>
  <si>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</si>
  <si>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</si>
  <si>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</si>
  <si>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</si>
  <si>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</si>
  <si>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</si>
  <si>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</si>
  <si>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</si>
  <si>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PC I, SDA</t>
  </si>
  <si>
    <t>5. Condiţii</t>
  </si>
  <si>
    <t>5.1 de desfăşurare a cursului</t>
  </si>
  <si>
    <t>Tabla, videoproiector, calculator cu acces la Internet</t>
  </si>
  <si>
    <t>5.2 de desfăşurare a seminarului / laboratorului / proiectului</t>
  </si>
  <si>
    <t>Rețea de calculatoare cu acces la Internet și platforma de e-learning (Moodle) 
Tablă, videoproiector, aplicații pentru lucrul cu diferite sisteme de gestiune a bazelor de date
Cont academic activ</t>
  </si>
  <si>
    <t>6. Obiectivul general al disciplinei</t>
  </si>
  <si>
    <t>Introducerea cunoştinţelor generale referitoare la sistemele de gestiune a bazelor de date. Studierea caracteristicilor şi tehnicilor de utilizare, programare și proiectare a bazelor de date relaționale și non-relaționale</t>
  </si>
  <si>
    <t>7. Rezultatele învățării</t>
  </si>
  <si>
    <t>Cunoștințe</t>
  </si>
  <si>
    <t>Studentul / Absolventul:</t>
  </si>
  <si>
    <t>- Studentul explică structura modelului relațional și tipurile de constrângeri de integritate
- Studentul descrie cum se pot exprima interogări prin intermediul algebrei relaționale sau al calcului relațional
- Studentul ilustrează cum se poate lucra cu instrucțiunile din limbajul de definire a datelor din SQL
- Studentul ilustrează cum se poate lucra cu instrucțiunile din limbajul de manipulare a datelor din SQL
- Studentul explică tipurile de blocuri ce pot fi folosite într-o schemă de tip ER
- Studentul selecteză strategiile potrivite pentru a obține schema de tip ER pentru un exemplu dat
- Studentul explică modul în care poate fi obținută schema logică a unei baze de date pornind de la o schemă conceptuală
- Studentul selecteză funcțiile MongoDG și operatorii potriviți pentru a realiza interogări
- Studentul descrie modul în care se implementează un flux de agregare în MongoDB</t>
  </si>
  <si>
    <t>Aptitudini</t>
  </si>
  <si>
    <t>- Studentul testează și experimentează comenzi SQL ce țin de limbajul de definire a datelor din SQL
- Studentul testează și experimentează comenzi SQL ce țin de limbajul de manipulare a datelor din SQL
- Studentul utilizează aplicațiile WAMP, MongoDB Compass și DataGrip pentru a se familiariza cu modul de lucru cu sisteme de gestiune a bazelor de date relaționale și non-relaționale
- Studentul testează și adaptează secvențele de cod exemplu în MongoDB
- Studentul examinează modul de lucru cu fluxuri de agregare în MongoDB
- Studentul combină operatorii MongoDB în interogări și fluxuri de agregare complexe</t>
  </si>
  <si>
    <t>Responsabilitate și autonomie</t>
  </si>
  <si>
    <t xml:space="preserve">- Studentul demonstrează spirit de inițiativă în identificarea și integrarea celor mai recente tehnologii și metodologii în domeniul bazelor de date, actualizând continuu cunoștințele profesionale, economice și culturale relevante.
- Studentul adoptă o conduită responsabilă și etică în programarea și utilizarea bazelor de date, respectând legislația și normele profesionale pentru a menține integritatea și reputația domeniului.
</t>
  </si>
  <si>
    <t xml:space="preserve">8. Metode de predare </t>
  </si>
  <si>
    <t>Prezentarea cunoştinţelor aferente cursului – slide-uri prezentate cu videoproiectorul, discuții cu studenții
Folosirea unor tehnici de predare interactivă; ilustrarea conceptelor pe numeroase probleme/ exerciții/ aplicații
Realizarea de conexiuni cu cunoştinţele însuşite la alte discipline înrudite de la ciclul de licenţă</t>
  </si>
  <si>
    <t>9. Conţinuturi</t>
  </si>
  <si>
    <t>9.1. Curs</t>
  </si>
  <si>
    <t>Metode de predare</t>
  </si>
  <si>
    <t>Timp alocat</t>
  </si>
  <si>
    <t>1</t>
  </si>
  <si>
    <t>Introducere în baze de date (obiectivul general al disciplinei, conținutului disciplinei, rezultatele învățării, legături cu alte discipline, modul de evaluare, scurtă prezentare a tipurilor de SGBD prezentate pe parcursul disciplinei, noțiuni de bază privind bazele de date)</t>
  </si>
  <si>
    <t>Cursul se desfășoară integral față-în-față. 
a. Prezentarea cunoştinţelor aferente cursului – slide-uri prezentate cu videoproiectorul, discuții cu studenții
b. Realizarea de conexiuni cu cunoştinţele însuşite la alte discipline înrudite de la ciclul de licenţă şi verificarea modului în care noile elemente introduse au fost receptate.</t>
  </si>
  <si>
    <t>2 ore</t>
  </si>
  <si>
    <t>2</t>
  </si>
  <si>
    <t>Modelul relațional (structura modelului relațional, constrângeri de integritate)</t>
  </si>
  <si>
    <t>3</t>
  </si>
  <si>
    <t>Algebra relațională (reuniune, intersecție, diferență, redenumire, selecție, proiecție, joncțiune)</t>
  </si>
  <si>
    <t>4</t>
  </si>
  <si>
    <t>Calculul relațional (calculul relațional pe domenii, calculul relațional pe tupluri)</t>
  </si>
  <si>
    <t>5</t>
  </si>
  <si>
    <t>Definirea datelor în SQL (domenii elementare, definirea schemei bazei de date, definirea tabelelor, domenii utilizator, valori implicite de domeniu, constrângeri intra-relaționale, constrângeri inter-relaționale, actualizarea schemei unei relații)</t>
  </si>
  <si>
    <t>6</t>
  </si>
  <si>
    <t>Interogări în SQL (Interogări simple, interogări agregate, clauza GROUP BY, interogări imbricate)</t>
  </si>
  <si>
    <t>7</t>
  </si>
  <si>
    <t>Modificarea datelor în SQL, alte definiții de date în SQL și controlul accesului la baza de date</t>
  </si>
  <si>
    <t>8</t>
  </si>
  <si>
    <t>Tehnici de proiectare și modele (procesul de proiectare a bazei de date, modelul Entitate-Relație, documentația pentru schemele ER)</t>
  </si>
  <si>
    <t>9</t>
  </si>
  <si>
    <t>Proiectarea conceptuală (extragerea și analiza cerințelor, strategii de proiectare, calitatea unei scheme conceptuale, metode de abordare a proiectării conceptuale, exemplu de proiectare conceptuală)</t>
  </si>
  <si>
    <t>10</t>
  </si>
  <si>
    <t>Proiectarea logică (analiza performanțelor schemei ER, restructurarea schemei ER, translarea în modelul relațional)</t>
  </si>
  <si>
    <t>11</t>
  </si>
  <si>
    <t>MongoDB - prezentare MongoDB și operații CRUD (crearea unei conexiuni locale în MongoDB Compass, realizarea unei conexiuni către MongoDB în DataGrip, operarea cu funcțiile MongoDB asociate operațiilor CRUD)</t>
  </si>
  <si>
    <t>12</t>
  </si>
  <si>
    <t>MongoDB - operatori interogare (operatori de comparație, operatori logici, operatori de actualizare a câmpurilor, operatori de actualizare a vectorilor)</t>
  </si>
  <si>
    <t>13</t>
  </si>
  <si>
    <t>MongoDB - operatori agregare</t>
  </si>
  <si>
    <t>14</t>
  </si>
  <si>
    <t>MongoDB - exemple de fluxuri de lucru și utilizarea MongoDB într-o aplicație web</t>
  </si>
  <si>
    <t xml:space="preserve">Bibliografie curs:
1. P. Atzeni, S. Ceri, S. Paraboschi, R. Torlone (2000), Database Systems - concepts, languages &amp; architectures, Ed. McGraw – Hill
2. H. Garcia-Molina, J.D. Ullman, J. Widom (2002), Database Systems - the complete book, Ed. Prentice Hall
3. F.C. Braescu, Note de curs Baze de date, platforma Moodle
4. S. Bradshaw, E. Brazil, K. Chodorow (2020), MongoDB: The Definitive Guide - Powerful and Scalable Data Storage, Ed. O'Reilly
5. S. Smirnova, A. Tezuysal (2022), MySQL Cookbook Solutions for Database Developers and Administrators, 4th Edition, Ed. O'Reilly
</t>
  </si>
  <si>
    <t>9.2a Seminar</t>
  </si>
  <si>
    <t>Metode de lucru</t>
  </si>
  <si>
    <t>9.2b Laborator</t>
  </si>
  <si>
    <t>Realizarea interogărilor în SQL (elemente de securitate și sănătate în muncă, prezentare aplicații WAMP și DataGrip, interogări SELECT simple, lucrul cu expresii matematice)</t>
  </si>
  <si>
    <t>Laboratorul se desfășoară integral față-în-față. 
a. Prezentarea cunoştinţelor aferente lucrărilor de laborator - materiale în format PDF
b. Demonstraţii practice, experimente
c. Discuţii asupra materialelor puse la dispoziţie pentru fiecare lucrare de laborator şi indicaţii de realizare a lucrărilor.
d. Lucru individual și pe echipe la rezolvarea sarcinilor din referatele de laborator.</t>
  </si>
  <si>
    <t>Restricționarea și sortarea rezultatelor (clauzele WHERE și ORDER BY, operatori de comparație, operatorii BETWEEN, IN și LIKE, operatori logici)</t>
  </si>
  <si>
    <t>Crearea și ștergerea unui tabel (tipuri de date, instrucțiuni de tip CREATE, INSERT, DELETE, TRUNCATE și DROP)</t>
  </si>
  <si>
    <t>Selectarea datelor din tabele multiple (echi-joncțiuni, non-echi-joncțiuni, joncțiuni externe, joncțiuni ale unui tabel cu el însuși)</t>
  </si>
  <si>
    <t>Subinterogări (subinterogări "single-row", subinterogări "multiple-row", "multiple-column", utilizarea subinterogărilor în FROM, INSERT și CREATE)</t>
  </si>
  <si>
    <t>Gruparea rezultatelor unei interogări (funcții grup, clauzele GROUP BY și HAVING)</t>
  </si>
  <si>
    <t>Modificarea conținutului și structurii unui tabel (instrucțiunile UPDATE, ALTER TABLE, RENAME TABLE și TRUNCATE)</t>
  </si>
  <si>
    <t>Constrângeri de integritate în SQL (tipuri de constrângeri de integritate în SQL, definirea constrîngerilor, operații asupra constrângerilor)</t>
  </si>
  <si>
    <t>Indexuri și vederi în bazele de date (crearea, ștergerea și verificarea indexurilor, crearea și utilizarea vederilor)</t>
  </si>
  <si>
    <t>Test laborator și Tranzacții</t>
  </si>
  <si>
    <t>MongoDB - operații CRUD (crearea unei conexiuni locale în MongoDB Compass, realizarea unei conexiuni către MongoDB în DataGrip, operarea cu funcțiile MongoDB asociate operațiilor CRUD)</t>
  </si>
  <si>
    <t>Recuperări</t>
  </si>
  <si>
    <t>9.2c Proiect</t>
  </si>
  <si>
    <t xml:space="preserve">Bibliografie aplicaţii (seminar / laborator / proiect):
1. F.C. Braescu, R. Crăciun, R. Hobincă, Lucrări de laborator Baze de date, platforma Moodle
2. S. Bradshaw, E. Brazil, K. Chodorow (2020), MongoDB: The Definitive Guide - Powerful and Scalable Data Storage, Ed. O'Reilly
3. S. Smirnova, A. Tezuysal (2022), MySQL Cookbook Solutions for Database Developers and Administrators, 4th Edition, Ed. O'Reilly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</si>
  <si>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</si>
  <si>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</si>
  <si>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</si>
  <si>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</si>
  <si>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</si>
  <si>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</si>
  <si>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</si>
  <si>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test de evaluare sumativ (verificare finală).</t>
  </si>
  <si>
    <t>100%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</si>
  <si>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</si>
  <si>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</si>
  <si>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</si>
  <si>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</si>
  <si>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</si>
  <si>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lucrărilor de laborator (toate lucrările de laborator trebuie efectuate, admiţându-se recuperarea unei singure lucrări de laborator restantă) - 40%;
 - 1 test de evaluare la laborator (săptămâna 9-10) - 60%.</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</si>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</sst>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3">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wrapText="1"/>
    </xf>
    <xf numFmtId="0" fontId="2" fillId="3" borderId="1" xfId="0" applyFont="1" applyFill="1" applyBorder="1" applyAlignment="1">
      <alignment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horizontal="center"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102E5-1C8A-4398-824D-C6F45E15A4B4}">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Database Systems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AIA208</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t="s">
        <v>22</v>
      </c>
      <c r="F19" s="8"/>
      <c r="G19" s="8"/>
      <c r="H19" s="8"/>
      <c r="I19" s="8"/>
      <c r="J19" s="8"/>
      <c r="K19" s="8"/>
      <c r="L19" s="8"/>
      <c r="M19" s="10"/>
      <c r="N19" s="5"/>
    </row>
    <row r="20" spans="1:14" ht="15.5"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23</v>
      </c>
      <c r="B23" s="10"/>
      <c r="C23" s="27">
        <f>[1]Date!B4</f>
        <v>2</v>
      </c>
      <c r="D23" s="28" t="s">
        <v>24</v>
      </c>
      <c r="E23" s="27">
        <f t="array" aca="1" ref="E23" ca="1">INDEX([1]Date!A8:A21, MATCH(E12,[1]Date!C8:C21,0),0)</f>
        <v>2</v>
      </c>
      <c r="F23" s="29" t="s">
        <v>25</v>
      </c>
      <c r="G23" s="8"/>
      <c r="H23" s="10"/>
      <c r="I23" s="22" t="str">
        <f t="array" aca="1" ref="I23" ca="1">INDEX([1]Date!M8:M21, MATCH(E12,[1]Date!C8:C21,0),0)</f>
        <v>C</v>
      </c>
      <c r="J23" s="29" t="s">
        <v>26</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27</v>
      </c>
      <c r="B25" s="2"/>
      <c r="C25" s="2"/>
      <c r="D25" s="2"/>
      <c r="E25" s="2"/>
      <c r="F25" s="2"/>
      <c r="G25" s="2"/>
      <c r="H25" s="2"/>
      <c r="I25" s="2"/>
      <c r="J25" s="2"/>
      <c r="K25" s="2"/>
      <c r="L25" s="2"/>
      <c r="M25" s="2"/>
      <c r="N25" s="30"/>
    </row>
    <row r="26" spans="1:14" ht="31" x14ac:dyDescent="0.35">
      <c r="A26" s="7" t="s">
        <v>28</v>
      </c>
      <c r="B26" s="10"/>
      <c r="C26" s="31">
        <f ca="1">SUM(E26+G26+I26+K26)</f>
        <v>4</v>
      </c>
      <c r="D26" s="28" t="s">
        <v>29</v>
      </c>
      <c r="E26" s="27">
        <f t="array" aca="1" ref="E26" ca="1">INDEX([1]Date!H8:H21, MATCH(E12,[1]Date!C8:C21,0),0)</f>
        <v>2</v>
      </c>
      <c r="F26" s="28" t="s">
        <v>30</v>
      </c>
      <c r="G26" s="27">
        <f t="array" aca="1" ref="G26" ca="1">INDEX([1]Date!I8:I21, MATCH(E12,[1]Date!C8:C21,0),0)</f>
        <v>0</v>
      </c>
      <c r="H26" s="28" t="s">
        <v>31</v>
      </c>
      <c r="I26" s="31">
        <f t="array" aca="1" ref="I26" ca="1">INDEX([1]Date!J8:J21, MATCH(E12,[1]Date!C8:C21,0),0)</f>
        <v>2</v>
      </c>
      <c r="J26" s="28" t="s">
        <v>32</v>
      </c>
      <c r="K26" s="27">
        <f t="array" aca="1" ref="K26" ca="1">INDEX([1]Date!K8:K21, MATCH(E12,[1]Date!C8:C21,0),0)</f>
        <v>0</v>
      </c>
      <c r="L26" s="7" t="s">
        <v>33</v>
      </c>
      <c r="M26" s="10"/>
      <c r="N26" s="30"/>
    </row>
    <row r="27" spans="1:14" ht="31" x14ac:dyDescent="0.35">
      <c r="A27" s="7" t="s">
        <v>34</v>
      </c>
      <c r="B27" s="10"/>
      <c r="C27" s="27">
        <f ca="1">C26*14</f>
        <v>56</v>
      </c>
      <c r="D27" s="28" t="s">
        <v>35</v>
      </c>
      <c r="E27" s="27">
        <f ca="1">E26*14</f>
        <v>28</v>
      </c>
      <c r="F27" s="28" t="s">
        <v>36</v>
      </c>
      <c r="G27" s="27">
        <f ca="1">G26*14</f>
        <v>0</v>
      </c>
      <c r="H27" s="28" t="s">
        <v>37</v>
      </c>
      <c r="I27" s="27">
        <f ca="1">I26*14</f>
        <v>28</v>
      </c>
      <c r="J27" s="28" t="s">
        <v>38</v>
      </c>
      <c r="K27" s="27">
        <f ca="1">K26*14</f>
        <v>0</v>
      </c>
      <c r="L27" s="28" t="s">
        <v>39</v>
      </c>
      <c r="M27" s="27">
        <v>0</v>
      </c>
      <c r="N27" s="5"/>
    </row>
    <row r="28" spans="1:14" ht="15.5" x14ac:dyDescent="0.35">
      <c r="A28" s="7" t="s">
        <v>40</v>
      </c>
      <c r="B28" s="8"/>
      <c r="C28" s="8"/>
      <c r="D28" s="8"/>
      <c r="E28" s="8"/>
      <c r="F28" s="8"/>
      <c r="G28" s="8"/>
      <c r="H28" s="8"/>
      <c r="I28" s="8"/>
      <c r="J28" s="8"/>
      <c r="K28" s="8"/>
      <c r="L28" s="10"/>
      <c r="M28" s="27" t="s">
        <v>41</v>
      </c>
      <c r="N28" s="5"/>
    </row>
    <row r="29" spans="1:14" ht="15.5" x14ac:dyDescent="0.35">
      <c r="A29" s="7" t="s">
        <v>42</v>
      </c>
      <c r="B29" s="8"/>
      <c r="C29" s="8"/>
      <c r="D29" s="8"/>
      <c r="E29" s="8"/>
      <c r="F29" s="8"/>
      <c r="G29" s="8"/>
      <c r="H29" s="8"/>
      <c r="I29" s="8"/>
      <c r="J29" s="8"/>
      <c r="K29" s="8"/>
      <c r="L29" s="10"/>
      <c r="M29" s="32">
        <v>25</v>
      </c>
      <c r="N29" s="5"/>
    </row>
    <row r="30" spans="1:14" ht="15.5" x14ac:dyDescent="0.35">
      <c r="A30" s="7" t="s">
        <v>43</v>
      </c>
      <c r="B30" s="8"/>
      <c r="C30" s="8"/>
      <c r="D30" s="8"/>
      <c r="E30" s="8"/>
      <c r="F30" s="8"/>
      <c r="G30" s="8"/>
      <c r="H30" s="8"/>
      <c r="I30" s="8"/>
      <c r="J30" s="8"/>
      <c r="K30" s="8"/>
      <c r="L30" s="10"/>
      <c r="M30" s="32">
        <v>5</v>
      </c>
      <c r="N30" s="5"/>
    </row>
    <row r="31" spans="1:14" ht="15.5" x14ac:dyDescent="0.35">
      <c r="A31" s="7" t="s">
        <v>44</v>
      </c>
      <c r="B31" s="8"/>
      <c r="C31" s="8"/>
      <c r="D31" s="8"/>
      <c r="E31" s="8"/>
      <c r="F31" s="8"/>
      <c r="G31" s="8"/>
      <c r="H31" s="8"/>
      <c r="I31" s="8"/>
      <c r="J31" s="8"/>
      <c r="K31" s="8"/>
      <c r="L31" s="10"/>
      <c r="M31" s="32">
        <v>14</v>
      </c>
      <c r="N31" s="5"/>
    </row>
    <row r="32" spans="1:14" ht="15.5" x14ac:dyDescent="0.35">
      <c r="A32" s="7" t="s">
        <v>45</v>
      </c>
      <c r="B32" s="8"/>
      <c r="C32" s="8"/>
      <c r="D32" s="8"/>
      <c r="E32" s="8"/>
      <c r="F32" s="8"/>
      <c r="G32" s="8"/>
      <c r="H32" s="8"/>
      <c r="I32" s="8"/>
      <c r="J32" s="8"/>
      <c r="K32" s="8"/>
      <c r="L32" s="10"/>
      <c r="M32" s="27">
        <f t="array" aca="1" ref="M32" ca="1">IF(INDEX([1]Date!M8:M21, MATCH(E12,[1]Date!C8:C21,0),0)="E",3,0)</f>
        <v>0</v>
      </c>
      <c r="N32" s="5"/>
    </row>
    <row r="33" spans="1:14" ht="15.5" x14ac:dyDescent="0.35">
      <c r="A33" s="7" t="s">
        <v>46</v>
      </c>
      <c r="B33" s="8"/>
      <c r="C33" s="8"/>
      <c r="D33" s="8"/>
      <c r="E33" s="8"/>
      <c r="F33" s="8"/>
      <c r="G33" s="8"/>
      <c r="H33" s="8"/>
      <c r="I33" s="8"/>
      <c r="J33" s="8"/>
      <c r="K33" s="8"/>
      <c r="L33" s="10"/>
      <c r="M33" s="27">
        <f ca="1">C34-SUM(M29:M31)</f>
        <v>0</v>
      </c>
      <c r="N33" s="5"/>
    </row>
    <row r="34" spans="1:14" ht="15.5" x14ac:dyDescent="0.35">
      <c r="A34" s="7" t="s">
        <v>47</v>
      </c>
      <c r="B34" s="10"/>
      <c r="C34" s="27">
        <f t="array" aca="1" ref="C34" ca="1">INDEX([1]Date!L8:L21, MATCH(E12,[1]Date!C8:C21,0),0)</f>
        <v>44</v>
      </c>
      <c r="D34" s="5"/>
      <c r="E34" s="5"/>
      <c r="F34" s="5"/>
      <c r="G34" s="5"/>
      <c r="H34" s="5"/>
      <c r="I34" s="5"/>
      <c r="J34" s="5"/>
      <c r="K34" s="5"/>
      <c r="L34" s="5"/>
      <c r="M34" s="5"/>
      <c r="N34" s="5"/>
    </row>
    <row r="35" spans="1:14" ht="15.5" x14ac:dyDescent="0.35">
      <c r="A35" s="7" t="s">
        <v>48</v>
      </c>
      <c r="B35" s="10"/>
      <c r="C35" s="27">
        <f ca="1">C27+M32+C34</f>
        <v>100</v>
      </c>
      <c r="D35" s="5"/>
      <c r="E35" s="5"/>
      <c r="F35" s="5"/>
      <c r="G35" s="5"/>
      <c r="H35" s="5"/>
      <c r="I35" s="5"/>
      <c r="J35" s="5"/>
      <c r="K35" s="5"/>
      <c r="L35" s="5"/>
      <c r="M35" s="5"/>
      <c r="N35" s="5"/>
    </row>
    <row r="36" spans="1:14" ht="15.5" x14ac:dyDescent="0.35">
      <c r="A36" s="7" t="s">
        <v>49</v>
      </c>
      <c r="B36" s="10"/>
      <c r="C36" s="27">
        <f t="array" aca="1" ref="C36" ca="1">INDEX([1]Date!N8:N21, MATCH(E12,[1]Date!C8:C21,0),0)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50</v>
      </c>
      <c r="B38" s="2"/>
      <c r="C38" s="2"/>
      <c r="D38" s="2"/>
      <c r="E38" s="2"/>
      <c r="F38" s="2"/>
      <c r="G38" s="2"/>
      <c r="H38" s="2"/>
      <c r="I38" s="2"/>
      <c r="J38" s="2"/>
      <c r="K38" s="2"/>
      <c r="L38" s="2"/>
      <c r="M38" s="2"/>
      <c r="N38" s="30"/>
    </row>
    <row r="39" spans="1:14" ht="15.5" x14ac:dyDescent="0.35">
      <c r="A39" s="7" t="s">
        <v>51</v>
      </c>
      <c r="B39" s="10"/>
      <c r="C39" s="9" t="s">
        <v>52</v>
      </c>
      <c r="D39" s="8"/>
      <c r="E39" s="8"/>
      <c r="F39" s="8"/>
      <c r="G39" s="8"/>
      <c r="H39" s="8"/>
      <c r="I39" s="8"/>
      <c r="J39" s="8"/>
      <c r="K39" s="8"/>
      <c r="L39" s="8"/>
      <c r="M39" s="10"/>
      <c r="N39" s="30"/>
    </row>
    <row r="40" spans="1:14" ht="15.5" x14ac:dyDescent="0.35">
      <c r="A40" s="7" t="s">
        <v>53</v>
      </c>
      <c r="B40" s="10"/>
      <c r="C40" s="23" t="s">
        <v>54</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55</v>
      </c>
      <c r="B42" s="2"/>
      <c r="C42" s="2"/>
      <c r="D42" s="2"/>
      <c r="E42" s="2"/>
      <c r="F42" s="2"/>
      <c r="G42" s="2"/>
      <c r="H42" s="2"/>
      <c r="I42" s="2"/>
      <c r="J42" s="2"/>
      <c r="K42" s="2"/>
      <c r="L42" s="2"/>
      <c r="M42" s="2"/>
      <c r="N42" s="30"/>
    </row>
    <row r="43" spans="1:14" ht="15.5" x14ac:dyDescent="0.35">
      <c r="A43" s="7" t="s">
        <v>56</v>
      </c>
      <c r="B43" s="10"/>
      <c r="C43" s="23" t="s">
        <v>57</v>
      </c>
      <c r="D43" s="8"/>
      <c r="E43" s="8"/>
      <c r="F43" s="8"/>
      <c r="G43" s="8"/>
      <c r="H43" s="8"/>
      <c r="I43" s="8"/>
      <c r="J43" s="8"/>
      <c r="K43" s="8"/>
      <c r="L43" s="8"/>
      <c r="M43" s="10"/>
      <c r="N43" s="30"/>
    </row>
    <row r="44" spans="1:14" ht="15.5" x14ac:dyDescent="0.35">
      <c r="A44" s="7" t="s">
        <v>58</v>
      </c>
      <c r="B44" s="10"/>
      <c r="C44" s="23" t="s">
        <v>59</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60</v>
      </c>
      <c r="B46" s="2"/>
      <c r="C46" s="2"/>
      <c r="D46" s="2"/>
      <c r="E46" s="2"/>
      <c r="F46" s="2"/>
      <c r="G46" s="2"/>
      <c r="H46" s="2"/>
      <c r="I46" s="2"/>
      <c r="J46" s="2"/>
      <c r="K46" s="2"/>
      <c r="L46" s="2"/>
      <c r="M46" s="2"/>
      <c r="N46" s="30"/>
    </row>
    <row r="47" spans="1:14" ht="62.25" customHeight="1" x14ac:dyDescent="0.35">
      <c r="A47" s="23" t="s">
        <v>61</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62</v>
      </c>
      <c r="B49" s="2"/>
      <c r="C49" s="2"/>
      <c r="D49" s="2"/>
      <c r="E49" s="2"/>
      <c r="F49" s="2"/>
      <c r="G49" s="2"/>
      <c r="H49" s="2"/>
      <c r="I49" s="2"/>
      <c r="J49" s="2"/>
      <c r="K49" s="2"/>
      <c r="L49" s="2"/>
      <c r="M49" s="2"/>
      <c r="N49" s="30"/>
    </row>
    <row r="50" spans="1:14" ht="15.5" x14ac:dyDescent="0.35">
      <c r="A50" s="33" t="s">
        <v>63</v>
      </c>
      <c r="B50" s="34" t="s">
        <v>64</v>
      </c>
      <c r="C50" s="8"/>
      <c r="D50" s="8"/>
      <c r="E50" s="8"/>
      <c r="F50" s="8"/>
      <c r="G50" s="8"/>
      <c r="H50" s="8"/>
      <c r="I50" s="8"/>
      <c r="J50" s="8"/>
      <c r="K50" s="8"/>
      <c r="L50" s="8"/>
      <c r="M50" s="10"/>
      <c r="N50" s="5"/>
    </row>
    <row r="51" spans="1:14" ht="15.5" x14ac:dyDescent="0.35">
      <c r="A51" s="35"/>
      <c r="B51" s="36" t="s">
        <v>65</v>
      </c>
      <c r="C51" s="8"/>
      <c r="D51" s="8"/>
      <c r="E51" s="8"/>
      <c r="F51" s="8"/>
      <c r="G51" s="8"/>
      <c r="H51" s="8"/>
      <c r="I51" s="8"/>
      <c r="J51" s="8"/>
      <c r="K51" s="8"/>
      <c r="L51" s="8"/>
      <c r="M51" s="10"/>
      <c r="N51" s="5"/>
    </row>
    <row r="52" spans="1:14" ht="15.5" x14ac:dyDescent="0.35">
      <c r="A52" s="33" t="s">
        <v>66</v>
      </c>
      <c r="B52" s="34" t="s">
        <v>64</v>
      </c>
      <c r="C52" s="8"/>
      <c r="D52" s="8"/>
      <c r="E52" s="8"/>
      <c r="F52" s="8"/>
      <c r="G52" s="8"/>
      <c r="H52" s="8"/>
      <c r="I52" s="8"/>
      <c r="J52" s="8"/>
      <c r="K52" s="8"/>
      <c r="L52" s="8"/>
      <c r="M52" s="10"/>
      <c r="N52" s="5"/>
    </row>
    <row r="53" spans="1:14" ht="15.5" x14ac:dyDescent="0.35">
      <c r="A53" s="35"/>
      <c r="B53" s="36" t="s">
        <v>67</v>
      </c>
      <c r="C53" s="8"/>
      <c r="D53" s="8"/>
      <c r="E53" s="8"/>
      <c r="F53" s="8"/>
      <c r="G53" s="8"/>
      <c r="H53" s="8"/>
      <c r="I53" s="8"/>
      <c r="J53" s="8"/>
      <c r="K53" s="8"/>
      <c r="L53" s="8"/>
      <c r="M53" s="10"/>
      <c r="N53" s="5"/>
    </row>
    <row r="54" spans="1:14" ht="18" customHeight="1" x14ac:dyDescent="0.35">
      <c r="A54" s="33" t="s">
        <v>68</v>
      </c>
      <c r="B54" s="34" t="s">
        <v>64</v>
      </c>
      <c r="C54" s="8"/>
      <c r="D54" s="8"/>
      <c r="E54" s="8"/>
      <c r="F54" s="8"/>
      <c r="G54" s="8"/>
      <c r="H54" s="8"/>
      <c r="I54" s="8"/>
      <c r="J54" s="8"/>
      <c r="K54" s="8"/>
      <c r="L54" s="8"/>
      <c r="M54" s="10"/>
      <c r="N54" s="5"/>
    </row>
    <row r="55" spans="1:14" ht="104.25" customHeight="1" x14ac:dyDescent="0.35">
      <c r="A55" s="35"/>
      <c r="B55" s="37" t="s">
        <v>69</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70</v>
      </c>
      <c r="B57" s="2"/>
      <c r="C57" s="2"/>
      <c r="D57" s="2"/>
      <c r="E57" s="2"/>
      <c r="F57" s="2"/>
      <c r="G57" s="2"/>
      <c r="H57" s="2"/>
      <c r="I57" s="2"/>
      <c r="J57" s="2"/>
      <c r="K57" s="2"/>
      <c r="L57" s="2"/>
      <c r="M57" s="2"/>
      <c r="N57" s="30"/>
    </row>
    <row r="58" spans="1:14" ht="53.25" customHeight="1" x14ac:dyDescent="0.35">
      <c r="A58" s="23" t="s">
        <v>71</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72</v>
      </c>
      <c r="B60" s="2"/>
      <c r="C60" s="2"/>
      <c r="D60" s="2"/>
      <c r="E60" s="2"/>
      <c r="F60" s="2"/>
      <c r="G60" s="2"/>
      <c r="H60" s="2"/>
      <c r="I60" s="2"/>
      <c r="J60" s="2"/>
      <c r="K60" s="2"/>
      <c r="L60" s="2"/>
      <c r="M60" s="2"/>
      <c r="N60" s="30"/>
    </row>
    <row r="61" spans="1:14" ht="24.75" customHeight="1" x14ac:dyDescent="0.35">
      <c r="A61" s="38" t="s">
        <v>73</v>
      </c>
      <c r="B61" s="8"/>
      <c r="C61" s="8"/>
      <c r="D61" s="8"/>
      <c r="E61" s="8"/>
      <c r="F61" s="8"/>
      <c r="G61" s="10"/>
      <c r="H61" s="38" t="s">
        <v>74</v>
      </c>
      <c r="I61" s="8"/>
      <c r="J61" s="8"/>
      <c r="K61" s="10"/>
      <c r="L61" s="38" t="s">
        <v>75</v>
      </c>
      <c r="M61" s="10"/>
      <c r="N61" s="30"/>
    </row>
    <row r="62" spans="1:14" ht="15.5" x14ac:dyDescent="0.35">
      <c r="A62" s="39" t="s">
        <v>76</v>
      </c>
      <c r="B62" s="23" t="s">
        <v>77</v>
      </c>
      <c r="C62" s="8"/>
      <c r="D62" s="8"/>
      <c r="E62" s="8"/>
      <c r="F62" s="8"/>
      <c r="G62" s="10"/>
      <c r="H62" s="40" t="s">
        <v>78</v>
      </c>
      <c r="I62" s="14"/>
      <c r="J62" s="14"/>
      <c r="K62" s="15"/>
      <c r="L62" s="41" t="s">
        <v>79</v>
      </c>
      <c r="M62" s="10"/>
      <c r="N62" s="5"/>
    </row>
    <row r="63" spans="1:14" ht="15.5" x14ac:dyDescent="0.35">
      <c r="A63" s="39" t="s">
        <v>80</v>
      </c>
      <c r="B63" s="23" t="s">
        <v>81</v>
      </c>
      <c r="C63" s="8"/>
      <c r="D63" s="8"/>
      <c r="E63" s="8"/>
      <c r="F63" s="8"/>
      <c r="G63" s="10"/>
      <c r="H63" s="25"/>
      <c r="I63" s="2"/>
      <c r="J63" s="2"/>
      <c r="K63" s="26"/>
      <c r="L63" s="41" t="s">
        <v>79</v>
      </c>
      <c r="M63" s="10"/>
      <c r="N63" s="5"/>
    </row>
    <row r="64" spans="1:14" ht="15.5" x14ac:dyDescent="0.35">
      <c r="A64" s="39" t="s">
        <v>82</v>
      </c>
      <c r="B64" s="42" t="s">
        <v>83</v>
      </c>
      <c r="C64" s="8"/>
      <c r="D64" s="8"/>
      <c r="E64" s="8"/>
      <c r="F64" s="8"/>
      <c r="G64" s="10"/>
      <c r="H64" s="25"/>
      <c r="I64" s="2"/>
      <c r="J64" s="2"/>
      <c r="K64" s="26"/>
      <c r="L64" s="41" t="s">
        <v>79</v>
      </c>
      <c r="M64" s="10"/>
      <c r="N64" s="5"/>
    </row>
    <row r="65" spans="1:14" ht="15.5" x14ac:dyDescent="0.35">
      <c r="A65" s="39" t="s">
        <v>84</v>
      </c>
      <c r="B65" s="42" t="s">
        <v>85</v>
      </c>
      <c r="C65" s="8"/>
      <c r="D65" s="8"/>
      <c r="E65" s="8"/>
      <c r="F65" s="8"/>
      <c r="G65" s="10"/>
      <c r="H65" s="25"/>
      <c r="I65" s="2"/>
      <c r="J65" s="2"/>
      <c r="K65" s="26"/>
      <c r="L65" s="41" t="s">
        <v>79</v>
      </c>
      <c r="M65" s="10"/>
      <c r="N65" s="5"/>
    </row>
    <row r="66" spans="1:14" ht="15.5" x14ac:dyDescent="0.35">
      <c r="A66" s="39" t="s">
        <v>86</v>
      </c>
      <c r="B66" s="42" t="s">
        <v>87</v>
      </c>
      <c r="C66" s="8"/>
      <c r="D66" s="8"/>
      <c r="E66" s="8"/>
      <c r="F66" s="8"/>
      <c r="G66" s="10"/>
      <c r="H66" s="25"/>
      <c r="I66" s="2"/>
      <c r="J66" s="2"/>
      <c r="K66" s="26"/>
      <c r="L66" s="41" t="s">
        <v>79</v>
      </c>
      <c r="M66" s="10"/>
      <c r="N66" s="5"/>
    </row>
    <row r="67" spans="1:14" ht="15.5" x14ac:dyDescent="0.35">
      <c r="A67" s="39" t="s">
        <v>88</v>
      </c>
      <c r="B67" s="42" t="s">
        <v>89</v>
      </c>
      <c r="C67" s="8"/>
      <c r="D67" s="8"/>
      <c r="E67" s="8"/>
      <c r="F67" s="8"/>
      <c r="G67" s="10"/>
      <c r="H67" s="25"/>
      <c r="I67" s="2"/>
      <c r="J67" s="2"/>
      <c r="K67" s="26"/>
      <c r="L67" s="41" t="s">
        <v>79</v>
      </c>
      <c r="M67" s="10"/>
      <c r="N67" s="5"/>
    </row>
    <row r="68" spans="1:14" ht="15.5" x14ac:dyDescent="0.35">
      <c r="A68" s="39" t="s">
        <v>90</v>
      </c>
      <c r="B68" s="42" t="s">
        <v>91</v>
      </c>
      <c r="C68" s="8"/>
      <c r="D68" s="8"/>
      <c r="E68" s="8"/>
      <c r="F68" s="8"/>
      <c r="G68" s="10"/>
      <c r="H68" s="25"/>
      <c r="I68" s="2"/>
      <c r="J68" s="2"/>
      <c r="K68" s="26"/>
      <c r="L68" s="41" t="s">
        <v>79</v>
      </c>
      <c r="M68" s="10"/>
      <c r="N68" s="5"/>
    </row>
    <row r="69" spans="1:14" ht="15.5" x14ac:dyDescent="0.35">
      <c r="A69" s="39" t="s">
        <v>92</v>
      </c>
      <c r="B69" s="42" t="s">
        <v>93</v>
      </c>
      <c r="C69" s="8"/>
      <c r="D69" s="8"/>
      <c r="E69" s="8"/>
      <c r="F69" s="8"/>
      <c r="G69" s="10"/>
      <c r="H69" s="25"/>
      <c r="I69" s="2"/>
      <c r="J69" s="2"/>
      <c r="K69" s="26"/>
      <c r="L69" s="41" t="s">
        <v>79</v>
      </c>
      <c r="M69" s="10"/>
      <c r="N69" s="5"/>
    </row>
    <row r="70" spans="1:14" ht="15.5" x14ac:dyDescent="0.35">
      <c r="A70" s="39" t="s">
        <v>94</v>
      </c>
      <c r="B70" s="42" t="s">
        <v>95</v>
      </c>
      <c r="C70" s="8"/>
      <c r="D70" s="8"/>
      <c r="E70" s="8"/>
      <c r="F70" s="8"/>
      <c r="G70" s="10"/>
      <c r="H70" s="25"/>
      <c r="I70" s="2"/>
      <c r="J70" s="2"/>
      <c r="K70" s="26"/>
      <c r="L70" s="41" t="s">
        <v>79</v>
      </c>
      <c r="M70" s="10"/>
      <c r="N70" s="5"/>
    </row>
    <row r="71" spans="1:14" ht="15.5" x14ac:dyDescent="0.35">
      <c r="A71" s="39" t="s">
        <v>96</v>
      </c>
      <c r="B71" s="42" t="s">
        <v>97</v>
      </c>
      <c r="C71" s="8"/>
      <c r="D71" s="8"/>
      <c r="E71" s="8"/>
      <c r="F71" s="8"/>
      <c r="G71" s="10"/>
      <c r="H71" s="25"/>
      <c r="I71" s="2"/>
      <c r="J71" s="2"/>
      <c r="K71" s="26"/>
      <c r="L71" s="41" t="s">
        <v>79</v>
      </c>
      <c r="M71" s="10"/>
      <c r="N71" s="5"/>
    </row>
    <row r="72" spans="1:14" ht="15.5" x14ac:dyDescent="0.35">
      <c r="A72" s="39" t="s">
        <v>98</v>
      </c>
      <c r="B72" s="42" t="s">
        <v>99</v>
      </c>
      <c r="C72" s="8"/>
      <c r="D72" s="8"/>
      <c r="E72" s="8"/>
      <c r="F72" s="8"/>
      <c r="G72" s="10"/>
      <c r="H72" s="25"/>
      <c r="I72" s="2"/>
      <c r="J72" s="2"/>
      <c r="K72" s="26"/>
      <c r="L72" s="41" t="s">
        <v>79</v>
      </c>
      <c r="M72" s="10"/>
      <c r="N72" s="5"/>
    </row>
    <row r="73" spans="1:14" ht="15.5" x14ac:dyDescent="0.35">
      <c r="A73" s="39" t="s">
        <v>100</v>
      </c>
      <c r="B73" s="42" t="s">
        <v>101</v>
      </c>
      <c r="C73" s="8"/>
      <c r="D73" s="8"/>
      <c r="E73" s="8"/>
      <c r="F73" s="8"/>
      <c r="G73" s="10"/>
      <c r="H73" s="25"/>
      <c r="I73" s="2"/>
      <c r="J73" s="2"/>
      <c r="K73" s="26"/>
      <c r="L73" s="41" t="s">
        <v>79</v>
      </c>
      <c r="M73" s="10"/>
      <c r="N73" s="5"/>
    </row>
    <row r="74" spans="1:14" ht="15.5" x14ac:dyDescent="0.35">
      <c r="A74" s="39" t="s">
        <v>102</v>
      </c>
      <c r="B74" s="42" t="s">
        <v>103</v>
      </c>
      <c r="C74" s="8"/>
      <c r="D74" s="8"/>
      <c r="E74" s="8"/>
      <c r="F74" s="8"/>
      <c r="G74" s="10"/>
      <c r="H74" s="25"/>
      <c r="I74" s="2"/>
      <c r="J74" s="2"/>
      <c r="K74" s="26"/>
      <c r="L74" s="41" t="s">
        <v>79</v>
      </c>
      <c r="M74" s="10"/>
      <c r="N74" s="5"/>
    </row>
    <row r="75" spans="1:14" ht="15.5" x14ac:dyDescent="0.35">
      <c r="A75" s="39" t="s">
        <v>104</v>
      </c>
      <c r="B75" s="42" t="s">
        <v>105</v>
      </c>
      <c r="C75" s="8"/>
      <c r="D75" s="8"/>
      <c r="E75" s="8"/>
      <c r="F75" s="8"/>
      <c r="G75" s="10"/>
      <c r="H75" s="24"/>
      <c r="I75" s="18"/>
      <c r="J75" s="18"/>
      <c r="K75" s="19"/>
      <c r="L75" s="41" t="s">
        <v>79</v>
      </c>
      <c r="M75" s="10"/>
      <c r="N75" s="5"/>
    </row>
    <row r="76" spans="1:14" ht="107.25" customHeight="1" x14ac:dyDescent="0.35">
      <c r="A76" s="37" t="s">
        <v>106</v>
      </c>
      <c r="B76" s="8"/>
      <c r="C76" s="8"/>
      <c r="D76" s="8"/>
      <c r="E76" s="8"/>
      <c r="F76" s="8"/>
      <c r="G76" s="8"/>
      <c r="H76" s="8"/>
      <c r="I76" s="8"/>
      <c r="J76" s="8"/>
      <c r="K76" s="8"/>
      <c r="L76" s="8"/>
      <c r="M76" s="10"/>
      <c r="N76" s="5"/>
    </row>
    <row r="77" spans="1:14" ht="24.75" hidden="1" customHeight="1" x14ac:dyDescent="0.35">
      <c r="A77" s="38" t="s">
        <v>107</v>
      </c>
      <c r="B77" s="8"/>
      <c r="C77" s="8"/>
      <c r="D77" s="8"/>
      <c r="E77" s="8"/>
      <c r="F77" s="8"/>
      <c r="G77" s="10"/>
      <c r="H77" s="38" t="s">
        <v>108</v>
      </c>
      <c r="I77" s="8"/>
      <c r="J77" s="8"/>
      <c r="K77" s="10"/>
      <c r="L77" s="38" t="s">
        <v>75</v>
      </c>
      <c r="M77" s="10"/>
      <c r="N77" s="30"/>
    </row>
    <row r="78" spans="1:14" ht="15.5" hidden="1" x14ac:dyDescent="0.35">
      <c r="A78" s="39" t="s">
        <v>76</v>
      </c>
      <c r="B78" s="23"/>
      <c r="C78" s="8"/>
      <c r="D78" s="8"/>
      <c r="E78" s="8"/>
      <c r="F78" s="8"/>
      <c r="G78" s="10"/>
      <c r="H78" s="40"/>
      <c r="I78" s="14"/>
      <c r="J78" s="14"/>
      <c r="K78" s="15"/>
      <c r="L78" s="23"/>
      <c r="M78" s="10"/>
      <c r="N78" s="5"/>
    </row>
    <row r="79" spans="1:14" ht="15.5" hidden="1" x14ac:dyDescent="0.35">
      <c r="A79" s="39" t="s">
        <v>80</v>
      </c>
      <c r="B79" s="23"/>
      <c r="C79" s="8"/>
      <c r="D79" s="8"/>
      <c r="E79" s="8"/>
      <c r="F79" s="8"/>
      <c r="G79" s="10"/>
      <c r="H79" s="25"/>
      <c r="I79" s="2"/>
      <c r="J79" s="2"/>
      <c r="K79" s="26"/>
      <c r="L79" s="23"/>
      <c r="M79" s="10"/>
      <c r="N79" s="5"/>
    </row>
    <row r="80" spans="1:14" ht="15.5" hidden="1" x14ac:dyDescent="0.35">
      <c r="A80" s="39" t="s">
        <v>82</v>
      </c>
      <c r="B80" s="23"/>
      <c r="C80" s="8"/>
      <c r="D80" s="8"/>
      <c r="E80" s="8"/>
      <c r="F80" s="8"/>
      <c r="G80" s="10"/>
      <c r="H80" s="25"/>
      <c r="I80" s="2"/>
      <c r="J80" s="2"/>
      <c r="K80" s="26"/>
      <c r="L80" s="23"/>
      <c r="M80" s="10"/>
      <c r="N80" s="5"/>
    </row>
    <row r="81" spans="1:14" ht="15.5" hidden="1" x14ac:dyDescent="0.35">
      <c r="A81" s="39" t="s">
        <v>84</v>
      </c>
      <c r="B81" s="23"/>
      <c r="C81" s="8"/>
      <c r="D81" s="8"/>
      <c r="E81" s="8"/>
      <c r="F81" s="8"/>
      <c r="G81" s="10"/>
      <c r="H81" s="25"/>
      <c r="I81" s="2"/>
      <c r="J81" s="2"/>
      <c r="K81" s="26"/>
      <c r="L81" s="23"/>
      <c r="M81" s="10"/>
      <c r="N81" s="5"/>
    </row>
    <row r="82" spans="1:14" ht="15.5" hidden="1" x14ac:dyDescent="0.35">
      <c r="A82" s="39" t="s">
        <v>86</v>
      </c>
      <c r="B82" s="23"/>
      <c r="C82" s="8"/>
      <c r="D82" s="8"/>
      <c r="E82" s="8"/>
      <c r="F82" s="8"/>
      <c r="G82" s="10"/>
      <c r="H82" s="25"/>
      <c r="I82" s="2"/>
      <c r="J82" s="2"/>
      <c r="K82" s="26"/>
      <c r="L82" s="23"/>
      <c r="M82" s="10"/>
      <c r="N82" s="5"/>
    </row>
    <row r="83" spans="1:14" ht="15.5" hidden="1" x14ac:dyDescent="0.35">
      <c r="A83" s="39" t="s">
        <v>88</v>
      </c>
      <c r="B83" s="23"/>
      <c r="C83" s="8"/>
      <c r="D83" s="8"/>
      <c r="E83" s="8"/>
      <c r="F83" s="8"/>
      <c r="G83" s="10"/>
      <c r="H83" s="25"/>
      <c r="I83" s="2"/>
      <c r="J83" s="2"/>
      <c r="K83" s="26"/>
      <c r="L83" s="23"/>
      <c r="M83" s="10"/>
      <c r="N83" s="5"/>
    </row>
    <row r="84" spans="1:14" ht="15.5" hidden="1" x14ac:dyDescent="0.35">
      <c r="A84" s="39" t="s">
        <v>90</v>
      </c>
      <c r="B84" s="23"/>
      <c r="C84" s="8"/>
      <c r="D84" s="8"/>
      <c r="E84" s="8"/>
      <c r="F84" s="8"/>
      <c r="G84" s="10"/>
      <c r="H84" s="25"/>
      <c r="I84" s="2"/>
      <c r="J84" s="2"/>
      <c r="K84" s="26"/>
      <c r="L84" s="23"/>
      <c r="M84" s="10"/>
      <c r="N84" s="5"/>
    </row>
    <row r="85" spans="1:14" ht="15.5" hidden="1" x14ac:dyDescent="0.35">
      <c r="A85" s="39" t="s">
        <v>92</v>
      </c>
      <c r="B85" s="23"/>
      <c r="C85" s="8"/>
      <c r="D85" s="8"/>
      <c r="E85" s="8"/>
      <c r="F85" s="8"/>
      <c r="G85" s="10"/>
      <c r="H85" s="25"/>
      <c r="I85" s="2"/>
      <c r="J85" s="2"/>
      <c r="K85" s="26"/>
      <c r="L85" s="23"/>
      <c r="M85" s="10"/>
      <c r="N85" s="5"/>
    </row>
    <row r="86" spans="1:14" ht="15.5" hidden="1" x14ac:dyDescent="0.35">
      <c r="A86" s="39" t="s">
        <v>94</v>
      </c>
      <c r="B86" s="23"/>
      <c r="C86" s="8"/>
      <c r="D86" s="8"/>
      <c r="E86" s="8"/>
      <c r="F86" s="8"/>
      <c r="G86" s="10"/>
      <c r="H86" s="25"/>
      <c r="I86" s="2"/>
      <c r="J86" s="2"/>
      <c r="K86" s="26"/>
      <c r="L86" s="23"/>
      <c r="M86" s="10"/>
      <c r="N86" s="5"/>
    </row>
    <row r="87" spans="1:14" ht="15.5" hidden="1" x14ac:dyDescent="0.35">
      <c r="A87" s="39" t="s">
        <v>96</v>
      </c>
      <c r="B87" s="23"/>
      <c r="C87" s="8"/>
      <c r="D87" s="8"/>
      <c r="E87" s="8"/>
      <c r="F87" s="8"/>
      <c r="G87" s="10"/>
      <c r="H87" s="25"/>
      <c r="I87" s="2"/>
      <c r="J87" s="2"/>
      <c r="K87" s="26"/>
      <c r="L87" s="23"/>
      <c r="M87" s="10"/>
      <c r="N87" s="5"/>
    </row>
    <row r="88" spans="1:14" ht="15.5" hidden="1" x14ac:dyDescent="0.35">
      <c r="A88" s="39" t="s">
        <v>98</v>
      </c>
      <c r="B88" s="23"/>
      <c r="C88" s="8"/>
      <c r="D88" s="8"/>
      <c r="E88" s="8"/>
      <c r="F88" s="8"/>
      <c r="G88" s="10"/>
      <c r="H88" s="25"/>
      <c r="I88" s="2"/>
      <c r="J88" s="2"/>
      <c r="K88" s="26"/>
      <c r="L88" s="23"/>
      <c r="M88" s="10"/>
      <c r="N88" s="5"/>
    </row>
    <row r="89" spans="1:14" ht="15.5" hidden="1" x14ac:dyDescent="0.35">
      <c r="A89" s="39" t="s">
        <v>100</v>
      </c>
      <c r="B89" s="23"/>
      <c r="C89" s="8"/>
      <c r="D89" s="8"/>
      <c r="E89" s="8"/>
      <c r="F89" s="8"/>
      <c r="G89" s="10"/>
      <c r="H89" s="25"/>
      <c r="I89" s="2"/>
      <c r="J89" s="2"/>
      <c r="K89" s="26"/>
      <c r="L89" s="23"/>
      <c r="M89" s="10"/>
      <c r="N89" s="5"/>
    </row>
    <row r="90" spans="1:14" ht="15.5" hidden="1" x14ac:dyDescent="0.35">
      <c r="A90" s="39" t="s">
        <v>102</v>
      </c>
      <c r="B90" s="23"/>
      <c r="C90" s="8"/>
      <c r="D90" s="8"/>
      <c r="E90" s="8"/>
      <c r="F90" s="8"/>
      <c r="G90" s="10"/>
      <c r="H90" s="25"/>
      <c r="I90" s="2"/>
      <c r="J90" s="2"/>
      <c r="K90" s="26"/>
      <c r="L90" s="23"/>
      <c r="M90" s="10"/>
      <c r="N90" s="5"/>
    </row>
    <row r="91" spans="1:14" ht="15.5" hidden="1" x14ac:dyDescent="0.35">
      <c r="A91" s="39" t="s">
        <v>104</v>
      </c>
      <c r="B91" s="23"/>
      <c r="C91" s="8"/>
      <c r="D91" s="8"/>
      <c r="E91" s="8"/>
      <c r="F91" s="8"/>
      <c r="G91" s="10"/>
      <c r="H91" s="24"/>
      <c r="I91" s="18"/>
      <c r="J91" s="18"/>
      <c r="K91" s="19"/>
      <c r="L91" s="23"/>
      <c r="M91" s="10"/>
      <c r="N91" s="5"/>
    </row>
    <row r="92" spans="1:14" ht="24" customHeight="1" x14ac:dyDescent="0.35">
      <c r="A92" s="38" t="s">
        <v>109</v>
      </c>
      <c r="B92" s="8"/>
      <c r="C92" s="8"/>
      <c r="D92" s="8"/>
      <c r="E92" s="8"/>
      <c r="F92" s="8"/>
      <c r="G92" s="10"/>
      <c r="H92" s="38" t="s">
        <v>108</v>
      </c>
      <c r="I92" s="8"/>
      <c r="J92" s="8"/>
      <c r="K92" s="10"/>
      <c r="L92" s="38" t="s">
        <v>75</v>
      </c>
      <c r="M92" s="10"/>
      <c r="N92" s="30"/>
    </row>
    <row r="93" spans="1:14" ht="15.5" x14ac:dyDescent="0.35">
      <c r="A93" s="39" t="s">
        <v>76</v>
      </c>
      <c r="B93" s="42" t="s">
        <v>110</v>
      </c>
      <c r="C93" s="8"/>
      <c r="D93" s="8"/>
      <c r="E93" s="8"/>
      <c r="F93" s="8"/>
      <c r="G93" s="10"/>
      <c r="H93" s="40" t="s">
        <v>111</v>
      </c>
      <c r="I93" s="14"/>
      <c r="J93" s="14"/>
      <c r="K93" s="15"/>
      <c r="L93" s="41" t="s">
        <v>79</v>
      </c>
      <c r="M93" s="10"/>
      <c r="N93" s="5"/>
    </row>
    <row r="94" spans="1:14" ht="15.5" x14ac:dyDescent="0.35">
      <c r="A94" s="39" t="s">
        <v>80</v>
      </c>
      <c r="B94" s="42" t="s">
        <v>112</v>
      </c>
      <c r="C94" s="8"/>
      <c r="D94" s="8"/>
      <c r="E94" s="8"/>
      <c r="F94" s="8"/>
      <c r="G94" s="10"/>
      <c r="H94" s="25"/>
      <c r="I94" s="2"/>
      <c r="J94" s="2"/>
      <c r="K94" s="26"/>
      <c r="L94" s="41" t="s">
        <v>79</v>
      </c>
      <c r="M94" s="10"/>
      <c r="N94" s="5"/>
    </row>
    <row r="95" spans="1:14" ht="15.5" x14ac:dyDescent="0.35">
      <c r="A95" s="39" t="s">
        <v>82</v>
      </c>
      <c r="B95" s="42" t="s">
        <v>113</v>
      </c>
      <c r="C95" s="8"/>
      <c r="D95" s="8"/>
      <c r="E95" s="8"/>
      <c r="F95" s="8"/>
      <c r="G95" s="10"/>
      <c r="H95" s="25"/>
      <c r="I95" s="2"/>
      <c r="J95" s="2"/>
      <c r="K95" s="26"/>
      <c r="L95" s="41" t="s">
        <v>79</v>
      </c>
      <c r="M95" s="10"/>
      <c r="N95" s="5"/>
    </row>
    <row r="96" spans="1:14" ht="15.5" x14ac:dyDescent="0.35">
      <c r="A96" s="39" t="s">
        <v>84</v>
      </c>
      <c r="B96" s="42" t="s">
        <v>114</v>
      </c>
      <c r="C96" s="8"/>
      <c r="D96" s="8"/>
      <c r="E96" s="8"/>
      <c r="F96" s="8"/>
      <c r="G96" s="10"/>
      <c r="H96" s="25"/>
      <c r="I96" s="2"/>
      <c r="J96" s="2"/>
      <c r="K96" s="26"/>
      <c r="L96" s="41" t="s">
        <v>79</v>
      </c>
      <c r="M96" s="10"/>
      <c r="N96" s="5"/>
    </row>
    <row r="97" spans="1:14" ht="15.5" x14ac:dyDescent="0.35">
      <c r="A97" s="39" t="s">
        <v>86</v>
      </c>
      <c r="B97" s="42" t="s">
        <v>115</v>
      </c>
      <c r="C97" s="8"/>
      <c r="D97" s="8"/>
      <c r="E97" s="8"/>
      <c r="F97" s="8"/>
      <c r="G97" s="10"/>
      <c r="H97" s="25"/>
      <c r="I97" s="2"/>
      <c r="J97" s="2"/>
      <c r="K97" s="26"/>
      <c r="L97" s="41" t="s">
        <v>79</v>
      </c>
      <c r="M97" s="10"/>
      <c r="N97" s="5"/>
    </row>
    <row r="98" spans="1:14" ht="15.5" x14ac:dyDescent="0.35">
      <c r="A98" s="39" t="s">
        <v>88</v>
      </c>
      <c r="B98" s="42" t="s">
        <v>116</v>
      </c>
      <c r="C98" s="8"/>
      <c r="D98" s="8"/>
      <c r="E98" s="8"/>
      <c r="F98" s="8"/>
      <c r="G98" s="10"/>
      <c r="H98" s="25"/>
      <c r="I98" s="2"/>
      <c r="J98" s="2"/>
      <c r="K98" s="26"/>
      <c r="L98" s="41" t="s">
        <v>79</v>
      </c>
      <c r="M98" s="10"/>
      <c r="N98" s="5"/>
    </row>
    <row r="99" spans="1:14" ht="15.5" x14ac:dyDescent="0.35">
      <c r="A99" s="39" t="s">
        <v>90</v>
      </c>
      <c r="B99" s="42" t="s">
        <v>117</v>
      </c>
      <c r="C99" s="8"/>
      <c r="D99" s="8"/>
      <c r="E99" s="8"/>
      <c r="F99" s="8"/>
      <c r="G99" s="10"/>
      <c r="H99" s="25"/>
      <c r="I99" s="2"/>
      <c r="J99" s="2"/>
      <c r="K99" s="26"/>
      <c r="L99" s="41" t="s">
        <v>79</v>
      </c>
      <c r="M99" s="10"/>
      <c r="N99" s="5"/>
    </row>
    <row r="100" spans="1:14" ht="15.5" x14ac:dyDescent="0.35">
      <c r="A100" s="39" t="s">
        <v>92</v>
      </c>
      <c r="B100" s="42" t="s">
        <v>118</v>
      </c>
      <c r="C100" s="8"/>
      <c r="D100" s="8"/>
      <c r="E100" s="8"/>
      <c r="F100" s="8"/>
      <c r="G100" s="10"/>
      <c r="H100" s="25"/>
      <c r="I100" s="2"/>
      <c r="J100" s="2"/>
      <c r="K100" s="26"/>
      <c r="L100" s="41" t="s">
        <v>79</v>
      </c>
      <c r="M100" s="10"/>
      <c r="N100" s="5"/>
    </row>
    <row r="101" spans="1:14" ht="15.5" x14ac:dyDescent="0.35">
      <c r="A101" s="39" t="s">
        <v>94</v>
      </c>
      <c r="B101" s="42" t="s">
        <v>119</v>
      </c>
      <c r="C101" s="8"/>
      <c r="D101" s="8"/>
      <c r="E101" s="8"/>
      <c r="F101" s="8"/>
      <c r="G101" s="10"/>
      <c r="H101" s="25"/>
      <c r="I101" s="2"/>
      <c r="J101" s="2"/>
      <c r="K101" s="26"/>
      <c r="L101" s="41" t="s">
        <v>79</v>
      </c>
      <c r="M101" s="10"/>
      <c r="N101" s="5"/>
    </row>
    <row r="102" spans="1:14" ht="15.5" x14ac:dyDescent="0.35">
      <c r="A102" s="39" t="s">
        <v>96</v>
      </c>
      <c r="B102" s="42" t="s">
        <v>120</v>
      </c>
      <c r="C102" s="8"/>
      <c r="D102" s="8"/>
      <c r="E102" s="8"/>
      <c r="F102" s="8"/>
      <c r="G102" s="10"/>
      <c r="H102" s="25"/>
      <c r="I102" s="2"/>
      <c r="J102" s="2"/>
      <c r="K102" s="26"/>
      <c r="L102" s="41" t="s">
        <v>79</v>
      </c>
      <c r="M102" s="10"/>
      <c r="N102" s="5"/>
    </row>
    <row r="103" spans="1:14" ht="15.5" x14ac:dyDescent="0.35">
      <c r="A103" s="39" t="s">
        <v>98</v>
      </c>
      <c r="B103" s="42" t="s">
        <v>121</v>
      </c>
      <c r="C103" s="8"/>
      <c r="D103" s="8"/>
      <c r="E103" s="8"/>
      <c r="F103" s="8"/>
      <c r="G103" s="10"/>
      <c r="H103" s="25"/>
      <c r="I103" s="2"/>
      <c r="J103" s="2"/>
      <c r="K103" s="26"/>
      <c r="L103" s="41" t="s">
        <v>79</v>
      </c>
      <c r="M103" s="10"/>
      <c r="N103" s="5"/>
    </row>
    <row r="104" spans="1:14" ht="15.5" x14ac:dyDescent="0.35">
      <c r="A104" s="39" t="s">
        <v>100</v>
      </c>
      <c r="B104" s="42" t="s">
        <v>101</v>
      </c>
      <c r="C104" s="8"/>
      <c r="D104" s="8"/>
      <c r="E104" s="8"/>
      <c r="F104" s="8"/>
      <c r="G104" s="10"/>
      <c r="H104" s="25"/>
      <c r="I104" s="2"/>
      <c r="J104" s="2"/>
      <c r="K104" s="26"/>
      <c r="L104" s="41" t="s">
        <v>79</v>
      </c>
      <c r="M104" s="10"/>
      <c r="N104" s="5"/>
    </row>
    <row r="105" spans="1:14" ht="15.5" x14ac:dyDescent="0.35">
      <c r="A105" s="39" t="s">
        <v>102</v>
      </c>
      <c r="B105" s="42" t="s">
        <v>103</v>
      </c>
      <c r="C105" s="8"/>
      <c r="D105" s="8"/>
      <c r="E105" s="8"/>
      <c r="F105" s="8"/>
      <c r="G105" s="10"/>
      <c r="H105" s="25"/>
      <c r="I105" s="2"/>
      <c r="J105" s="2"/>
      <c r="K105" s="26"/>
      <c r="L105" s="41" t="s">
        <v>79</v>
      </c>
      <c r="M105" s="10"/>
      <c r="N105" s="5"/>
    </row>
    <row r="106" spans="1:14" ht="15.5" x14ac:dyDescent="0.35">
      <c r="A106" s="39" t="s">
        <v>104</v>
      </c>
      <c r="B106" s="42" t="s">
        <v>122</v>
      </c>
      <c r="C106" s="8"/>
      <c r="D106" s="8"/>
      <c r="E106" s="8"/>
      <c r="F106" s="8"/>
      <c r="G106" s="10"/>
      <c r="H106" s="24"/>
      <c r="I106" s="18"/>
      <c r="J106" s="18"/>
      <c r="K106" s="19"/>
      <c r="L106" s="41" t="s">
        <v>79</v>
      </c>
      <c r="M106" s="10"/>
      <c r="N106" s="5"/>
    </row>
    <row r="107" spans="1:14" ht="24" hidden="1" customHeight="1" x14ac:dyDescent="0.35">
      <c r="A107" s="38" t="s">
        <v>123</v>
      </c>
      <c r="B107" s="8"/>
      <c r="C107" s="8"/>
      <c r="D107" s="8"/>
      <c r="E107" s="8"/>
      <c r="F107" s="8"/>
      <c r="G107" s="10"/>
      <c r="H107" s="38" t="s">
        <v>108</v>
      </c>
      <c r="I107" s="8"/>
      <c r="J107" s="8"/>
      <c r="K107" s="10"/>
      <c r="L107" s="38" t="s">
        <v>75</v>
      </c>
      <c r="M107" s="10"/>
      <c r="N107" s="30"/>
    </row>
    <row r="108" spans="1:14" ht="15.5" hidden="1" x14ac:dyDescent="0.35">
      <c r="A108" s="39" t="s">
        <v>76</v>
      </c>
      <c r="B108" s="23"/>
      <c r="C108" s="8"/>
      <c r="D108" s="8"/>
      <c r="E108" s="8"/>
      <c r="F108" s="8"/>
      <c r="G108" s="10"/>
      <c r="H108" s="40"/>
      <c r="I108" s="14"/>
      <c r="J108" s="14"/>
      <c r="K108" s="15"/>
      <c r="L108" s="23"/>
      <c r="M108" s="10"/>
      <c r="N108" s="5"/>
    </row>
    <row r="109" spans="1:14" ht="15.5" hidden="1" x14ac:dyDescent="0.35">
      <c r="A109" s="39" t="s">
        <v>80</v>
      </c>
      <c r="B109" s="23"/>
      <c r="C109" s="8"/>
      <c r="D109" s="8"/>
      <c r="E109" s="8"/>
      <c r="F109" s="8"/>
      <c r="G109" s="10"/>
      <c r="H109" s="25"/>
      <c r="I109" s="2"/>
      <c r="J109" s="2"/>
      <c r="K109" s="26"/>
      <c r="L109" s="23"/>
      <c r="M109" s="10"/>
      <c r="N109" s="5"/>
    </row>
    <row r="110" spans="1:14" ht="15.5" hidden="1" x14ac:dyDescent="0.35">
      <c r="A110" s="39" t="s">
        <v>82</v>
      </c>
      <c r="B110" s="23"/>
      <c r="C110" s="8"/>
      <c r="D110" s="8"/>
      <c r="E110" s="8"/>
      <c r="F110" s="8"/>
      <c r="G110" s="10"/>
      <c r="H110" s="25"/>
      <c r="I110" s="2"/>
      <c r="J110" s="2"/>
      <c r="K110" s="26"/>
      <c r="L110" s="23"/>
      <c r="M110" s="10"/>
      <c r="N110" s="5"/>
    </row>
    <row r="111" spans="1:14" ht="15.5" hidden="1" x14ac:dyDescent="0.35">
      <c r="A111" s="39" t="s">
        <v>84</v>
      </c>
      <c r="B111" s="23"/>
      <c r="C111" s="8"/>
      <c r="D111" s="8"/>
      <c r="E111" s="8"/>
      <c r="F111" s="8"/>
      <c r="G111" s="10"/>
      <c r="H111" s="25"/>
      <c r="I111" s="2"/>
      <c r="J111" s="2"/>
      <c r="K111" s="26"/>
      <c r="L111" s="23"/>
      <c r="M111" s="10"/>
      <c r="N111" s="5"/>
    </row>
    <row r="112" spans="1:14" ht="15.5" hidden="1" x14ac:dyDescent="0.35">
      <c r="A112" s="39" t="s">
        <v>86</v>
      </c>
      <c r="B112" s="23"/>
      <c r="C112" s="8"/>
      <c r="D112" s="8"/>
      <c r="E112" s="8"/>
      <c r="F112" s="8"/>
      <c r="G112" s="10"/>
      <c r="H112" s="25"/>
      <c r="I112" s="2"/>
      <c r="J112" s="2"/>
      <c r="K112" s="26"/>
      <c r="L112" s="23"/>
      <c r="M112" s="10"/>
      <c r="N112" s="5"/>
    </row>
    <row r="113" spans="1:14" ht="15.5" hidden="1" x14ac:dyDescent="0.35">
      <c r="A113" s="39" t="s">
        <v>88</v>
      </c>
      <c r="B113" s="23"/>
      <c r="C113" s="8"/>
      <c r="D113" s="8"/>
      <c r="E113" s="8"/>
      <c r="F113" s="8"/>
      <c r="G113" s="10"/>
      <c r="H113" s="25"/>
      <c r="I113" s="2"/>
      <c r="J113" s="2"/>
      <c r="K113" s="26"/>
      <c r="L113" s="23"/>
      <c r="M113" s="10"/>
      <c r="N113" s="5"/>
    </row>
    <row r="114" spans="1:14" ht="15.5" hidden="1" x14ac:dyDescent="0.35">
      <c r="A114" s="39" t="s">
        <v>90</v>
      </c>
      <c r="B114" s="23"/>
      <c r="C114" s="8"/>
      <c r="D114" s="8"/>
      <c r="E114" s="8"/>
      <c r="F114" s="8"/>
      <c r="G114" s="10"/>
      <c r="H114" s="25"/>
      <c r="I114" s="2"/>
      <c r="J114" s="2"/>
      <c r="K114" s="26"/>
      <c r="L114" s="23"/>
      <c r="M114" s="10"/>
      <c r="N114" s="5"/>
    </row>
    <row r="115" spans="1:14" ht="15.5" hidden="1" x14ac:dyDescent="0.35">
      <c r="A115" s="39" t="s">
        <v>92</v>
      </c>
      <c r="B115" s="23"/>
      <c r="C115" s="8"/>
      <c r="D115" s="8"/>
      <c r="E115" s="8"/>
      <c r="F115" s="8"/>
      <c r="G115" s="10"/>
      <c r="H115" s="25"/>
      <c r="I115" s="2"/>
      <c r="J115" s="2"/>
      <c r="K115" s="26"/>
      <c r="L115" s="23"/>
      <c r="M115" s="10"/>
      <c r="N115" s="5"/>
    </row>
    <row r="116" spans="1:14" ht="15.5" hidden="1" x14ac:dyDescent="0.35">
      <c r="A116" s="39" t="s">
        <v>94</v>
      </c>
      <c r="B116" s="23"/>
      <c r="C116" s="8"/>
      <c r="D116" s="8"/>
      <c r="E116" s="8"/>
      <c r="F116" s="8"/>
      <c r="G116" s="10"/>
      <c r="H116" s="25"/>
      <c r="I116" s="2"/>
      <c r="J116" s="2"/>
      <c r="K116" s="26"/>
      <c r="L116" s="23"/>
      <c r="M116" s="10"/>
      <c r="N116" s="5"/>
    </row>
    <row r="117" spans="1:14" ht="15.5" hidden="1" x14ac:dyDescent="0.35">
      <c r="A117" s="39" t="s">
        <v>96</v>
      </c>
      <c r="B117" s="23"/>
      <c r="C117" s="8"/>
      <c r="D117" s="8"/>
      <c r="E117" s="8"/>
      <c r="F117" s="8"/>
      <c r="G117" s="10"/>
      <c r="H117" s="25"/>
      <c r="I117" s="2"/>
      <c r="J117" s="2"/>
      <c r="K117" s="26"/>
      <c r="L117" s="23"/>
      <c r="M117" s="10"/>
      <c r="N117" s="5"/>
    </row>
    <row r="118" spans="1:14" ht="15.5" hidden="1" x14ac:dyDescent="0.35">
      <c r="A118" s="39" t="s">
        <v>98</v>
      </c>
      <c r="B118" s="23"/>
      <c r="C118" s="8"/>
      <c r="D118" s="8"/>
      <c r="E118" s="8"/>
      <c r="F118" s="8"/>
      <c r="G118" s="10"/>
      <c r="H118" s="25"/>
      <c r="I118" s="2"/>
      <c r="J118" s="2"/>
      <c r="K118" s="26"/>
      <c r="L118" s="23"/>
      <c r="M118" s="10"/>
      <c r="N118" s="5"/>
    </row>
    <row r="119" spans="1:14" ht="15.5" hidden="1" x14ac:dyDescent="0.35">
      <c r="A119" s="39" t="s">
        <v>100</v>
      </c>
      <c r="B119" s="23"/>
      <c r="C119" s="8"/>
      <c r="D119" s="8"/>
      <c r="E119" s="8"/>
      <c r="F119" s="8"/>
      <c r="G119" s="10"/>
      <c r="H119" s="25"/>
      <c r="I119" s="2"/>
      <c r="J119" s="2"/>
      <c r="K119" s="26"/>
      <c r="L119" s="23"/>
      <c r="M119" s="10"/>
      <c r="N119" s="5"/>
    </row>
    <row r="120" spans="1:14" ht="15.5" hidden="1" x14ac:dyDescent="0.35">
      <c r="A120" s="39" t="s">
        <v>102</v>
      </c>
      <c r="B120" s="23"/>
      <c r="C120" s="8"/>
      <c r="D120" s="8"/>
      <c r="E120" s="8"/>
      <c r="F120" s="8"/>
      <c r="G120" s="10"/>
      <c r="H120" s="25"/>
      <c r="I120" s="2"/>
      <c r="J120" s="2"/>
      <c r="K120" s="26"/>
      <c r="L120" s="23"/>
      <c r="M120" s="10"/>
      <c r="N120" s="5"/>
    </row>
    <row r="121" spans="1:14" ht="15.5" hidden="1" x14ac:dyDescent="0.35">
      <c r="A121" s="39" t="s">
        <v>104</v>
      </c>
      <c r="B121" s="23"/>
      <c r="C121" s="8"/>
      <c r="D121" s="8"/>
      <c r="E121" s="8"/>
      <c r="F121" s="8"/>
      <c r="G121" s="10"/>
      <c r="H121" s="24"/>
      <c r="I121" s="18"/>
      <c r="J121" s="18"/>
      <c r="K121" s="19"/>
      <c r="L121" s="23"/>
      <c r="M121" s="10"/>
      <c r="N121" s="5"/>
    </row>
    <row r="122" spans="1:14" ht="115.5" customHeight="1" x14ac:dyDescent="0.35">
      <c r="A122" s="23" t="s">
        <v>124</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125</v>
      </c>
      <c r="B124" s="2"/>
      <c r="C124" s="2"/>
      <c r="D124" s="2"/>
      <c r="E124" s="2"/>
      <c r="F124" s="2"/>
      <c r="G124" s="2"/>
      <c r="H124" s="2"/>
      <c r="I124" s="2"/>
      <c r="J124" s="2"/>
      <c r="K124" s="2"/>
      <c r="L124" s="2"/>
      <c r="M124" s="2"/>
      <c r="N124" s="30"/>
    </row>
    <row r="125" spans="1:14" ht="46.5" x14ac:dyDescent="0.35">
      <c r="A125" s="43" t="s">
        <v>126</v>
      </c>
      <c r="B125" s="44" t="s">
        <v>127</v>
      </c>
      <c r="C125" s="8"/>
      <c r="D125" s="8"/>
      <c r="E125" s="8"/>
      <c r="F125" s="8"/>
      <c r="G125" s="10"/>
      <c r="H125" s="44" t="s">
        <v>128</v>
      </c>
      <c r="I125" s="8"/>
      <c r="J125" s="8"/>
      <c r="K125" s="10"/>
      <c r="L125" s="45" t="s">
        <v>129</v>
      </c>
      <c r="M125" s="10"/>
      <c r="N125" s="5"/>
    </row>
    <row r="126" spans="1:14" ht="15.5" x14ac:dyDescent="0.35">
      <c r="A126" s="46" t="s">
        <v>130</v>
      </c>
      <c r="B126" s="47" t="s">
        <v>131</v>
      </c>
      <c r="C126" s="14"/>
      <c r="D126" s="14"/>
      <c r="E126" s="14"/>
      <c r="F126" s="14"/>
      <c r="G126" s="15"/>
      <c r="H126" s="48" t="s">
        <v>132</v>
      </c>
      <c r="I126" s="14"/>
      <c r="J126" s="14"/>
      <c r="K126" s="49" t="s">
        <v>133</v>
      </c>
      <c r="L126" s="50">
        <f>1-SUM(L129:M131)</f>
        <v>0.75</v>
      </c>
      <c r="M126" s="15"/>
      <c r="N126" s="5"/>
    </row>
    <row r="127" spans="1:14" ht="15.5" x14ac:dyDescent="0.35">
      <c r="A127" s="51"/>
      <c r="B127" s="25"/>
      <c r="C127" s="2"/>
      <c r="D127" s="2"/>
      <c r="E127" s="2"/>
      <c r="F127" s="2"/>
      <c r="G127" s="26"/>
      <c r="H127" s="25"/>
      <c r="I127" s="2"/>
      <c r="J127" s="2"/>
      <c r="K127" s="51"/>
      <c r="L127" s="25"/>
      <c r="M127" s="26"/>
      <c r="N127" s="5"/>
    </row>
    <row r="128" spans="1:14" ht="15.5" x14ac:dyDescent="0.35">
      <c r="A128" s="35"/>
      <c r="B128" s="24"/>
      <c r="C128" s="18"/>
      <c r="D128" s="18"/>
      <c r="E128" s="18"/>
      <c r="F128" s="18"/>
      <c r="G128" s="19"/>
      <c r="H128" s="24"/>
      <c r="I128" s="18"/>
      <c r="J128" s="18"/>
      <c r="K128" s="35"/>
      <c r="L128" s="24"/>
      <c r="M128" s="19"/>
      <c r="N128" s="5"/>
    </row>
    <row r="129" spans="1:14" ht="68.25" hidden="1" customHeight="1" x14ac:dyDescent="0.35">
      <c r="A129" s="43" t="s">
        <v>134</v>
      </c>
      <c r="B129" s="52" t="s">
        <v>135</v>
      </c>
      <c r="C129" s="8"/>
      <c r="D129" s="8"/>
      <c r="E129" s="8"/>
      <c r="F129" s="8"/>
      <c r="G129" s="10"/>
      <c r="H129" s="52" t="s">
        <v>136</v>
      </c>
      <c r="I129" s="8"/>
      <c r="J129" s="8"/>
      <c r="K129" s="10"/>
      <c r="L129" s="53"/>
      <c r="M129" s="10"/>
      <c r="N129" s="5"/>
    </row>
    <row r="130" spans="1:14" ht="46.5" x14ac:dyDescent="0.35">
      <c r="A130" s="43" t="s">
        <v>137</v>
      </c>
      <c r="B130" s="52" t="s">
        <v>138</v>
      </c>
      <c r="C130" s="8"/>
      <c r="D130" s="8"/>
      <c r="E130" s="8"/>
      <c r="F130" s="8"/>
      <c r="G130" s="10"/>
      <c r="H130" s="52" t="s">
        <v>139</v>
      </c>
      <c r="I130" s="8"/>
      <c r="J130" s="8"/>
      <c r="K130" s="10"/>
      <c r="L130" s="53">
        <v>0.25</v>
      </c>
      <c r="M130" s="10"/>
      <c r="N130" s="5"/>
    </row>
    <row r="131" spans="1:14" ht="31" hidden="1" x14ac:dyDescent="0.35">
      <c r="A131" s="43" t="s">
        <v>140</v>
      </c>
      <c r="B131" s="54" t="s">
        <v>141</v>
      </c>
      <c r="C131" s="8"/>
      <c r="D131" s="8"/>
      <c r="E131" s="8"/>
      <c r="F131" s="8"/>
      <c r="G131" s="10"/>
      <c r="H131" s="52" t="s">
        <v>142</v>
      </c>
      <c r="I131" s="8"/>
      <c r="J131" s="8"/>
      <c r="K131" s="10"/>
      <c r="L131" s="53"/>
      <c r="M131" s="10"/>
      <c r="N131" s="5"/>
    </row>
    <row r="132" spans="1:14" ht="15.5" x14ac:dyDescent="0.35">
      <c r="A132" s="44" t="s">
        <v>143</v>
      </c>
      <c r="B132" s="8"/>
      <c r="C132" s="8"/>
      <c r="D132" s="8"/>
      <c r="E132" s="8"/>
      <c r="F132" s="8"/>
      <c r="G132" s="8"/>
      <c r="H132" s="8"/>
      <c r="I132" s="8"/>
      <c r="J132" s="8"/>
      <c r="K132" s="8"/>
      <c r="L132" s="8"/>
      <c r="M132" s="10"/>
      <c r="N132" s="5"/>
    </row>
    <row r="133" spans="1:14" ht="15.5" x14ac:dyDescent="0.35">
      <c r="A133" s="55" t="s">
        <v>144</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6" t="s">
        <v>145</v>
      </c>
      <c r="B135" s="10"/>
      <c r="C135" s="57">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6" t="s">
        <v>146</v>
      </c>
      <c r="B137" s="10"/>
      <c r="C137" s="9" t="str">
        <f>E15</f>
        <v>Ș. l. dr. ing Florin-Cătălin Brăescu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8" t="s">
        <v>147</v>
      </c>
      <c r="B139" s="15"/>
      <c r="C139" s="9" t="str">
        <f t="shared" ref="C139:C141" si="0">E17</f>
        <v>Drd. asist. ing. Rareș Crăciun</v>
      </c>
      <c r="D139" s="8"/>
      <c r="E139" s="8"/>
      <c r="F139" s="8"/>
      <c r="G139" s="10"/>
      <c r="H139" s="9">
        <f t="shared" ref="H139:H141" si="1">E20</f>
        <v>0</v>
      </c>
      <c r="I139" s="8"/>
      <c r="J139" s="8"/>
      <c r="K139" s="8"/>
      <c r="L139" s="8"/>
      <c r="M139" s="10"/>
      <c r="N139" s="5"/>
    </row>
    <row r="140" spans="1:14" ht="32.25" customHeight="1" x14ac:dyDescent="0.35">
      <c r="A140" s="25"/>
      <c r="B140" s="26"/>
      <c r="C140" s="9" t="str">
        <f t="shared" si="0"/>
        <v>Ing. Radu Cosmin Hobincă</v>
      </c>
      <c r="D140" s="8"/>
      <c r="E140" s="8"/>
      <c r="F140" s="8"/>
      <c r="G140" s="10"/>
      <c r="H140" s="9">
        <f t="shared" si="1"/>
        <v>0</v>
      </c>
      <c r="I140" s="8"/>
      <c r="J140" s="8"/>
      <c r="K140" s="8"/>
      <c r="L140" s="8"/>
      <c r="M140" s="10"/>
      <c r="N140" s="5"/>
    </row>
    <row r="141" spans="1:14" ht="32.25" customHeight="1" x14ac:dyDescent="0.35">
      <c r="A141" s="24"/>
      <c r="B141" s="19"/>
      <c r="C141" s="9" t="str">
        <f t="shared" si="0"/>
        <v>Ing. Ana Maria Prisăcariu</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6" t="s">
        <v>148</v>
      </c>
      <c r="B143" s="10"/>
      <c r="C143" s="59">
        <f>[1]Date!C29</f>
        <v>45915</v>
      </c>
      <c r="D143" s="10"/>
      <c r="E143" s="56" t="s">
        <v>149</v>
      </c>
      <c r="F143" s="8"/>
      <c r="G143" s="10"/>
      <c r="H143" s="60" t="str">
        <f>[1]Date!C31</f>
        <v>Conf.dr.ing. Mihai POSTOLACHE</v>
      </c>
      <c r="I143" s="8"/>
      <c r="J143" s="8"/>
      <c r="K143" s="8"/>
      <c r="L143" s="8"/>
      <c r="M143" s="10"/>
      <c r="N143" s="5"/>
    </row>
    <row r="144" spans="1:14" ht="21.75" customHeight="1" x14ac:dyDescent="0.35">
      <c r="A144" s="61"/>
      <c r="B144" s="61"/>
      <c r="C144" s="62"/>
      <c r="D144" s="62"/>
      <c r="E144" s="61"/>
      <c r="F144" s="61"/>
      <c r="G144" s="61"/>
      <c r="H144" s="62"/>
      <c r="I144" s="62"/>
      <c r="J144" s="62"/>
      <c r="K144" s="62"/>
      <c r="L144" s="62"/>
      <c r="M144" s="62"/>
      <c r="N144" s="5"/>
    </row>
    <row r="145" spans="1:14" ht="28.5" customHeight="1" x14ac:dyDescent="0.35">
      <c r="A145" s="56" t="s">
        <v>150</v>
      </c>
      <c r="B145" s="10"/>
      <c r="C145" s="59">
        <f>[1]Date!C30</f>
        <v>45918</v>
      </c>
      <c r="D145" s="10"/>
      <c r="E145" s="56" t="s">
        <v>151</v>
      </c>
      <c r="F145" s="8"/>
      <c r="G145" s="10"/>
      <c r="H145" s="60" t="str">
        <f>[1]Date!C32</f>
        <v>Prof.univ.dr.ing. Adrian BURLACU</v>
      </c>
      <c r="I145" s="8"/>
      <c r="J145" s="8"/>
      <c r="K145" s="8"/>
      <c r="L145" s="8"/>
      <c r="M145" s="10"/>
      <c r="N145" s="5"/>
    </row>
  </sheetData>
  <mergeCells count="254">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8"/>
    <mergeCell ref="K126:K128"/>
    <mergeCell ref="L126:M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2026-03-01T09:09:55Z</dcterms:created>
  <dcterms:modified xsi:type="dcterms:W3CDTF">2026-03-01T09:09:59Z</dcterms:modified>
</cp:coreProperties>
</file>