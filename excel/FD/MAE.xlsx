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3BB91245-4C52-4E4A-8418-20CB3B1DC20D}" xr6:coauthVersionLast="47" xr6:coauthVersionMax="47" xr10:uidLastSave="{00000000-0000-0000-0000-000000000000}"/>
  <bookViews>
    <workbookView xWindow="-110" yWindow="-110" windowWidth="25820" windowHeight="15500" xr2:uid="{6E12E171-86D2-4092-8425-B25179E980E2}"/>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E13" i="1" l="1" a="1"/>
  <c r="E13" i="1" s="1"/>
  <c r="G26" i="1" a="1"/>
  <c r="G26" i="1" s="1"/>
  <c r="G27" i="1" s="1"/>
  <c r="E14" i="1" a="1"/>
  <c r="E14" i="1" s="1"/>
  <c r="I26" i="1" a="1"/>
  <c r="I26" i="1" s="1"/>
  <c r="I27" i="1" s="1"/>
  <c r="M14" i="1" a="1"/>
  <c r="M14" i="1" s="1"/>
  <c r="K26" i="1" a="1"/>
  <c r="K26" i="1" s="1"/>
  <c r="K27"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A45813E8-FDDA-4937-8659-0327A400CEFA}">
      <text>
        <r>
          <rPr>
            <sz val="10"/>
            <color rgb="FF000000"/>
            <rFont val="Aptos Narrow"/>
            <scheme val="minor"/>
          </rPr>
          <t>Pondere din nota de la E / V</t>
        </r>
      </text>
    </comment>
    <comment ref="K127" authorId="0" shapeId="0" xr:uid="{1E430C1B-ADA5-4902-988C-70653392CCE9}">
      <text>
        <r>
          <rPr>
            <sz val="10"/>
            <color rgb="FF000000"/>
            <rFont val="Aptos Narrow"/>
            <scheme val="minor"/>
          </rPr>
          <t>Pondere din nota de la E / V</t>
        </r>
      </text>
    </comment>
    <comment ref="K128" authorId="0" shapeId="0" xr:uid="{55893A09-9D42-4B2A-991E-44D5820C7EE7}">
      <text>
        <r>
          <rPr>
            <sz val="10"/>
            <color rgb="FF000000"/>
            <rFont val="Aptos Narrow"/>
            <scheme val="minor"/>
          </rPr>
          <t>Pondere din nota de la E / V</t>
        </r>
      </text>
    </comment>
  </commentList>
</comments>
</file>

<file path=xl/sharedStrings.xml><?xml version="1.0" encoding="utf-8"?>
<sst xmlns="http://schemas.openxmlformats.org/spreadsheetml/2006/main" count="229" uniqueCount="151">
  <si>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</si>
  <si>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</si>
  <si>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</si>
  <si>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</si>
  <si>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</si>
  <si>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</si>
  <si>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</si>
  <si>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</si>
  <si>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</si>
  <si>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</si>
  <si>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</si>
  <si>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</si>
  <si>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</si>
  <si>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Mașini și acționări electrice</t>
  </si>
  <si>
    <t>(în limba engleză, conform Suplimentului la diplomă)</t>
  </si>
  <si>
    <t>2.1.2. Codul disciplinei</t>
  </si>
  <si>
    <t xml:space="preserve">2.1.3. Categoria formativă </t>
  </si>
  <si>
    <t>2.2 Titularul / titularii activităţilor de curs</t>
  </si>
  <si>
    <t xml:space="preserve">Prof. dr. ing. Constantin-Cătălin Dosoftei								</t>
  </si>
  <si>
    <t>2.3 Titularul / titularii activităţilor de aplicaţii (S, L, P, Pr)</t>
  </si>
  <si>
    <t>Conf dr. ing. Lucian Mastacan</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</si>
  <si>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</si>
  <si>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</si>
  <si>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</si>
  <si>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</si>
  <si>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</si>
  <si>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</si>
  <si>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</si>
  <si>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</si>
  <si>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</si>
  <si>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</si>
  <si>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</si>
  <si>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</si>
  <si>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</si>
  <si>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</si>
  <si>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</si>
  <si>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</si>
  <si>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</si>
  <si>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</si>
  <si>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</si>
  <si>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</si>
  <si>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</si>
  <si>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</si>
  <si>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</si>
  <si>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</si>
  <si>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</si>
  <si>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</si>
  <si>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</si>
  <si>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</si>
  <si>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</si>
  <si>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</si>
  <si>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</si>
  <si>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</si>
  <si>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</si>
  <si>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Videoproiector, tablă</t>
  </si>
  <si>
    <t>5.2 de desfăşurare a seminarului / laboratorului / proiectului</t>
  </si>
  <si>
    <t>Tablă inteligentă, videoproiector, standuri de laborator, ochelari de Realitate mixtă</t>
  </si>
  <si>
    <t>6. Obiectivul general al disciplinei</t>
  </si>
  <si>
    <t>Dobândirea cunoștințelor teoretice și practice necesare pentru înțelegerea principiilor de funcționare, a structurii și a caracteristicilor mașinilor electrice, precum și pentru analiza și proiectarea sistemelor de acționare electrică utilizate în automatizări industriale.</t>
  </si>
  <si>
    <t>7. Rezultatele învățării</t>
  </si>
  <si>
    <t>Cunoștințe</t>
  </si>
  <si>
    <t>Studentul / Absolventul:</t>
  </si>
  <si>
    <t>- Definește principiile de funcționare și clasificarea mașinilor electrice; identifică componentele și rolul fiecăruia în structura generală a unui sistem de acționare electrică; compară structura de control între sistemele de acționare nereglabile și cele reglabile
- Explică principiile de funcționare și clasificarea dispozitivelor semiconductoare de putere; prezintă structura și modul de operare al convertoarelor electronice de putere; identifică tipurile de convertoare frecvent utilizate în sistemele de acționare electrică
- Ilustrează structura și funcționarea diferitelor tipuri de traductoare utilizate în cadrul sistemelor de acționare electrică
- Interpretează caracteristicile cinematice ale acționărilor electrice (viteze, accelerații, traiectorii) și prezintă modelarea matematică a acestora
- Descrie caracteristicile și principalele regimuri de funcționare ale maşinilor de lucru (pornire, regim permanent, sarcină variabilă, frânare); caracterizează regimurile de lucru ale sistemelor de acționare electrică (continuu, intermitent, ciclic)
- Recunoaște fenomenele de bază în funcționarea maşinilor electrice
- Analizează construcţia şi principiile de funcţionare ale maşinilor de curent continuu şi ale maşinilor asincrone; interpretează ecuaţiile în regim staţionar şi tranzitoriu, repartizarea câmpurilor magnetice şi tensiunile electromotoare în maşinile asincrone; compară caracteristicile de viteză-cuplu şi performanţele sistemelor de acţionare cu motoare de c.c. versus asincrone
- Expune funcționarea mașinii sincrone ca generator și motor și metodele de reglare a vitezei; modelează matematic și caracterizează tehnic motoarele fără perii cu magneți permanenți și reglarea acestora; rezumă principiile constructive și de funcționare ale motoarelor cu reluctanță variabilă
- Descrie elementele constructive de bază ale maşinilor electrice şi modul în care se repartizează câmpul magnetic în întrefierul acestora</t>
  </si>
  <si>
    <t>Aptitudini</t>
  </si>
  <si>
    <t>- Argumentează prezența dispozitivelor de protecție dintr-o schemă de comandă a unui motor asincron trifazat
- Descoperă elementele constructive ale maşinilor electrice și tipurile de înfășurări ale maşinilor de curent continuu și alternativ
- Explică funcţionarea fiecărui tip de redresor descris în referat, argumentând formele de undă şi justificând regimurile de funcţionare
- Testează și experimentează tehnicile şi principiile care stau la baza conversiei continuu–continuu, a conversiei continuu–alternativ precum și a invertoarelor PWM de tensiune
- Modelează funcționarea mașinilor de curent continuu și asincrone
- Utilizează relațiile de calcul pentru determinarea parametrilor motorului asincron trifazat pe baza datelor de pe eticheta motorului
- Aplică metodele descrise în referatele de laborator pentru studiul funcționării mașinilor de curent continuu și asincrone, implementând structuri de reglare în cascadă pentru motoarele de c.c. și scheme de reglare a vitezei prin convertoare statice de frecvență pentru motoare de c.a.
- Efectuează modificări ale diverșilor parametri de funcționare ai convertorului static de frecvență LS-IC5 pentru a putea controla funcționarea motorului asincron trifazat</t>
  </si>
  <si>
    <t>Responsabilitate și autonomie</t>
  </si>
  <si>
    <t>- Demonstrează spirit de inițiativă în identificarea și integrarea celor mai recente tehnologii și metodologii în domeniul acționărilor electrice, actualizând continuu cunoștințele profesionale, economice și culturale relevante
- adoptă o conduită responsabilă în utilizarea sistemelor de acționare electrică, respectând legislația și normele profesionale pentru a menține integritatea și reputația domeniului</t>
  </si>
  <si>
    <t xml:space="preserve">8. Metode de predare </t>
  </si>
  <si>
    <t>Expunere prin prezentare cu videoproiector și aprofundare prin discuții marcate pe tablă. Stimularea unui dialog permanent cu studenții.</t>
  </si>
  <si>
    <t>9. Conţinuturi</t>
  </si>
  <si>
    <t>9.1. Curs</t>
  </si>
  <si>
    <t>Metode de predare</t>
  </si>
  <si>
    <t>Timp alocat</t>
  </si>
  <si>
    <t>1</t>
  </si>
  <si>
    <t xml:space="preserve">Aspecte generale referitoare la mașini și acționări electrice </t>
  </si>
  <si>
    <t>2 ore</t>
  </si>
  <si>
    <t>2</t>
  </si>
  <si>
    <t>Structura generală a sistemelor de acționare nereglabile / reglabile</t>
  </si>
  <si>
    <t>3</t>
  </si>
  <si>
    <t>Convertoare electronice de putere</t>
  </si>
  <si>
    <t>4</t>
  </si>
  <si>
    <t>Traductoare utilizate în cadrul sistemelor de acționare electrică</t>
  </si>
  <si>
    <t>5</t>
  </si>
  <si>
    <t>Cinematica şi dinamica acţionărilor electrice</t>
  </si>
  <si>
    <t>6</t>
  </si>
  <si>
    <t>Regimuri de lucru ale sistemelor de acţionare</t>
  </si>
  <si>
    <t>7</t>
  </si>
  <si>
    <t>Fenomene de bază în funcţionarea maşinilor electrice</t>
  </si>
  <si>
    <t>8</t>
  </si>
  <si>
    <t>Fenomene de bază în cadrul maşinilor de curent
alternativ</t>
  </si>
  <si>
    <t>9</t>
  </si>
  <si>
    <t>Sisteme de acţionare cu motoare de curent continuu</t>
  </si>
  <si>
    <t>10</t>
  </si>
  <si>
    <t>Reglarea vitezei sistemelor de acţionare cu motoare de c.c.</t>
  </si>
  <si>
    <t>11</t>
  </si>
  <si>
    <t>Sisteme de acţionare cu motoare asincrone</t>
  </si>
  <si>
    <t>12</t>
  </si>
  <si>
    <t>Reglarea vitezei sistemelor de acţionare cu motoare de inducţie</t>
  </si>
  <si>
    <t>13</t>
  </si>
  <si>
    <t>Maşini şi sisteme de acţionare cu motoare sincrone</t>
  </si>
  <si>
    <t>14</t>
  </si>
  <si>
    <t>Sisteme de acţionare cu motoare fără perii</t>
  </si>
  <si>
    <t xml:space="preserve">Bibliografie curs:
1. Boțan C., Dosoftei C., Maşini şi acţionări electrice, Ed. Politehnium, Iași, 2019. 
2. Diaconescu M., Graur I., Convertoare statice, elemente de proiectare, aplicaţii, Ed. Gh. Asachi, Iaşi, 1996.
3. Mohan N., Electric Drives, MNPERE, Minneapolis, 2003.
4. Mirafzal B., Power Electronics in Energy Conversion Systems, McGraw-Hill, New York, 2022.
</t>
  </si>
  <si>
    <t>9.2a Seminar</t>
  </si>
  <si>
    <t>Metode de lucru</t>
  </si>
  <si>
    <t>9.2b Laborator</t>
  </si>
  <si>
    <t>Introducere în sistemele de acționare electrică (elemente de securitate și sănătate în muncă, componentele unui sistem de actionare electric)</t>
  </si>
  <si>
    <t>- expunerea noțiunilor teoretice și a materialelor suport necesare desfășurării lucrărilor.
- realizarea de demonstrații practice și experimente pe echipamente dedicate.
- discuții aplicate pe baza materialelor și orientarea studenților în efectuarea lucrărilor.
- Activități individuale și în echipă pentru rezolvarea sarcinilor și întocmirea referatelor de laborator.</t>
  </si>
  <si>
    <t xml:space="preserve">Aparataj electric utilizat în protecția și controlul motoarelor </t>
  </si>
  <si>
    <t>Eplan - Software specializat pentru proiectarea schemelor
electrice</t>
  </si>
  <si>
    <t>Elemente constructive ale maşinilor electrice</t>
  </si>
  <si>
    <t>Tipurile de înfășurări ale maşinilor de curent continuu/ de curent alternativ</t>
  </si>
  <si>
    <t>Redresoare comandate. Structura monofazata în punte cu tiristoare B2</t>
  </si>
  <si>
    <t>Conversia c.c – c.c şi conversia c.c. – c.a. Invertoare PWM</t>
  </si>
  <si>
    <t>Studiul funcţionării maşinilor de curent continuu</t>
  </si>
  <si>
    <t>Studiul de reglării în cascadă a vitezei motoarelor de curent continuu</t>
  </si>
  <si>
    <t>Studiul caracteristicilor mecanice ale motorului asincron</t>
  </si>
  <si>
    <t>Reglarea vitezei motoarelor de curent alternativ folosind convertoare statice de frecvență</t>
  </si>
  <si>
    <t xml:space="preserve">Rezolvare problemei de calcul a parametrilor motorului asincron trifazat plecând de la eticheta motoarelor din laborator </t>
  </si>
  <si>
    <t>Explorarea acționărilor electrice ale robotului ABB IRB 1300 prin geamăn digital și interacțiune XR (HoloLens 2)</t>
  </si>
  <si>
    <t>Recuperări laboratoare absente; lămuriri suplimentare studenților care au astfel de solicitări</t>
  </si>
  <si>
    <t>9.2c Proiect</t>
  </si>
  <si>
    <t>Bibliografie aplicaţii (seminar / laborator / proiect):
1. Boțan C., Dosoftei C., Maşini şi acţionări electrice, Ed. Politehnium, Iași, 2019. 
2. Ioniță M., Năstase M., Ionescu V., Acționări electrice și electronice ale motorului electric – Îndrumar de laborator, Ed. Conspress, București, 2012.
3. Preindl M., Zhou L., Software-Defined Power Electronics, Springer, Cham, 2024
4. ABB Robotics – Product Manual IRB 1300 (3 variants: 7/0.7, 10/0.9, 11/0.9), ABB Robotics, Sweden, 2021.</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</si>
  <si>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</si>
  <si>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</si>
  <si>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</si>
  <si>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</si>
  <si>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</si>
  <si>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</si>
  <si>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</si>
  <si>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</si>
  <si>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</si>
  <si>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 test de evaluare sumativ (verificare finală).</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</si>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</sst>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DC230-25F8-46CD-A81A-15F3C1D0CA82}">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Electrical Machines and Drive Systems</v>
      </c>
      <c r="F13" s="18"/>
      <c r="G13" s="18"/>
      <c r="H13" s="18"/>
      <c r="I13" s="18"/>
      <c r="J13" s="18"/>
      <c r="K13" s="18"/>
      <c r="L13" s="18"/>
      <c r="M13" s="19"/>
      <c r="N13" s="5"/>
    </row>
    <row r="14" spans="1:14" ht="15.5" x14ac:dyDescent="0.35">
      <c r="A14" s="7" t="s">
        <v>15</v>
      </c>
      <c r="B14" s="8"/>
      <c r="C14" s="8"/>
      <c r="D14" s="10"/>
      <c r="E14" s="21" t="str">
        <f t="array" aca="1" ref="E14" ca="1">INDEX([1]Date!E8:E21, MATCH(E12,[1]Date!C8:C21,0),0)</f>
        <v>A312</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3</v>
      </c>
      <c r="D23" s="28" t="s">
        <v>22</v>
      </c>
      <c r="E23" s="27">
        <f t="array" aca="1" ref="E23" ca="1">INDEX([1]Date!A8:A21, MATCH(E12,[1]Date!C8:C21,0),0)</f>
        <v>1</v>
      </c>
      <c r="F23" s="29" t="s">
        <v>23</v>
      </c>
      <c r="G23" s="8"/>
      <c r="H23" s="10"/>
      <c r="I23" s="22" t="str">
        <f t="array" aca="1" ref="I23" ca="1">INDEX([1]Date!M8:M21, MATCH(E12,[1]Date!C8:C21,0),0)</f>
        <v>E</v>
      </c>
      <c r="J23" s="29" t="s">
        <v>24</v>
      </c>
      <c r="K23" s="8"/>
      <c r="L23" s="10"/>
      <c r="M23" s="27" t="str">
        <f t="array" aca="1" ref="M23" ca="1">INDEX([1]Date!F8:F21, MATCH(E12,[1]Date!C8:C21,0),0)</f>
        <v>DO</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31">
        <f ca="1">SUM(E26+G26+I26+K26)</f>
        <v>4</v>
      </c>
      <c r="D26" s="28" t="s">
        <v>27</v>
      </c>
      <c r="E26" s="27">
        <f t="array" aca="1" ref="E26" ca="1">INDEX([1]Date!H8:H21, MATCH(E12,[1]Date!C8:C21,0),0)</f>
        <v>2</v>
      </c>
      <c r="F26" s="28" t="s">
        <v>28</v>
      </c>
      <c r="G26" s="27">
        <f t="array" aca="1" ref="G26" ca="1">INDEX([1]Date!I8:I21, MATCH(E12,[1]Date!C8:C21,0),0)</f>
        <v>0</v>
      </c>
      <c r="H26" s="28" t="s">
        <v>29</v>
      </c>
      <c r="I26" s="31">
        <f t="array" aca="1" ref="I26" ca="1">INDEX([1]Date!J8:J21, MATCH(E12,[1]Date!C8:C21,0),0)</f>
        <v>2</v>
      </c>
      <c r="J26" s="28" t="s">
        <v>30</v>
      </c>
      <c r="K26" s="27">
        <f t="array" aca="1" ref="K26" ca="1">INDEX([1]Date!K8:K21, MATCH(E12,[1]Date!C8:C21,0),0)</f>
        <v>0</v>
      </c>
      <c r="L26" s="7" t="s">
        <v>31</v>
      </c>
      <c r="M26" s="10"/>
      <c r="N26" s="30"/>
    </row>
    <row r="27" spans="1:14" ht="31" x14ac:dyDescent="0.35">
      <c r="A27" s="7" t="s">
        <v>32</v>
      </c>
      <c r="B27" s="10"/>
      <c r="C27" s="27">
        <f ca="1">C26*14</f>
        <v>56</v>
      </c>
      <c r="D27" s="28" t="s">
        <v>33</v>
      </c>
      <c r="E27" s="27">
        <f ca="1">E26*14</f>
        <v>28</v>
      </c>
      <c r="F27" s="28" t="s">
        <v>34</v>
      </c>
      <c r="G27" s="27">
        <f ca="1">G26*14</f>
        <v>0</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2">
        <v>25</v>
      </c>
      <c r="N29" s="5"/>
    </row>
    <row r="30" spans="1:14" ht="15.5" x14ac:dyDescent="0.35">
      <c r="A30" s="7" t="s">
        <v>41</v>
      </c>
      <c r="B30" s="8"/>
      <c r="C30" s="8"/>
      <c r="D30" s="8"/>
      <c r="E30" s="8"/>
      <c r="F30" s="8"/>
      <c r="G30" s="8"/>
      <c r="H30" s="8"/>
      <c r="I30" s="8"/>
      <c r="J30" s="8"/>
      <c r="K30" s="8"/>
      <c r="L30" s="10"/>
      <c r="M30" s="32">
        <v>23</v>
      </c>
      <c r="N30" s="5"/>
    </row>
    <row r="31" spans="1:14" ht="15.5" x14ac:dyDescent="0.35">
      <c r="A31" s="7" t="s">
        <v>42</v>
      </c>
      <c r="B31" s="8"/>
      <c r="C31" s="8"/>
      <c r="D31" s="8"/>
      <c r="E31" s="8"/>
      <c r="F31" s="8"/>
      <c r="G31" s="8"/>
      <c r="H31" s="8"/>
      <c r="I31" s="8"/>
      <c r="J31" s="8"/>
      <c r="K31" s="8"/>
      <c r="L31" s="10"/>
      <c r="M31" s="32">
        <v>21</v>
      </c>
      <c r="N31" s="5"/>
    </row>
    <row r="32" spans="1:14" ht="15.5" x14ac:dyDescent="0.35">
      <c r="A32" s="7" t="s">
        <v>43</v>
      </c>
      <c r="B32" s="8"/>
      <c r="C32" s="8"/>
      <c r="D32" s="8"/>
      <c r="E32" s="8"/>
      <c r="F32" s="8"/>
      <c r="G32" s="8"/>
      <c r="H32" s="8"/>
      <c r="I32" s="8"/>
      <c r="J32" s="8"/>
      <c r="K32" s="8"/>
      <c r="L32" s="10"/>
      <c r="M32" s="27">
        <f t="array" aca="1" ref="M32" ca="1">IF(INDEX([1]Date!M8:M21, MATCH(E12,[1]Date!C8:C21,0),0)="E",3,0)</f>
        <v>3</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INDEX([1]Date!L8:L21, MATCH(E12,[1]Date!C8:C21,0),0)</f>
        <v>69</v>
      </c>
      <c r="D34" s="5"/>
      <c r="E34" s="5"/>
      <c r="F34" s="5"/>
      <c r="G34" s="5"/>
      <c r="H34" s="5"/>
      <c r="I34" s="5"/>
      <c r="J34" s="5"/>
      <c r="K34" s="5"/>
      <c r="L34" s="5"/>
      <c r="M34" s="5"/>
      <c r="N34" s="5"/>
    </row>
    <row r="35" spans="1:14" ht="15.5" x14ac:dyDescent="0.35">
      <c r="A35" s="7" t="s">
        <v>46</v>
      </c>
      <c r="B35" s="10"/>
      <c r="C35" s="27">
        <f ca="1">C27+C34</f>
        <v>125</v>
      </c>
      <c r="D35" s="5"/>
      <c r="E35" s="5"/>
      <c r="F35" s="5"/>
      <c r="G35" s="5"/>
      <c r="H35" s="5"/>
      <c r="I35" s="5"/>
      <c r="J35" s="5"/>
      <c r="K35" s="5"/>
      <c r="L35" s="5"/>
      <c r="M35" s="5"/>
      <c r="N35" s="5"/>
    </row>
    <row r="36" spans="1:14" ht="15.5" x14ac:dyDescent="0.35">
      <c r="A36" s="7" t="s">
        <v>47</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240.75" customHeight="1"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5.5" x14ac:dyDescent="0.35">
      <c r="A53" s="35"/>
      <c r="B53" s="36" t="s">
        <v>64</v>
      </c>
      <c r="C53" s="8"/>
      <c r="D53" s="8"/>
      <c r="E53" s="8"/>
      <c r="F53" s="8"/>
      <c r="G53" s="8"/>
      <c r="H53" s="8"/>
      <c r="I53" s="8"/>
      <c r="J53" s="8"/>
      <c r="K53" s="8"/>
      <c r="L53" s="8"/>
      <c r="M53" s="10"/>
      <c r="N53" s="5"/>
    </row>
    <row r="54" spans="1:14" ht="18" customHeight="1" x14ac:dyDescent="0.35">
      <c r="A54" s="33" t="s">
        <v>65</v>
      </c>
      <c r="B54" s="34" t="s">
        <v>61</v>
      </c>
      <c r="C54" s="8"/>
      <c r="D54" s="8"/>
      <c r="E54" s="8"/>
      <c r="F54" s="8"/>
      <c r="G54" s="8"/>
      <c r="H54" s="8"/>
      <c r="I54" s="8"/>
      <c r="J54" s="8"/>
      <c r="K54" s="8"/>
      <c r="L54" s="8"/>
      <c r="M54" s="10"/>
      <c r="N54" s="5"/>
    </row>
    <row r="55" spans="1:14" ht="104.25" customHeight="1"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23" t="s">
        <v>74</v>
      </c>
      <c r="C62" s="8"/>
      <c r="D62" s="8"/>
      <c r="E62" s="8"/>
      <c r="F62" s="8"/>
      <c r="G62" s="10"/>
      <c r="H62" s="40" t="s">
        <v>68</v>
      </c>
      <c r="I62" s="14"/>
      <c r="J62" s="14"/>
      <c r="K62" s="15"/>
      <c r="L62" s="41" t="s">
        <v>75</v>
      </c>
      <c r="M62" s="10"/>
      <c r="N62" s="5"/>
    </row>
    <row r="63" spans="1:14" ht="15.5" x14ac:dyDescent="0.35">
      <c r="A63" s="39" t="s">
        <v>76</v>
      </c>
      <c r="B63" s="23" t="s">
        <v>77</v>
      </c>
      <c r="C63" s="8"/>
      <c r="D63" s="8"/>
      <c r="E63" s="8"/>
      <c r="F63" s="8"/>
      <c r="G63" s="10"/>
      <c r="H63" s="25"/>
      <c r="I63" s="2"/>
      <c r="J63" s="2"/>
      <c r="K63" s="26"/>
      <c r="L63" s="41" t="s">
        <v>75</v>
      </c>
      <c r="M63" s="10"/>
      <c r="N63" s="5"/>
    </row>
    <row r="64" spans="1:14" ht="15.5" x14ac:dyDescent="0.35">
      <c r="A64" s="39" t="s">
        <v>78</v>
      </c>
      <c r="B64" s="23" t="s">
        <v>79</v>
      </c>
      <c r="C64" s="8"/>
      <c r="D64" s="8"/>
      <c r="E64" s="8"/>
      <c r="F64" s="8"/>
      <c r="G64" s="10"/>
      <c r="H64" s="25"/>
      <c r="I64" s="2"/>
      <c r="J64" s="2"/>
      <c r="K64" s="26"/>
      <c r="L64" s="41" t="s">
        <v>75</v>
      </c>
      <c r="M64" s="10"/>
      <c r="N64" s="5"/>
    </row>
    <row r="65" spans="1:14" ht="15.5" x14ac:dyDescent="0.35">
      <c r="A65" s="39" t="s">
        <v>80</v>
      </c>
      <c r="B65" s="23" t="s">
        <v>81</v>
      </c>
      <c r="C65" s="8"/>
      <c r="D65" s="8"/>
      <c r="E65" s="8"/>
      <c r="F65" s="8"/>
      <c r="G65" s="10"/>
      <c r="H65" s="25"/>
      <c r="I65" s="2"/>
      <c r="J65" s="2"/>
      <c r="K65" s="26"/>
      <c r="L65" s="41" t="s">
        <v>75</v>
      </c>
      <c r="M65" s="10"/>
      <c r="N65" s="5"/>
    </row>
    <row r="66" spans="1:14" ht="15.5" x14ac:dyDescent="0.35">
      <c r="A66" s="39" t="s">
        <v>82</v>
      </c>
      <c r="B66" s="23" t="s">
        <v>83</v>
      </c>
      <c r="C66" s="8"/>
      <c r="D66" s="8"/>
      <c r="E66" s="8"/>
      <c r="F66" s="8"/>
      <c r="G66" s="10"/>
      <c r="H66" s="25"/>
      <c r="I66" s="2"/>
      <c r="J66" s="2"/>
      <c r="K66" s="26"/>
      <c r="L66" s="41" t="s">
        <v>75</v>
      </c>
      <c r="M66" s="10"/>
      <c r="N66" s="5"/>
    </row>
    <row r="67" spans="1:14" ht="15.5" x14ac:dyDescent="0.35">
      <c r="A67" s="39" t="s">
        <v>84</v>
      </c>
      <c r="B67" s="23" t="s">
        <v>85</v>
      </c>
      <c r="C67" s="8"/>
      <c r="D67" s="8"/>
      <c r="E67" s="8"/>
      <c r="F67" s="8"/>
      <c r="G67" s="10"/>
      <c r="H67" s="25"/>
      <c r="I67" s="2"/>
      <c r="J67" s="2"/>
      <c r="K67" s="26"/>
      <c r="L67" s="41" t="s">
        <v>75</v>
      </c>
      <c r="M67" s="10"/>
      <c r="N67" s="5"/>
    </row>
    <row r="68" spans="1:14" ht="15.5" x14ac:dyDescent="0.35">
      <c r="A68" s="39" t="s">
        <v>86</v>
      </c>
      <c r="B68" s="23" t="s">
        <v>87</v>
      </c>
      <c r="C68" s="8"/>
      <c r="D68" s="8"/>
      <c r="E68" s="8"/>
      <c r="F68" s="8"/>
      <c r="G68" s="10"/>
      <c r="H68" s="25"/>
      <c r="I68" s="2"/>
      <c r="J68" s="2"/>
      <c r="K68" s="26"/>
      <c r="L68" s="41" t="s">
        <v>75</v>
      </c>
      <c r="M68" s="10"/>
      <c r="N68" s="5"/>
    </row>
    <row r="69" spans="1:14" ht="15.5" x14ac:dyDescent="0.35">
      <c r="A69" s="39" t="s">
        <v>88</v>
      </c>
      <c r="B69" s="23" t="s">
        <v>89</v>
      </c>
      <c r="C69" s="8"/>
      <c r="D69" s="8"/>
      <c r="E69" s="8"/>
      <c r="F69" s="8"/>
      <c r="G69" s="10"/>
      <c r="H69" s="25"/>
      <c r="I69" s="2"/>
      <c r="J69" s="2"/>
      <c r="K69" s="26"/>
      <c r="L69" s="41" t="s">
        <v>75</v>
      </c>
      <c r="M69" s="10"/>
      <c r="N69" s="5"/>
    </row>
    <row r="70" spans="1:14" ht="15.5" x14ac:dyDescent="0.35">
      <c r="A70" s="39" t="s">
        <v>90</v>
      </c>
      <c r="B70" s="23" t="s">
        <v>91</v>
      </c>
      <c r="C70" s="8"/>
      <c r="D70" s="8"/>
      <c r="E70" s="8"/>
      <c r="F70" s="8"/>
      <c r="G70" s="10"/>
      <c r="H70" s="25"/>
      <c r="I70" s="2"/>
      <c r="J70" s="2"/>
      <c r="K70" s="26"/>
      <c r="L70" s="41" t="s">
        <v>75</v>
      </c>
      <c r="M70" s="10"/>
      <c r="N70" s="5"/>
    </row>
    <row r="71" spans="1:14" ht="15.5" x14ac:dyDescent="0.35">
      <c r="A71" s="39" t="s">
        <v>92</v>
      </c>
      <c r="B71" s="23" t="s">
        <v>93</v>
      </c>
      <c r="C71" s="8"/>
      <c r="D71" s="8"/>
      <c r="E71" s="8"/>
      <c r="F71" s="8"/>
      <c r="G71" s="10"/>
      <c r="H71" s="25"/>
      <c r="I71" s="2"/>
      <c r="J71" s="2"/>
      <c r="K71" s="26"/>
      <c r="L71" s="41" t="s">
        <v>75</v>
      </c>
      <c r="M71" s="10"/>
      <c r="N71" s="5"/>
    </row>
    <row r="72" spans="1:14" ht="15.5" x14ac:dyDescent="0.35">
      <c r="A72" s="39" t="s">
        <v>94</v>
      </c>
      <c r="B72" s="23" t="s">
        <v>95</v>
      </c>
      <c r="C72" s="8"/>
      <c r="D72" s="8"/>
      <c r="E72" s="8"/>
      <c r="F72" s="8"/>
      <c r="G72" s="10"/>
      <c r="H72" s="25"/>
      <c r="I72" s="2"/>
      <c r="J72" s="2"/>
      <c r="K72" s="26"/>
      <c r="L72" s="41" t="s">
        <v>75</v>
      </c>
      <c r="M72" s="10"/>
      <c r="N72" s="5"/>
    </row>
    <row r="73" spans="1:14" ht="15.5" x14ac:dyDescent="0.35">
      <c r="A73" s="39" t="s">
        <v>96</v>
      </c>
      <c r="B73" s="23" t="s">
        <v>97</v>
      </c>
      <c r="C73" s="8"/>
      <c r="D73" s="8"/>
      <c r="E73" s="8"/>
      <c r="F73" s="8"/>
      <c r="G73" s="10"/>
      <c r="H73" s="25"/>
      <c r="I73" s="2"/>
      <c r="J73" s="2"/>
      <c r="K73" s="26"/>
      <c r="L73" s="41" t="s">
        <v>75</v>
      </c>
      <c r="M73" s="10"/>
      <c r="N73" s="5"/>
    </row>
    <row r="74" spans="1:14" ht="15.5" x14ac:dyDescent="0.35">
      <c r="A74" s="39" t="s">
        <v>98</v>
      </c>
      <c r="B74" s="23" t="s">
        <v>99</v>
      </c>
      <c r="C74" s="8"/>
      <c r="D74" s="8"/>
      <c r="E74" s="8"/>
      <c r="F74" s="8"/>
      <c r="G74" s="10"/>
      <c r="H74" s="25"/>
      <c r="I74" s="2"/>
      <c r="J74" s="2"/>
      <c r="K74" s="26"/>
      <c r="L74" s="41" t="s">
        <v>75</v>
      </c>
      <c r="M74" s="10"/>
      <c r="N74" s="5"/>
    </row>
    <row r="75" spans="1:14" ht="15.5" x14ac:dyDescent="0.35">
      <c r="A75" s="39" t="s">
        <v>100</v>
      </c>
      <c r="B75" s="23" t="s">
        <v>101</v>
      </c>
      <c r="C75" s="8"/>
      <c r="D75" s="8"/>
      <c r="E75" s="8"/>
      <c r="F75" s="8"/>
      <c r="G75" s="10"/>
      <c r="H75" s="24"/>
      <c r="I75" s="18"/>
      <c r="J75" s="18"/>
      <c r="K75" s="19"/>
      <c r="L75" s="41" t="s">
        <v>75</v>
      </c>
      <c r="M75" s="10"/>
      <c r="N75" s="5"/>
    </row>
    <row r="76" spans="1:14" ht="84.75" customHeight="1" x14ac:dyDescent="0.35">
      <c r="A76" s="37" t="s">
        <v>102</v>
      </c>
      <c r="B76" s="8"/>
      <c r="C76" s="8"/>
      <c r="D76" s="8"/>
      <c r="E76" s="8"/>
      <c r="F76" s="8"/>
      <c r="G76" s="8"/>
      <c r="H76" s="8"/>
      <c r="I76" s="8"/>
      <c r="J76" s="8"/>
      <c r="K76" s="8"/>
      <c r="L76" s="8"/>
      <c r="M76" s="10"/>
      <c r="N76" s="5"/>
    </row>
    <row r="77" spans="1:14" ht="24.75" hidden="1" customHeight="1" x14ac:dyDescent="0.35">
      <c r="A77" s="38" t="s">
        <v>103</v>
      </c>
      <c r="B77" s="8"/>
      <c r="C77" s="8"/>
      <c r="D77" s="8"/>
      <c r="E77" s="8"/>
      <c r="F77" s="8"/>
      <c r="G77" s="10"/>
      <c r="H77" s="38" t="s">
        <v>104</v>
      </c>
      <c r="I77" s="8"/>
      <c r="J77" s="8"/>
      <c r="K77" s="10"/>
      <c r="L77" s="38" t="s">
        <v>72</v>
      </c>
      <c r="M77" s="10"/>
      <c r="N77" s="30"/>
    </row>
    <row r="78" spans="1:14" ht="15.5" hidden="1" x14ac:dyDescent="0.35">
      <c r="A78" s="39" t="s">
        <v>73</v>
      </c>
      <c r="B78" s="23"/>
      <c r="C78" s="8"/>
      <c r="D78" s="8"/>
      <c r="E78" s="8"/>
      <c r="F78" s="8"/>
      <c r="G78" s="10"/>
      <c r="H78" s="40"/>
      <c r="I78" s="14"/>
      <c r="J78" s="14"/>
      <c r="K78" s="15"/>
      <c r="L78" s="23"/>
      <c r="M78" s="10"/>
      <c r="N78" s="5"/>
    </row>
    <row r="79" spans="1:14" ht="15.5" hidden="1" x14ac:dyDescent="0.35">
      <c r="A79" s="39" t="s">
        <v>76</v>
      </c>
      <c r="B79" s="23"/>
      <c r="C79" s="8"/>
      <c r="D79" s="8"/>
      <c r="E79" s="8"/>
      <c r="F79" s="8"/>
      <c r="G79" s="10"/>
      <c r="H79" s="25"/>
      <c r="I79" s="2"/>
      <c r="J79" s="2"/>
      <c r="K79" s="26"/>
      <c r="L79" s="23"/>
      <c r="M79" s="10"/>
      <c r="N79" s="5"/>
    </row>
    <row r="80" spans="1:14" ht="15.5" hidden="1" x14ac:dyDescent="0.35">
      <c r="A80" s="39" t="s">
        <v>78</v>
      </c>
      <c r="B80" s="23"/>
      <c r="C80" s="8"/>
      <c r="D80" s="8"/>
      <c r="E80" s="8"/>
      <c r="F80" s="8"/>
      <c r="G80" s="10"/>
      <c r="H80" s="25"/>
      <c r="I80" s="2"/>
      <c r="J80" s="2"/>
      <c r="K80" s="26"/>
      <c r="L80" s="23"/>
      <c r="M80" s="10"/>
      <c r="N80" s="5"/>
    </row>
    <row r="81" spans="1:14" ht="15.5" hidden="1" x14ac:dyDescent="0.35">
      <c r="A81" s="39" t="s">
        <v>80</v>
      </c>
      <c r="B81" s="23"/>
      <c r="C81" s="8"/>
      <c r="D81" s="8"/>
      <c r="E81" s="8"/>
      <c r="F81" s="8"/>
      <c r="G81" s="10"/>
      <c r="H81" s="25"/>
      <c r="I81" s="2"/>
      <c r="J81" s="2"/>
      <c r="K81" s="26"/>
      <c r="L81" s="23"/>
      <c r="M81" s="10"/>
      <c r="N81" s="5"/>
    </row>
    <row r="82" spans="1:14" ht="15.5" hidden="1" x14ac:dyDescent="0.35">
      <c r="A82" s="39" t="s">
        <v>82</v>
      </c>
      <c r="B82" s="23"/>
      <c r="C82" s="8"/>
      <c r="D82" s="8"/>
      <c r="E82" s="8"/>
      <c r="F82" s="8"/>
      <c r="G82" s="10"/>
      <c r="H82" s="25"/>
      <c r="I82" s="2"/>
      <c r="J82" s="2"/>
      <c r="K82" s="26"/>
      <c r="L82" s="23"/>
      <c r="M82" s="10"/>
      <c r="N82" s="5"/>
    </row>
    <row r="83" spans="1:14" ht="15.5" hidden="1" x14ac:dyDescent="0.35">
      <c r="A83" s="39" t="s">
        <v>84</v>
      </c>
      <c r="B83" s="23"/>
      <c r="C83" s="8"/>
      <c r="D83" s="8"/>
      <c r="E83" s="8"/>
      <c r="F83" s="8"/>
      <c r="G83" s="10"/>
      <c r="H83" s="25"/>
      <c r="I83" s="2"/>
      <c r="J83" s="2"/>
      <c r="K83" s="26"/>
      <c r="L83" s="23"/>
      <c r="M83" s="10"/>
      <c r="N83" s="5"/>
    </row>
    <row r="84" spans="1:14" ht="15.5" hidden="1" x14ac:dyDescent="0.35">
      <c r="A84" s="39" t="s">
        <v>86</v>
      </c>
      <c r="B84" s="23"/>
      <c r="C84" s="8"/>
      <c r="D84" s="8"/>
      <c r="E84" s="8"/>
      <c r="F84" s="8"/>
      <c r="G84" s="10"/>
      <c r="H84" s="25"/>
      <c r="I84" s="2"/>
      <c r="J84" s="2"/>
      <c r="K84" s="26"/>
      <c r="L84" s="23"/>
      <c r="M84" s="10"/>
      <c r="N84" s="5"/>
    </row>
    <row r="85" spans="1:14" ht="15.5" hidden="1" x14ac:dyDescent="0.35">
      <c r="A85" s="39" t="s">
        <v>88</v>
      </c>
      <c r="B85" s="23"/>
      <c r="C85" s="8"/>
      <c r="D85" s="8"/>
      <c r="E85" s="8"/>
      <c r="F85" s="8"/>
      <c r="G85" s="10"/>
      <c r="H85" s="25"/>
      <c r="I85" s="2"/>
      <c r="J85" s="2"/>
      <c r="K85" s="26"/>
      <c r="L85" s="23"/>
      <c r="M85" s="10"/>
      <c r="N85" s="5"/>
    </row>
    <row r="86" spans="1:14" ht="15.5" hidden="1" x14ac:dyDescent="0.35">
      <c r="A86" s="39" t="s">
        <v>90</v>
      </c>
      <c r="B86" s="23"/>
      <c r="C86" s="8"/>
      <c r="D86" s="8"/>
      <c r="E86" s="8"/>
      <c r="F86" s="8"/>
      <c r="G86" s="10"/>
      <c r="H86" s="25"/>
      <c r="I86" s="2"/>
      <c r="J86" s="2"/>
      <c r="K86" s="26"/>
      <c r="L86" s="23"/>
      <c r="M86" s="10"/>
      <c r="N86" s="5"/>
    </row>
    <row r="87" spans="1:14" ht="15.5" hidden="1" x14ac:dyDescent="0.35">
      <c r="A87" s="39" t="s">
        <v>92</v>
      </c>
      <c r="B87" s="23"/>
      <c r="C87" s="8"/>
      <c r="D87" s="8"/>
      <c r="E87" s="8"/>
      <c r="F87" s="8"/>
      <c r="G87" s="10"/>
      <c r="H87" s="25"/>
      <c r="I87" s="2"/>
      <c r="J87" s="2"/>
      <c r="K87" s="26"/>
      <c r="L87" s="23"/>
      <c r="M87" s="10"/>
      <c r="N87" s="5"/>
    </row>
    <row r="88" spans="1:14" ht="15.5" hidden="1" x14ac:dyDescent="0.35">
      <c r="A88" s="39" t="s">
        <v>94</v>
      </c>
      <c r="B88" s="23"/>
      <c r="C88" s="8"/>
      <c r="D88" s="8"/>
      <c r="E88" s="8"/>
      <c r="F88" s="8"/>
      <c r="G88" s="10"/>
      <c r="H88" s="25"/>
      <c r="I88" s="2"/>
      <c r="J88" s="2"/>
      <c r="K88" s="26"/>
      <c r="L88" s="23"/>
      <c r="M88" s="10"/>
      <c r="N88" s="5"/>
    </row>
    <row r="89" spans="1:14" ht="15.5" hidden="1" x14ac:dyDescent="0.35">
      <c r="A89" s="39" t="s">
        <v>96</v>
      </c>
      <c r="B89" s="23"/>
      <c r="C89" s="8"/>
      <c r="D89" s="8"/>
      <c r="E89" s="8"/>
      <c r="F89" s="8"/>
      <c r="G89" s="10"/>
      <c r="H89" s="25"/>
      <c r="I89" s="2"/>
      <c r="J89" s="2"/>
      <c r="K89" s="26"/>
      <c r="L89" s="23"/>
      <c r="M89" s="10"/>
      <c r="N89" s="5"/>
    </row>
    <row r="90" spans="1:14" ht="15.5" hidden="1" x14ac:dyDescent="0.35">
      <c r="A90" s="39" t="s">
        <v>98</v>
      </c>
      <c r="B90" s="23"/>
      <c r="C90" s="8"/>
      <c r="D90" s="8"/>
      <c r="E90" s="8"/>
      <c r="F90" s="8"/>
      <c r="G90" s="10"/>
      <c r="H90" s="25"/>
      <c r="I90" s="2"/>
      <c r="J90" s="2"/>
      <c r="K90" s="26"/>
      <c r="L90" s="23"/>
      <c r="M90" s="10"/>
      <c r="N90" s="5"/>
    </row>
    <row r="91" spans="1:14" ht="15.5" hidden="1" x14ac:dyDescent="0.35">
      <c r="A91" s="39" t="s">
        <v>100</v>
      </c>
      <c r="B91" s="23"/>
      <c r="C91" s="8"/>
      <c r="D91" s="8"/>
      <c r="E91" s="8"/>
      <c r="F91" s="8"/>
      <c r="G91" s="10"/>
      <c r="H91" s="24"/>
      <c r="I91" s="18"/>
      <c r="J91" s="18"/>
      <c r="K91" s="19"/>
      <c r="L91" s="23"/>
      <c r="M91" s="10"/>
      <c r="N91" s="5"/>
    </row>
    <row r="92" spans="1:14" ht="24" customHeight="1" x14ac:dyDescent="0.35">
      <c r="A92" s="38" t="s">
        <v>105</v>
      </c>
      <c r="B92" s="8"/>
      <c r="C92" s="8"/>
      <c r="D92" s="8"/>
      <c r="E92" s="8"/>
      <c r="F92" s="8"/>
      <c r="G92" s="10"/>
      <c r="H92" s="38" t="s">
        <v>104</v>
      </c>
      <c r="I92" s="8"/>
      <c r="J92" s="8"/>
      <c r="K92" s="10"/>
      <c r="L92" s="38" t="s">
        <v>72</v>
      </c>
      <c r="M92" s="10"/>
      <c r="N92" s="30"/>
    </row>
    <row r="93" spans="1:14" ht="15.5" x14ac:dyDescent="0.35">
      <c r="A93" s="39" t="s">
        <v>73</v>
      </c>
      <c r="B93" s="23" t="s">
        <v>106</v>
      </c>
      <c r="C93" s="8"/>
      <c r="D93" s="8"/>
      <c r="E93" s="8"/>
      <c r="F93" s="8"/>
      <c r="G93" s="10"/>
      <c r="H93" s="42" t="s">
        <v>107</v>
      </c>
      <c r="I93" s="14"/>
      <c r="J93" s="14"/>
      <c r="K93" s="15"/>
      <c r="L93" s="41" t="s">
        <v>75</v>
      </c>
      <c r="M93" s="10"/>
      <c r="N93" s="5"/>
    </row>
    <row r="94" spans="1:14" ht="15.5" x14ac:dyDescent="0.35">
      <c r="A94" s="39" t="s">
        <v>76</v>
      </c>
      <c r="B94" s="23" t="s">
        <v>108</v>
      </c>
      <c r="C94" s="8"/>
      <c r="D94" s="8"/>
      <c r="E94" s="8"/>
      <c r="F94" s="8"/>
      <c r="G94" s="10"/>
      <c r="H94" s="25"/>
      <c r="I94" s="2"/>
      <c r="J94" s="2"/>
      <c r="K94" s="26"/>
      <c r="L94" s="41" t="s">
        <v>75</v>
      </c>
      <c r="M94" s="10"/>
      <c r="N94" s="5"/>
    </row>
    <row r="95" spans="1:14" ht="15.5" x14ac:dyDescent="0.35">
      <c r="A95" s="39" t="s">
        <v>78</v>
      </c>
      <c r="B95" s="23" t="s">
        <v>109</v>
      </c>
      <c r="C95" s="8"/>
      <c r="D95" s="8"/>
      <c r="E95" s="8"/>
      <c r="F95" s="8"/>
      <c r="G95" s="10"/>
      <c r="H95" s="25"/>
      <c r="I95" s="2"/>
      <c r="J95" s="2"/>
      <c r="K95" s="26"/>
      <c r="L95" s="41" t="s">
        <v>75</v>
      </c>
      <c r="M95" s="10"/>
      <c r="N95" s="5"/>
    </row>
    <row r="96" spans="1:14" ht="15.5" x14ac:dyDescent="0.35">
      <c r="A96" s="39" t="s">
        <v>80</v>
      </c>
      <c r="B96" s="23" t="s">
        <v>110</v>
      </c>
      <c r="C96" s="8"/>
      <c r="D96" s="8"/>
      <c r="E96" s="8"/>
      <c r="F96" s="8"/>
      <c r="G96" s="10"/>
      <c r="H96" s="25"/>
      <c r="I96" s="2"/>
      <c r="J96" s="2"/>
      <c r="K96" s="26"/>
      <c r="L96" s="41" t="s">
        <v>75</v>
      </c>
      <c r="M96" s="10"/>
      <c r="N96" s="5"/>
    </row>
    <row r="97" spans="1:14" ht="15.5" x14ac:dyDescent="0.35">
      <c r="A97" s="39" t="s">
        <v>82</v>
      </c>
      <c r="B97" s="23" t="s">
        <v>111</v>
      </c>
      <c r="C97" s="8"/>
      <c r="D97" s="8"/>
      <c r="E97" s="8"/>
      <c r="F97" s="8"/>
      <c r="G97" s="10"/>
      <c r="H97" s="25"/>
      <c r="I97" s="2"/>
      <c r="J97" s="2"/>
      <c r="K97" s="26"/>
      <c r="L97" s="41" t="s">
        <v>75</v>
      </c>
      <c r="M97" s="10"/>
      <c r="N97" s="5"/>
    </row>
    <row r="98" spans="1:14" ht="15.5" x14ac:dyDescent="0.35">
      <c r="A98" s="39" t="s">
        <v>84</v>
      </c>
      <c r="B98" s="23" t="s">
        <v>112</v>
      </c>
      <c r="C98" s="8"/>
      <c r="D98" s="8"/>
      <c r="E98" s="8"/>
      <c r="F98" s="8"/>
      <c r="G98" s="10"/>
      <c r="H98" s="25"/>
      <c r="I98" s="2"/>
      <c r="J98" s="2"/>
      <c r="K98" s="26"/>
      <c r="L98" s="41" t="s">
        <v>75</v>
      </c>
      <c r="M98" s="10"/>
      <c r="N98" s="5"/>
    </row>
    <row r="99" spans="1:14" ht="15.5" x14ac:dyDescent="0.35">
      <c r="A99" s="39" t="s">
        <v>86</v>
      </c>
      <c r="B99" s="23" t="s">
        <v>113</v>
      </c>
      <c r="C99" s="8"/>
      <c r="D99" s="8"/>
      <c r="E99" s="8"/>
      <c r="F99" s="8"/>
      <c r="G99" s="10"/>
      <c r="H99" s="25"/>
      <c r="I99" s="2"/>
      <c r="J99" s="2"/>
      <c r="K99" s="26"/>
      <c r="L99" s="41" t="s">
        <v>75</v>
      </c>
      <c r="M99" s="10"/>
      <c r="N99" s="5"/>
    </row>
    <row r="100" spans="1:14" ht="15.5" x14ac:dyDescent="0.35">
      <c r="A100" s="39" t="s">
        <v>88</v>
      </c>
      <c r="B100" s="23" t="s">
        <v>114</v>
      </c>
      <c r="C100" s="8"/>
      <c r="D100" s="8"/>
      <c r="E100" s="8"/>
      <c r="F100" s="8"/>
      <c r="G100" s="10"/>
      <c r="H100" s="25"/>
      <c r="I100" s="2"/>
      <c r="J100" s="2"/>
      <c r="K100" s="26"/>
      <c r="L100" s="41" t="s">
        <v>75</v>
      </c>
      <c r="M100" s="10"/>
      <c r="N100" s="5"/>
    </row>
    <row r="101" spans="1:14" ht="15.5" x14ac:dyDescent="0.35">
      <c r="A101" s="39" t="s">
        <v>90</v>
      </c>
      <c r="B101" s="23" t="s">
        <v>115</v>
      </c>
      <c r="C101" s="8"/>
      <c r="D101" s="8"/>
      <c r="E101" s="8"/>
      <c r="F101" s="8"/>
      <c r="G101" s="10"/>
      <c r="H101" s="25"/>
      <c r="I101" s="2"/>
      <c r="J101" s="2"/>
      <c r="K101" s="26"/>
      <c r="L101" s="41" t="s">
        <v>75</v>
      </c>
      <c r="M101" s="10"/>
      <c r="N101" s="5"/>
    </row>
    <row r="102" spans="1:14" ht="15.5" x14ac:dyDescent="0.35">
      <c r="A102" s="39" t="s">
        <v>92</v>
      </c>
      <c r="B102" s="23" t="s">
        <v>116</v>
      </c>
      <c r="C102" s="8"/>
      <c r="D102" s="8"/>
      <c r="E102" s="8"/>
      <c r="F102" s="8"/>
      <c r="G102" s="10"/>
      <c r="H102" s="25"/>
      <c r="I102" s="2"/>
      <c r="J102" s="2"/>
      <c r="K102" s="26"/>
      <c r="L102" s="41" t="s">
        <v>75</v>
      </c>
      <c r="M102" s="10"/>
      <c r="N102" s="5"/>
    </row>
    <row r="103" spans="1:14" ht="15.5" x14ac:dyDescent="0.35">
      <c r="A103" s="39" t="s">
        <v>94</v>
      </c>
      <c r="B103" s="23" t="s">
        <v>117</v>
      </c>
      <c r="C103" s="8"/>
      <c r="D103" s="8"/>
      <c r="E103" s="8"/>
      <c r="F103" s="8"/>
      <c r="G103" s="10"/>
      <c r="H103" s="25"/>
      <c r="I103" s="2"/>
      <c r="J103" s="2"/>
      <c r="K103" s="26"/>
      <c r="L103" s="41" t="s">
        <v>75</v>
      </c>
      <c r="M103" s="10"/>
      <c r="N103" s="5"/>
    </row>
    <row r="104" spans="1:14" ht="15.5" x14ac:dyDescent="0.35">
      <c r="A104" s="39" t="s">
        <v>96</v>
      </c>
      <c r="B104" s="23" t="s">
        <v>118</v>
      </c>
      <c r="C104" s="8"/>
      <c r="D104" s="8"/>
      <c r="E104" s="8"/>
      <c r="F104" s="8"/>
      <c r="G104" s="10"/>
      <c r="H104" s="25"/>
      <c r="I104" s="2"/>
      <c r="J104" s="2"/>
      <c r="K104" s="26"/>
      <c r="L104" s="41" t="s">
        <v>75</v>
      </c>
      <c r="M104" s="10"/>
      <c r="N104" s="5"/>
    </row>
    <row r="105" spans="1:14" ht="15.5" x14ac:dyDescent="0.35">
      <c r="A105" s="39" t="s">
        <v>98</v>
      </c>
      <c r="B105" s="23" t="s">
        <v>119</v>
      </c>
      <c r="C105" s="8"/>
      <c r="D105" s="8"/>
      <c r="E105" s="8"/>
      <c r="F105" s="8"/>
      <c r="G105" s="10"/>
      <c r="H105" s="25"/>
      <c r="I105" s="2"/>
      <c r="J105" s="2"/>
      <c r="K105" s="26"/>
      <c r="L105" s="41" t="s">
        <v>75</v>
      </c>
      <c r="M105" s="10"/>
      <c r="N105" s="5"/>
    </row>
    <row r="106" spans="1:14" ht="15.5" x14ac:dyDescent="0.35">
      <c r="A106" s="39" t="s">
        <v>100</v>
      </c>
      <c r="B106" s="23" t="s">
        <v>120</v>
      </c>
      <c r="C106" s="8"/>
      <c r="D106" s="8"/>
      <c r="E106" s="8"/>
      <c r="F106" s="8"/>
      <c r="G106" s="10"/>
      <c r="H106" s="24"/>
      <c r="I106" s="18"/>
      <c r="J106" s="18"/>
      <c r="K106" s="19"/>
      <c r="L106" s="41" t="s">
        <v>75</v>
      </c>
      <c r="M106" s="10"/>
      <c r="N106" s="5"/>
    </row>
    <row r="107" spans="1:14" ht="24" hidden="1" customHeight="1" x14ac:dyDescent="0.35">
      <c r="A107" s="38" t="s">
        <v>121</v>
      </c>
      <c r="B107" s="8"/>
      <c r="C107" s="8"/>
      <c r="D107" s="8"/>
      <c r="E107" s="8"/>
      <c r="F107" s="8"/>
      <c r="G107" s="10"/>
      <c r="H107" s="38" t="s">
        <v>104</v>
      </c>
      <c r="I107" s="8"/>
      <c r="J107" s="8"/>
      <c r="K107" s="10"/>
      <c r="L107" s="38" t="s">
        <v>72</v>
      </c>
      <c r="M107" s="10"/>
      <c r="N107" s="30"/>
    </row>
    <row r="108" spans="1:14" ht="15.5" hidden="1" x14ac:dyDescent="0.35">
      <c r="A108" s="39" t="s">
        <v>73</v>
      </c>
      <c r="B108" s="23"/>
      <c r="C108" s="8"/>
      <c r="D108" s="8"/>
      <c r="E108" s="8"/>
      <c r="F108" s="8"/>
      <c r="G108" s="10"/>
      <c r="H108" s="40"/>
      <c r="I108" s="14"/>
      <c r="J108" s="14"/>
      <c r="K108" s="15"/>
      <c r="L108" s="23"/>
      <c r="M108" s="10"/>
      <c r="N108" s="5"/>
    </row>
    <row r="109" spans="1:14" ht="15.5" hidden="1" x14ac:dyDescent="0.35">
      <c r="A109" s="39" t="s">
        <v>76</v>
      </c>
      <c r="B109" s="23"/>
      <c r="C109" s="8"/>
      <c r="D109" s="8"/>
      <c r="E109" s="8"/>
      <c r="F109" s="8"/>
      <c r="G109" s="10"/>
      <c r="H109" s="25"/>
      <c r="I109" s="2"/>
      <c r="J109" s="2"/>
      <c r="K109" s="26"/>
      <c r="L109" s="23"/>
      <c r="M109" s="10"/>
      <c r="N109" s="5"/>
    </row>
    <row r="110" spans="1:14" ht="15.5" hidden="1" x14ac:dyDescent="0.35">
      <c r="A110" s="39" t="s">
        <v>78</v>
      </c>
      <c r="B110" s="23"/>
      <c r="C110" s="8"/>
      <c r="D110" s="8"/>
      <c r="E110" s="8"/>
      <c r="F110" s="8"/>
      <c r="G110" s="10"/>
      <c r="H110" s="25"/>
      <c r="I110" s="2"/>
      <c r="J110" s="2"/>
      <c r="K110" s="26"/>
      <c r="L110" s="23"/>
      <c r="M110" s="10"/>
      <c r="N110" s="5"/>
    </row>
    <row r="111" spans="1:14" ht="15.5" hidden="1" x14ac:dyDescent="0.35">
      <c r="A111" s="39" t="s">
        <v>80</v>
      </c>
      <c r="B111" s="23"/>
      <c r="C111" s="8"/>
      <c r="D111" s="8"/>
      <c r="E111" s="8"/>
      <c r="F111" s="8"/>
      <c r="G111" s="10"/>
      <c r="H111" s="25"/>
      <c r="I111" s="2"/>
      <c r="J111" s="2"/>
      <c r="K111" s="26"/>
      <c r="L111" s="23"/>
      <c r="M111" s="10"/>
      <c r="N111" s="5"/>
    </row>
    <row r="112" spans="1:14" ht="15.5" hidden="1" x14ac:dyDescent="0.35">
      <c r="A112" s="39" t="s">
        <v>82</v>
      </c>
      <c r="B112" s="23"/>
      <c r="C112" s="8"/>
      <c r="D112" s="8"/>
      <c r="E112" s="8"/>
      <c r="F112" s="8"/>
      <c r="G112" s="10"/>
      <c r="H112" s="25"/>
      <c r="I112" s="2"/>
      <c r="J112" s="2"/>
      <c r="K112" s="26"/>
      <c r="L112" s="23"/>
      <c r="M112" s="10"/>
      <c r="N112" s="5"/>
    </row>
    <row r="113" spans="1:14" ht="15.5" hidden="1" x14ac:dyDescent="0.35">
      <c r="A113" s="39" t="s">
        <v>84</v>
      </c>
      <c r="B113" s="23"/>
      <c r="C113" s="8"/>
      <c r="D113" s="8"/>
      <c r="E113" s="8"/>
      <c r="F113" s="8"/>
      <c r="G113" s="10"/>
      <c r="H113" s="25"/>
      <c r="I113" s="2"/>
      <c r="J113" s="2"/>
      <c r="K113" s="26"/>
      <c r="L113" s="23"/>
      <c r="M113" s="10"/>
      <c r="N113" s="5"/>
    </row>
    <row r="114" spans="1:14" ht="15.5" hidden="1" x14ac:dyDescent="0.35">
      <c r="A114" s="39" t="s">
        <v>86</v>
      </c>
      <c r="B114" s="23"/>
      <c r="C114" s="8"/>
      <c r="D114" s="8"/>
      <c r="E114" s="8"/>
      <c r="F114" s="8"/>
      <c r="G114" s="10"/>
      <c r="H114" s="25"/>
      <c r="I114" s="2"/>
      <c r="J114" s="2"/>
      <c r="K114" s="26"/>
      <c r="L114" s="23"/>
      <c r="M114" s="10"/>
      <c r="N114" s="5"/>
    </row>
    <row r="115" spans="1:14" ht="15.5" hidden="1" x14ac:dyDescent="0.35">
      <c r="A115" s="39" t="s">
        <v>88</v>
      </c>
      <c r="B115" s="23"/>
      <c r="C115" s="8"/>
      <c r="D115" s="8"/>
      <c r="E115" s="8"/>
      <c r="F115" s="8"/>
      <c r="G115" s="10"/>
      <c r="H115" s="25"/>
      <c r="I115" s="2"/>
      <c r="J115" s="2"/>
      <c r="K115" s="26"/>
      <c r="L115" s="23"/>
      <c r="M115" s="10"/>
      <c r="N115" s="5"/>
    </row>
    <row r="116" spans="1:14" ht="15.5" hidden="1" x14ac:dyDescent="0.35">
      <c r="A116" s="39" t="s">
        <v>90</v>
      </c>
      <c r="B116" s="23"/>
      <c r="C116" s="8"/>
      <c r="D116" s="8"/>
      <c r="E116" s="8"/>
      <c r="F116" s="8"/>
      <c r="G116" s="10"/>
      <c r="H116" s="25"/>
      <c r="I116" s="2"/>
      <c r="J116" s="2"/>
      <c r="K116" s="26"/>
      <c r="L116" s="23"/>
      <c r="M116" s="10"/>
      <c r="N116" s="5"/>
    </row>
    <row r="117" spans="1:14" ht="15.5" hidden="1" x14ac:dyDescent="0.35">
      <c r="A117" s="39" t="s">
        <v>92</v>
      </c>
      <c r="B117" s="23"/>
      <c r="C117" s="8"/>
      <c r="D117" s="8"/>
      <c r="E117" s="8"/>
      <c r="F117" s="8"/>
      <c r="G117" s="10"/>
      <c r="H117" s="25"/>
      <c r="I117" s="2"/>
      <c r="J117" s="2"/>
      <c r="K117" s="26"/>
      <c r="L117" s="23"/>
      <c r="M117" s="10"/>
      <c r="N117" s="5"/>
    </row>
    <row r="118" spans="1:14" ht="15.5" hidden="1" x14ac:dyDescent="0.35">
      <c r="A118" s="39" t="s">
        <v>94</v>
      </c>
      <c r="B118" s="23"/>
      <c r="C118" s="8"/>
      <c r="D118" s="8"/>
      <c r="E118" s="8"/>
      <c r="F118" s="8"/>
      <c r="G118" s="10"/>
      <c r="H118" s="25"/>
      <c r="I118" s="2"/>
      <c r="J118" s="2"/>
      <c r="K118" s="26"/>
      <c r="L118" s="23"/>
      <c r="M118" s="10"/>
      <c r="N118" s="5"/>
    </row>
    <row r="119" spans="1:14" ht="15.5" hidden="1" x14ac:dyDescent="0.35">
      <c r="A119" s="39" t="s">
        <v>96</v>
      </c>
      <c r="B119" s="23"/>
      <c r="C119" s="8"/>
      <c r="D119" s="8"/>
      <c r="E119" s="8"/>
      <c r="F119" s="8"/>
      <c r="G119" s="10"/>
      <c r="H119" s="25"/>
      <c r="I119" s="2"/>
      <c r="J119" s="2"/>
      <c r="K119" s="26"/>
      <c r="L119" s="23"/>
      <c r="M119" s="10"/>
      <c r="N119" s="5"/>
    </row>
    <row r="120" spans="1:14" ht="15.5" hidden="1" x14ac:dyDescent="0.35">
      <c r="A120" s="39" t="s">
        <v>98</v>
      </c>
      <c r="B120" s="23"/>
      <c r="C120" s="8"/>
      <c r="D120" s="8"/>
      <c r="E120" s="8"/>
      <c r="F120" s="8"/>
      <c r="G120" s="10"/>
      <c r="H120" s="25"/>
      <c r="I120" s="2"/>
      <c r="J120" s="2"/>
      <c r="K120" s="26"/>
      <c r="L120" s="23"/>
      <c r="M120" s="10"/>
      <c r="N120" s="5"/>
    </row>
    <row r="121" spans="1:14" ht="15.5" hidden="1" x14ac:dyDescent="0.35">
      <c r="A121" s="39" t="s">
        <v>100</v>
      </c>
      <c r="B121" s="23"/>
      <c r="C121" s="8"/>
      <c r="D121" s="8"/>
      <c r="E121" s="8"/>
      <c r="F121" s="8"/>
      <c r="G121" s="10"/>
      <c r="H121" s="24"/>
      <c r="I121" s="18"/>
      <c r="J121" s="18"/>
      <c r="K121" s="19"/>
      <c r="L121" s="23"/>
      <c r="M121" s="10"/>
      <c r="N121" s="5"/>
    </row>
    <row r="122" spans="1:14" ht="15.5" x14ac:dyDescent="0.35">
      <c r="A122" s="23" t="s">
        <v>122</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123</v>
      </c>
      <c r="B124" s="2"/>
      <c r="C124" s="2"/>
      <c r="D124" s="2"/>
      <c r="E124" s="2"/>
      <c r="F124" s="2"/>
      <c r="G124" s="2"/>
      <c r="H124" s="2"/>
      <c r="I124" s="2"/>
      <c r="J124" s="2"/>
      <c r="K124" s="2"/>
      <c r="L124" s="2"/>
      <c r="M124" s="2"/>
      <c r="N124" s="30"/>
    </row>
    <row r="125" spans="1:14" ht="46.5" x14ac:dyDescent="0.35">
      <c r="A125" s="43" t="s">
        <v>124</v>
      </c>
      <c r="B125" s="44" t="s">
        <v>125</v>
      </c>
      <c r="C125" s="8"/>
      <c r="D125" s="8"/>
      <c r="E125" s="8"/>
      <c r="F125" s="8"/>
      <c r="G125" s="10"/>
      <c r="H125" s="44" t="s">
        <v>126</v>
      </c>
      <c r="I125" s="8"/>
      <c r="J125" s="8"/>
      <c r="K125" s="10"/>
      <c r="L125" s="45" t="s">
        <v>127</v>
      </c>
      <c r="M125" s="10"/>
      <c r="N125" s="5"/>
    </row>
    <row r="126" spans="1:14" ht="15.5" x14ac:dyDescent="0.35">
      <c r="A126" s="46" t="s">
        <v>128</v>
      </c>
      <c r="B126" s="47" t="s">
        <v>129</v>
      </c>
      <c r="C126" s="14"/>
      <c r="D126" s="14"/>
      <c r="E126" s="14"/>
      <c r="F126" s="14"/>
      <c r="G126" s="15"/>
      <c r="H126" s="48" t="s">
        <v>130</v>
      </c>
      <c r="I126" s="8"/>
      <c r="J126" s="8"/>
      <c r="K126" s="49"/>
      <c r="L126" s="50">
        <f>1-SUM(L129:M131)</f>
        <v>0.7</v>
      </c>
      <c r="M126" s="15"/>
      <c r="N126" s="5"/>
    </row>
    <row r="127" spans="1:14" ht="15.5" x14ac:dyDescent="0.35">
      <c r="A127" s="51"/>
      <c r="B127" s="25"/>
      <c r="C127" s="2"/>
      <c r="D127" s="2"/>
      <c r="E127" s="2"/>
      <c r="F127" s="2"/>
      <c r="G127" s="26"/>
      <c r="H127" s="52" t="s">
        <v>131</v>
      </c>
      <c r="I127" s="8"/>
      <c r="J127" s="8"/>
      <c r="K127" s="49"/>
      <c r="L127" s="25"/>
      <c r="M127" s="26"/>
      <c r="N127" s="5"/>
    </row>
    <row r="128" spans="1:14" ht="15.5" x14ac:dyDescent="0.35">
      <c r="A128" s="35"/>
      <c r="B128" s="24"/>
      <c r="C128" s="18"/>
      <c r="D128" s="18"/>
      <c r="E128" s="18"/>
      <c r="F128" s="18"/>
      <c r="G128" s="19"/>
      <c r="H128" s="52" t="s">
        <v>132</v>
      </c>
      <c r="I128" s="8"/>
      <c r="J128" s="8"/>
      <c r="K128" s="49"/>
      <c r="L128" s="24"/>
      <c r="M128" s="19"/>
      <c r="N128" s="5"/>
    </row>
    <row r="129" spans="1:14" ht="68.25" hidden="1" customHeight="1" x14ac:dyDescent="0.35">
      <c r="A129" s="43" t="s">
        <v>133</v>
      </c>
      <c r="B129" s="53" t="s">
        <v>134</v>
      </c>
      <c r="C129" s="8"/>
      <c r="D129" s="8"/>
      <c r="E129" s="8"/>
      <c r="F129" s="8"/>
      <c r="G129" s="10"/>
      <c r="H129" s="52" t="s">
        <v>135</v>
      </c>
      <c r="I129" s="8"/>
      <c r="J129" s="8"/>
      <c r="K129" s="10"/>
      <c r="L129" s="54"/>
      <c r="M129" s="10"/>
      <c r="N129" s="5"/>
    </row>
    <row r="130" spans="1:14" ht="46.5" x14ac:dyDescent="0.35">
      <c r="A130" s="43" t="s">
        <v>136</v>
      </c>
      <c r="B130" s="53" t="s">
        <v>137</v>
      </c>
      <c r="C130" s="8"/>
      <c r="D130" s="8"/>
      <c r="E130" s="8"/>
      <c r="F130" s="8"/>
      <c r="G130" s="10"/>
      <c r="H130" s="52" t="s">
        <v>138</v>
      </c>
      <c r="I130" s="8"/>
      <c r="J130" s="8"/>
      <c r="K130" s="10"/>
      <c r="L130" s="54">
        <v>0.3</v>
      </c>
      <c r="M130" s="10"/>
      <c r="N130" s="5"/>
    </row>
    <row r="131" spans="1:14" ht="31" hidden="1" x14ac:dyDescent="0.35">
      <c r="A131" s="43" t="s">
        <v>139</v>
      </c>
      <c r="B131" s="53" t="s">
        <v>140</v>
      </c>
      <c r="C131" s="8"/>
      <c r="D131" s="8"/>
      <c r="E131" s="8"/>
      <c r="F131" s="8"/>
      <c r="G131" s="10"/>
      <c r="H131" s="52" t="s">
        <v>141</v>
      </c>
      <c r="I131" s="8"/>
      <c r="J131" s="8"/>
      <c r="K131" s="10"/>
      <c r="L131" s="54"/>
      <c r="M131" s="10"/>
      <c r="N131" s="5"/>
    </row>
    <row r="132" spans="1:14" ht="15.5" x14ac:dyDescent="0.35">
      <c r="A132" s="44" t="s">
        <v>142</v>
      </c>
      <c r="B132" s="8"/>
      <c r="C132" s="8"/>
      <c r="D132" s="8"/>
      <c r="E132" s="8"/>
      <c r="F132" s="8"/>
      <c r="G132" s="8"/>
      <c r="H132" s="8"/>
      <c r="I132" s="8"/>
      <c r="J132" s="8"/>
      <c r="K132" s="8"/>
      <c r="L132" s="8"/>
      <c r="M132" s="10"/>
      <c r="N132" s="5"/>
    </row>
    <row r="133" spans="1:14" ht="15.5" x14ac:dyDescent="0.35">
      <c r="A133" s="53" t="s">
        <v>143</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144</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145</v>
      </c>
      <c r="B137" s="10"/>
      <c r="C137" s="9" t="str">
        <f>E15</f>
        <v xml:space="preserve">Prof. dr. ing. Constantin-Cătălin Dosoftei								</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146</v>
      </c>
      <c r="B139" s="15"/>
      <c r="C139" s="9" t="str">
        <f t="shared" ref="C139:C141" si="0">E17</f>
        <v xml:space="preserve">Prof. dr. ing. Constantin-Cătălin Dosoftei								</v>
      </c>
      <c r="D139" s="8"/>
      <c r="E139" s="8"/>
      <c r="F139" s="8"/>
      <c r="G139" s="10"/>
      <c r="H139" s="9">
        <f t="shared" ref="H139:H141" si="1">E20</f>
        <v>0</v>
      </c>
      <c r="I139" s="8"/>
      <c r="J139" s="8"/>
      <c r="K139" s="8"/>
      <c r="L139" s="8"/>
      <c r="M139" s="10"/>
      <c r="N139" s="5"/>
    </row>
    <row r="140" spans="1:14" ht="32.25" customHeight="1" x14ac:dyDescent="0.35">
      <c r="A140" s="25"/>
      <c r="B140" s="26"/>
      <c r="C140" s="9" t="str">
        <f t="shared" si="0"/>
        <v>Conf dr. ing. Lucian Mastacan</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147</v>
      </c>
      <c r="B143" s="10"/>
      <c r="C143" s="58">
        <f>[1]Date!C33</f>
        <v>45915</v>
      </c>
      <c r="D143" s="10"/>
      <c r="E143" s="55" t="s">
        <v>148</v>
      </c>
      <c r="F143" s="8"/>
      <c r="G143" s="10"/>
      <c r="H143" s="59" t="str">
        <f>[1]Date!C35</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149</v>
      </c>
      <c r="B145" s="10"/>
      <c r="C145" s="58">
        <f>[1]Date!C34</f>
        <v>45918</v>
      </c>
      <c r="D145" s="10"/>
      <c r="E145" s="55" t="s">
        <v>150</v>
      </c>
      <c r="F145" s="8"/>
      <c r="G145" s="10"/>
      <c r="H145" s="59"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2026-03-01T08:55:37Z</dcterms:created>
  <dcterms:modified xsi:type="dcterms:W3CDTF">2026-03-01T08:55:42Z</dcterms:modified>
</cp:coreProperties>
</file>