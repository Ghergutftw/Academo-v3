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D4E22D4E-4668-484F-BF0C-74C6F89F2F26}" xr6:coauthVersionLast="47" xr6:coauthVersionMax="47" xr10:uidLastSave="{00000000-0000-0000-0000-000000000000}"/>
  <bookViews>
    <workbookView xWindow="-110" yWindow="-110" windowWidth="25820" windowHeight="15500" xr2:uid="{02D28AB5-30DF-445A-8466-82C4384676B8}"/>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E26" i="1" a="1"/>
  <c r="E26" i="1" s="1"/>
  <c r="C34" i="1" a="1"/>
  <c r="C34" i="1" s="1"/>
  <c r="M33" i="1" s="1"/>
  <c r="E27" i="1" l="1"/>
  <c r="C36" i="1" a="1"/>
  <c r="C36" i="1" s="1"/>
  <c r="E13" i="1" a="1"/>
  <c r="E13" i="1" s="1"/>
  <c r="G26" i="1" a="1"/>
  <c r="G26" i="1" s="1"/>
  <c r="G27" i="1" s="1"/>
  <c r="E14" i="1" a="1"/>
  <c r="E14" i="1" s="1"/>
  <c r="I26" i="1" a="1"/>
  <c r="I26" i="1" s="1"/>
  <c r="I27" i="1" s="1"/>
  <c r="M14" i="1" a="1"/>
  <c r="M14" i="1" s="1"/>
  <c r="K26" i="1" a="1"/>
  <c r="K26" i="1" s="1"/>
  <c r="K27" i="1" s="1"/>
  <c r="E23" i="1" a="1"/>
  <c r="E23" i="1" s="1"/>
  <c r="I23" i="1" a="1"/>
  <c r="I23" i="1" s="1"/>
  <c r="M23" i="1" a="1"/>
  <c r="M23" i="1" s="1"/>
  <c r="C26" i="1" l="1"/>
  <c r="C27" i="1" s="1"/>
  <c r="C3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4282C7A4-0413-48BE-8355-D61EEDD70E35}">
      <text>
        <r>
          <rPr>
            <sz val="10"/>
            <color rgb="FF000000"/>
            <rFont val="Aptos Narrow"/>
            <scheme val="minor"/>
          </rPr>
          <t>Pondere din nota de la E / V</t>
        </r>
      </text>
    </comment>
  </commentList>
</comments>
</file>

<file path=xl/sharedStrings.xml><?xml version="1.0" encoding="utf-8"?>
<sst xmlns="http://schemas.openxmlformats.org/spreadsheetml/2006/main" count="224" uniqueCount="149">
  <si>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</si>
  <si>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</si>
  <si>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</si>
  <si>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</si>
  <si>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</si>
  <si>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</si>
  <si>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</si>
  <si>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</si>
  <si>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</si>
  <si>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</si>
  <si>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</si>
  <si>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</si>
  <si>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</si>
  <si>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Rețele de calculatoare</t>
  </si>
  <si>
    <t>(în limba engleză, conform Suplimentului la diplomă)</t>
  </si>
  <si>
    <t>2.1.2. Codul disciplinei</t>
  </si>
  <si>
    <t xml:space="preserve">2.1.3. Categoria formativă </t>
  </si>
  <si>
    <t>2.2 Titularul / titularii activităţilor de curs</t>
  </si>
  <si>
    <t>Nicolae-Alexandru Botezatu</t>
  </si>
  <si>
    <t>2.3 Titularul / titularii activităţilor de aplicaţii (S, L, P, Pr)</t>
  </si>
  <si>
    <t>Andrei-Valeriu Coșa</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</si>
  <si>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</si>
  <si>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</si>
  <si>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</si>
  <si>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</si>
  <si>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</si>
  <si>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</si>
  <si>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</si>
  <si>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</si>
  <si>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</si>
  <si>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</si>
  <si>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</si>
  <si>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</si>
  <si>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</si>
  <si>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</si>
  <si>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</si>
  <si>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</si>
  <si>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</si>
  <si>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</si>
  <si>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</si>
  <si>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</si>
  <si>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</si>
  <si>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</si>
  <si>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</si>
  <si>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</si>
  <si>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</si>
  <si>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</si>
  <si>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</si>
  <si>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</si>
  <si>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</si>
  <si>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</si>
  <si>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</si>
  <si>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</si>
  <si>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</si>
  <si>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 Videoproiector
• PC
• Tablă + accesorii</t>
  </si>
  <si>
    <t>5.2 de desfăşurare a seminarului / laboratorului / proiectului</t>
  </si>
  <si>
    <t>• Tablă + accesorii
• PC-uri
• Pachete software specifice (eNSP, Wireshark etc.)
• Echipamente de rețea (adaptoare, switch-uri, media convertere, routere, echipamente wireless)
• Monitoare reţea</t>
  </si>
  <si>
    <t>6. Obiectivul general al disciplinei</t>
  </si>
  <si>
    <t>Studentul să înțeleagă modul de funcționare al rețelelor, să descrie, să explice și să aplice concepte, protocoale și tehnologii fundamentale, să utilizeze instrumente și elemente de programare pentru dezvoltarea aplicațiilor de rețea și să dezvolte abilități de proiectare, implementare și depanare a celor mai uzuale tipuri de rețele.</t>
  </si>
  <si>
    <t>7. Rezultatele învățării</t>
  </si>
  <si>
    <t>Cunoștințe</t>
  </si>
  <si>
    <t>Studentul / Absolventul:</t>
  </si>
  <si>
    <t>- Descrie arhitectura rețelelor de calculatoare, clasificările și topologiile fundamentale
- Explică rolul fiecărui nivel din modelele OSI și TCP/IP
- Identifică nivelul de care aparține fiecare protocol de comunicație studiat.
- Explică rolul fiecărui protocol de comunicație studiat.
- Rezumă elementele specifice protocoalelor și mecanismelor de comunicație studiate (ex. pentru IPv4 - adresare, împachetare, fragmentare)
- Enumeră schemele de adresare și de numire specifice protocoalelor utilizate în Internet.</t>
  </si>
  <si>
    <t>Aptitudini</t>
  </si>
  <si>
    <t xml:space="preserve">- Utilizează instrumente software pentru captură unor pachete individuale sau a unor secvențe de pachete de date
- Interpretează pachete capturate pentru testarea sau depanare echipamentelor/aplicațiilor sursă
- Implementează aplicații de tip client-server/peer-to-peer utilizând socket-uri TCP/UDP
- Scrie programe care simulează funcționarea unor protocoale sau mecanisme consacrate
- Utilizează instrumente software pentru simularea topologiilor de rețea
- Configurează echipamentele de rețea (calculator, switch, ruter) în funcție de specificul problemei în studiu
- Evaluează corectitudinea configurărilor realizate. Validează corectitudinea de funcționare a protocoalelor utilizate.
- Planifică schemele de adresare IPv4 utilizate în funcție de specificul problemei în studiu
- Selectează echipamentele adecvate pentru construirea unor topologii specifice
- Identifică protocoalele/mecanismele care trebuie utilizate/configurate pentru obținerea unor funcționalități specifice </t>
  </si>
  <si>
    <t>Responsabilitate și autonomie</t>
  </si>
  <si>
    <t>- Descrie clar și concis, oral și în scris, rezultatele unei simulări de topologie sau ale unei implementări de aplicație
- Demonstrează inițiativă prin explorarea unor scenarii alternative de utilizare ale protocoalelor și tehnologiile studiuate
- Demonstrează inițiativă prin studiu unor extensii și a unor elemente de detaliu ale protocoalelor și tehnologiilor studiuate
- Respectă principiile eticii academice și profesionale în relația cu colegii și cu cadrele didactice
- Respectă principiile eticii academice și profesionale în procesul de rezolvare al sarcinilor de lucru</t>
  </si>
  <si>
    <t xml:space="preserve">8. Metode de predare </t>
  </si>
  <si>
    <t>- Prezentarea cunoştinţelor aferente cursului – slide-uri prezentate cu videoproiectorul, discuții cu studenții
- Realizarea de conexiuni cu cunoştinţele însuşite la alte discipline înrudite de la ciclul de licenţă şi verificarea modului în care noile elemente introduse au fost receptate.</t>
  </si>
  <si>
    <t>9. Conţinuturi</t>
  </si>
  <si>
    <t>9.1. Curs</t>
  </si>
  <si>
    <t>Metode de predare</t>
  </si>
  <si>
    <t>Timp alocat</t>
  </si>
  <si>
    <t>1</t>
  </si>
  <si>
    <t>Introducere - organizarea rețelelor, definiții fundamentale, evoluția istorică, clasificările și topologiile rețelelor, ierarhiile și modelele de referință (OSI, TCP/IP, hibrid), standardele și organizațiile de standardizare</t>
  </si>
  <si>
    <t>Prelegere, proiecție, dialog pe baza temelor prezentate</t>
  </si>
  <si>
    <t>2 ore</t>
  </si>
  <si>
    <t>2</t>
  </si>
  <si>
    <t>Rețele de acces și nivelul fizic - tipuri de rețele de acces și medii de transmisie, parametrii nivelului fizic, semnalele și metodele de codificare, tehnici de modulație și multiplexare, studii de caz (Ethernet Gigabit, FTTx, PowerLAN)</t>
  </si>
  <si>
    <t>3</t>
  </si>
  <si>
    <t>Nivelul legătură de date - rolul și funcțiile nivelului legătură de date, metode de încadrare a datelor, coduri de detecție și corecție a erorilor, tehnici de control al fluxului și protocoale aferente</t>
  </si>
  <si>
    <t>4</t>
  </si>
  <si>
    <t>Subnivelul de acces la mediu -  fundamentele accesului la nivelul canalului de comunicație, mecanisme de acces partajat și fără coliziuni (familiile de protocoale clasice ALOHA și CSMA), arhitectura Ethernet</t>
  </si>
  <si>
    <t>5</t>
  </si>
  <si>
    <t>VLAN (segmentare bazată pe porturi, trunking, comunicații inter-VLAN) și STP (problema buclelor L2, prezentare STP, RSTP, MSTP)</t>
  </si>
  <si>
    <t>6</t>
  </si>
  <si>
    <t>Nivelul rețea - rolul și funcțiile nivelului rețea, protocolul IPv4 (adresare, împachetare, fragmentare, NAT), protocolul IPv6 (adresare, împachetare), coexistența IPv4/IPv6</t>
  </si>
  <si>
    <t>4 ore</t>
  </si>
  <si>
    <t>7</t>
  </si>
  <si>
    <t>8</t>
  </si>
  <si>
    <t>Rutarea - arhitectura ruterului (planul de date și planul de control), clasificarea strategiilor de rutare, algoritmii fundamentali Bellman-Ford și Dijkstra, clasele de protocoale DV și LS</t>
  </si>
  <si>
    <t>9</t>
  </si>
  <si>
    <t>Rutarea în Internet - conceptele fundamentale de rutare intra- și inter-domeniu, protocolul BGP (rutare inter-AS-uri), protocoalele RIP, OSPF, EIGRP (rutare intra-AS)</t>
  </si>
  <si>
    <t>10</t>
  </si>
  <si>
    <t>Nivelul transport - serviciile și funcțiile nivelului transport, principiile adresării și multiplexării folosind porturi, protocoalele UDP și TCP, considerente de implementare prin utilizarea API-ului Berkeley sockets</t>
  </si>
  <si>
    <t>11</t>
  </si>
  <si>
    <t>12</t>
  </si>
  <si>
    <t>Protocoale auxiliare (ARP, DHCP, ICMP) și protocoale punct-la-punct (SLIP, PPP, PPPoE)</t>
  </si>
  <si>
    <t>13</t>
  </si>
  <si>
    <t>Nivelul aplicație - modele specifice de interacțiune, WWW și HTTP, FTP, poșta electronică, DNS</t>
  </si>
  <si>
    <t>14</t>
  </si>
  <si>
    <t>Securitatea rețelelor de calculatoare - elemente introductive de securitate informatică, semnături și certificate digitale, securitate L3, securitate L4+, clasificări atacuri</t>
  </si>
  <si>
    <t xml:space="preserve">Bibliografie curs:
• Jim Kurose, Keith Ross, Computer Networks: A Top-Down Approach (9th ed.), 2025, Pearson.
• Andrew S. Tanenbaum, David J. Wetherall, Computer Networks (6th. ed.), 2021, Pearson.
• Charles M. Kozierok, The TCP/IP Guide: A Comprehensive, Illustrated Internet Protocols Reference, 2005, No Starch Press
• Alte resurse disponibile pe platforma Moodle
</t>
  </si>
  <si>
    <t>9.2a Seminar</t>
  </si>
  <si>
    <t>Metode de lucru</t>
  </si>
  <si>
    <t>9.2b Laborator</t>
  </si>
  <si>
    <t>Captura traficului de rețea</t>
  </si>
  <si>
    <t xml:space="preserve">
Demonstrații practice și experimente pe echipamente specifice.
Discuții asupra materialelor puse la dispoziție și indicații pentru realizarea lucrărilor.
Activitate individuală pentru rezolvarea sarcinilor din referatele de laborator.</t>
  </si>
  <si>
    <t>Mecanismele de adresare IPv4 (class-ful și -less)</t>
  </si>
  <si>
    <t>Ethernet comutat (studiul rețelelor locale bazate pe switch-uri)</t>
  </si>
  <si>
    <t>Protocolul STP (studiu și configurare)</t>
  </si>
  <si>
    <t>VLAN-uri (configurare porturi și dirijare inter-VLAN)</t>
  </si>
  <si>
    <t>Rutarea statică (reguli manuale pentru dirijarea pachetelor)</t>
  </si>
  <si>
    <t>Rutarea dinamică (protocoalele RIPv2 și OSPF)</t>
  </si>
  <si>
    <t>Mecanismul NAT</t>
  </si>
  <si>
    <t>Socket-uri TCP. Modelul de interacțiune client-server</t>
  </si>
  <si>
    <t>Protocolul FTP (studiu și implementarea unui client)</t>
  </si>
  <si>
    <t>Socket-uri UDP. Protocolul DHCP (studiu și implemetarea unui client)</t>
  </si>
  <si>
    <t>Socket-uri de nivel rețea utilizate pentru recepție. Protocolul ICMP. Implementarea unei aplicații de tip traceroute</t>
  </si>
  <si>
    <t>Socket-uri de nivel rețea utilizate pentru transmisie. Implementarea unei aplicații de tip ping</t>
  </si>
  <si>
    <t>9.2c Proiect</t>
  </si>
  <si>
    <t xml:space="preserve">Bibliografie aplicaţii (seminar / laborator / proiect):
• Jim Kurose, Keith Ross, Computer Networks: A Top-Down Approach (9th ed.), 2025, Pearson.
• Andrew S. Tanenbaum, David J. Wetherall, Computer Networks (6th. ed.), 2021, Pearson.
• Charles M. Kozierok, The TCP/IP Guide: A Comprehensive, Illustrated Internet Protocols Reference, 2005, No Starch Press
• RFC-uri care descriu mecanismele/protocoalele studiate
• Documentația oficială a API-ului Sockets specifică SO-ului utilizat
• Manualele de utilizare/configurare ale echipamentelor hardware utilizate/simulate
• Alte resurse disponibile pe platforma Moodle
</t>
  </si>
  <si>
    <t>10. Evaluare</t>
  </si>
  <si>
    <t>Tip activitate</t>
  </si>
  <si>
    <t>10.1 Criterii de evaluare</t>
  </si>
  <si>
    <t>10.2 Metode de evaluare</t>
  </si>
  <si>
    <t>10.3 Pondere din nota finală [%]</t>
  </si>
  <si>
    <t>10.4 Examen / Colocviu</t>
  </si>
  <si>
    <t xml:space="preserve">Capacitatea de analiză și raționament tehnic în rezolvarea problemelor specifice domeniului (adresare IP, fragmentare IP, dirijare pachete, control flux etc.).
Aplicarea cunoștințelor teoretice în contexte înspirate din practică, prin rezolvarea itemilor care vizează scenarii tipice de funcționare a rețelelor.
Utilizarea corectă a limbajului de specialitate și a terminologiei specifice domeniului rețelelor de calculatoare.
</t>
  </si>
  <si>
    <t>- test de evaluare sumativ (verificare finală).</t>
  </si>
  <si>
    <t>100%</t>
  </si>
  <si>
    <t>10.5a Seminar</t>
  </si>
  <si>
    <t>Capacitatea de aplicare în practică a cunoştinţelor învăţate. Capacitatea de analiză, de interpretare personală, originalitatea, creativitatea.</t>
  </si>
  <si>
    <t>- participare activă la activități;
- test de evaluare.</t>
  </si>
  <si>
    <t>10.5b Laborator</t>
  </si>
  <si>
    <t>Capacitatea de configurare și exploatare a echipamentelor de rețea (stații, switch-uri, rutere) în conformitate cu cerințele lucrărilor de laborator.
Capacitatea de analiză a traficului de rețea și de interpretare a pachetelor capturate utilizând instrumente specializate.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</si>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</sst>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3">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2" fillId="3" borderId="4"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49" fontId="2" fillId="3" borderId="13" xfId="0" applyNumberFormat="1" applyFont="1" applyFill="1" applyBorder="1" applyAlignment="1">
      <alignment horizontal="center" vertical="center"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4.xlsx" TargetMode="External"/><Relationship Id="rId1" Type="http://schemas.openxmlformats.org/officeDocument/2006/relationships/externalLinkPath" Target="/Users/Madalin/Downloads/FD%20AIA%2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IRA"/>
      <sheetName val="TD"/>
      <sheetName val="PATR"/>
      <sheetName val="DELTS"/>
      <sheetName val="CSC"/>
      <sheetName val="MAN"/>
      <sheetName val="PEPD"/>
      <sheetName val="EPD"/>
      <sheetName val="SCR"/>
      <sheetName val="FAC"/>
      <sheetName val="SDAMC"/>
      <sheetName val="RC"/>
      <sheetName val="SBC"/>
      <sheetName val="SAA"/>
      <sheetName val="SAR"/>
      <sheetName val="CDP"/>
      <sheetName val="SPRM"/>
      <sheetName val="RNLF"/>
      <sheetName val="SIAD"/>
      <sheetName val="PAI"/>
      <sheetName val="IRA-Pr"/>
      <sheetName val="PATR-Pr"/>
      <sheetName val="SBC-Pr"/>
      <sheetName val="EA-AD I"/>
      <sheetName val="EA-AD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C1" t="str">
            <v>Anul universitar: 2025-2026</v>
          </cell>
        </row>
        <row r="2">
          <cell r="B2" t="str">
            <v>Ingineria sistemelor</v>
          </cell>
        </row>
        <row r="3">
          <cell r="B3" t="str">
            <v>Licență</v>
          </cell>
        </row>
        <row r="4">
          <cell r="B4">
            <v>4</v>
          </cell>
        </row>
        <row r="5">
          <cell r="C5" t="str">
            <v>Automatică și Informatică Aplicată</v>
          </cell>
        </row>
        <row r="8">
          <cell r="A8">
            <v>1</v>
          </cell>
          <cell r="C8" t="str">
            <v>Ingineria reglării automate</v>
          </cell>
          <cell r="D8" t="str">
            <v>Control Engineering</v>
          </cell>
          <cell r="E8" t="str">
            <v>AIA401</v>
          </cell>
          <cell r="F8" t="str">
            <v>DI</v>
          </cell>
          <cell r="G8" t="str">
            <v>DD</v>
          </cell>
          <cell r="H8">
            <v>2</v>
          </cell>
          <cell r="I8">
            <v>0</v>
          </cell>
          <cell r="J8">
            <v>2</v>
          </cell>
          <cell r="K8">
            <v>0</v>
          </cell>
          <cell r="L8">
            <v>44</v>
          </cell>
          <cell r="M8" t="str">
            <v>E</v>
          </cell>
          <cell r="N8">
            <v>4</v>
          </cell>
        </row>
        <row r="9">
          <cell r="A9">
            <v>1</v>
          </cell>
          <cell r="C9" t="str">
            <v>Transmisia datelor</v>
          </cell>
          <cell r="D9" t="str">
            <v>Data Transmission</v>
          </cell>
          <cell r="E9" t="str">
            <v>AIA402</v>
          </cell>
          <cell r="F9" t="str">
            <v>DI</v>
          </cell>
          <cell r="G9" t="str">
            <v>DS</v>
          </cell>
          <cell r="H9">
            <v>2</v>
          </cell>
          <cell r="I9">
            <v>0</v>
          </cell>
          <cell r="J9">
            <v>2</v>
          </cell>
          <cell r="K9">
            <v>0</v>
          </cell>
          <cell r="L9">
            <v>44</v>
          </cell>
          <cell r="M9" t="str">
            <v>E</v>
          </cell>
          <cell r="N9">
            <v>4</v>
          </cell>
        </row>
        <row r="10">
          <cell r="A10">
            <v>1</v>
          </cell>
          <cell r="C10" t="str">
            <v>Programarea aplicațiilor de timp real</v>
          </cell>
          <cell r="D10" t="str">
            <v>Real-Time Application Programming</v>
          </cell>
          <cell r="E10" t="str">
            <v>AIA403</v>
          </cell>
          <cell r="F10" t="str">
            <v>DI</v>
          </cell>
          <cell r="G10" t="str">
            <v>DS</v>
          </cell>
          <cell r="H10">
            <v>3</v>
          </cell>
          <cell r="I10">
            <v>0</v>
          </cell>
          <cell r="J10">
            <v>2</v>
          </cell>
          <cell r="K10">
            <v>0</v>
          </cell>
          <cell r="L10">
            <v>55</v>
          </cell>
          <cell r="M10" t="str">
            <v>E</v>
          </cell>
          <cell r="N10">
            <v>5</v>
          </cell>
        </row>
        <row r="11">
          <cell r="A11">
            <v>1</v>
          </cell>
          <cell r="C11" t="str">
            <v>Documentarea și elaborarea lucrărilor tehnico-științifice</v>
          </cell>
          <cell r="D11" t="str">
            <v>Writing Technical Reports and Scientific Papers</v>
          </cell>
          <cell r="E11" t="str">
            <v>AIA404</v>
          </cell>
          <cell r="F11" t="str">
            <v>DI</v>
          </cell>
          <cell r="G11" t="str">
            <v>DC</v>
          </cell>
          <cell r="H11">
            <v>1</v>
          </cell>
          <cell r="I11">
            <v>0</v>
          </cell>
          <cell r="J11">
            <v>0</v>
          </cell>
          <cell r="K11">
            <v>0</v>
          </cell>
          <cell r="L11">
            <v>36</v>
          </cell>
          <cell r="M11" t="str">
            <v>C</v>
          </cell>
          <cell r="N11">
            <v>2</v>
          </cell>
        </row>
        <row r="12">
          <cell r="A12">
            <v>2</v>
          </cell>
          <cell r="C12" t="str">
            <v>Comunicații în sisteme de conducere</v>
          </cell>
          <cell r="D12" t="str">
            <v>Communications for Control Systems</v>
          </cell>
          <cell r="E12" t="str">
            <v>AIA405</v>
          </cell>
          <cell r="F12" t="str">
            <v>DI</v>
          </cell>
          <cell r="G12" t="str">
            <v>DS</v>
          </cell>
          <cell r="H12">
            <v>2</v>
          </cell>
          <cell r="I12">
            <v>0</v>
          </cell>
          <cell r="J12">
            <v>2</v>
          </cell>
          <cell r="K12">
            <v>1</v>
          </cell>
          <cell r="L12">
            <v>55</v>
          </cell>
          <cell r="M12" t="str">
            <v>C</v>
          </cell>
          <cell r="N12">
            <v>5</v>
          </cell>
        </row>
        <row r="13">
          <cell r="A13">
            <v>2</v>
          </cell>
          <cell r="C13" t="str">
            <v>Management</v>
          </cell>
          <cell r="D13" t="str">
            <v>Management</v>
          </cell>
          <cell r="E13" t="str">
            <v>AIA406</v>
          </cell>
          <cell r="F13" t="str">
            <v>DI</v>
          </cell>
          <cell r="G13" t="str">
            <v>DC</v>
          </cell>
          <cell r="H13">
            <v>2</v>
          </cell>
          <cell r="I13">
            <v>0</v>
          </cell>
          <cell r="J13">
            <v>1</v>
          </cell>
          <cell r="K13">
            <v>0</v>
          </cell>
          <cell r="L13">
            <v>33</v>
          </cell>
          <cell r="M13" t="str">
            <v>C</v>
          </cell>
          <cell r="N13">
            <v>3</v>
          </cell>
        </row>
        <row r="14">
          <cell r="A14">
            <v>2</v>
          </cell>
          <cell r="C14" t="str">
            <v>Elaborarea proiectului de diplomă</v>
          </cell>
          <cell r="D14" t="str">
            <v>Research and Development for Diploma Project</v>
          </cell>
          <cell r="E14" t="str">
            <v>AIA407</v>
          </cell>
          <cell r="F14" t="str">
            <v>DI</v>
          </cell>
          <cell r="G14" t="str">
            <v>DS</v>
          </cell>
          <cell r="H14">
            <v>0</v>
          </cell>
          <cell r="I14">
            <v>0</v>
          </cell>
          <cell r="J14">
            <v>0</v>
          </cell>
          <cell r="K14">
            <v>4</v>
          </cell>
          <cell r="L14">
            <v>44</v>
          </cell>
          <cell r="M14" t="str">
            <v>C</v>
          </cell>
          <cell r="N14">
            <v>4</v>
          </cell>
        </row>
        <row r="15">
          <cell r="A15">
            <v>1</v>
          </cell>
          <cell r="C15" t="str">
            <v>Practică pentru elaborarea proiectului de diplomă</v>
          </cell>
          <cell r="D15" t="str">
            <v>Practical Training for Diploma Project</v>
          </cell>
          <cell r="E15" t="str">
            <v>AIA408</v>
          </cell>
          <cell r="F15" t="str">
            <v>DI</v>
          </cell>
          <cell r="G15" t="str">
            <v>DS</v>
          </cell>
          <cell r="H15">
            <v>0</v>
          </cell>
          <cell r="I15">
            <v>0</v>
          </cell>
          <cell r="J15">
            <v>0</v>
          </cell>
          <cell r="K15">
            <v>0</v>
          </cell>
          <cell r="L15">
            <v>15</v>
          </cell>
          <cell r="M15" t="str">
            <v>VP
 A/R</v>
          </cell>
          <cell r="N15">
            <v>3</v>
          </cell>
        </row>
        <row r="16">
          <cell r="A16">
            <v>1</v>
          </cell>
          <cell r="C16" t="str">
            <v>Sisteme de conducere a roboților</v>
          </cell>
          <cell r="D16" t="str">
            <v>Robot Control Systems</v>
          </cell>
          <cell r="E16" t="str">
            <v>A409</v>
          </cell>
          <cell r="F16" t="str">
            <v>DO</v>
          </cell>
          <cell r="G16" t="str">
            <v>DS</v>
          </cell>
          <cell r="H16">
            <v>2</v>
          </cell>
          <cell r="I16">
            <v>0</v>
          </cell>
          <cell r="J16">
            <v>2</v>
          </cell>
          <cell r="K16">
            <v>0</v>
          </cell>
          <cell r="L16">
            <v>44</v>
          </cell>
          <cell r="M16" t="str">
            <v>C</v>
          </cell>
          <cell r="N16">
            <v>4</v>
          </cell>
        </row>
        <row r="17">
          <cell r="A17">
            <v>1</v>
          </cell>
          <cell r="C17" t="str">
            <v>Fabricație asistată de calculator</v>
          </cell>
          <cell r="D17" t="str">
            <v>Computer Aided Manufacturing</v>
          </cell>
          <cell r="E17" t="str">
            <v>A410</v>
          </cell>
          <cell r="F17" t="str">
            <v>DO</v>
          </cell>
          <cell r="G17" t="str">
            <v>DS</v>
          </cell>
          <cell r="H17">
            <v>2</v>
          </cell>
          <cell r="I17">
            <v>0</v>
          </cell>
          <cell r="J17">
            <v>2</v>
          </cell>
          <cell r="K17">
            <v>0</v>
          </cell>
          <cell r="L17">
            <v>44</v>
          </cell>
          <cell r="M17" t="str">
            <v>C</v>
          </cell>
          <cell r="N17">
            <v>4</v>
          </cell>
        </row>
        <row r="18">
          <cell r="A18">
            <v>1</v>
          </cell>
          <cell r="C18" t="str">
            <v>Sisteme distribuite de achiziție, monitorizare și conducere</v>
          </cell>
          <cell r="D18" t="str">
            <v>Supervisory Control and Data Acquisition</v>
          </cell>
          <cell r="E18" t="str">
            <v>A411</v>
          </cell>
          <cell r="F18" t="str">
            <v>DO</v>
          </cell>
          <cell r="G18" t="str">
            <v>DS</v>
          </cell>
          <cell r="H18">
            <v>2</v>
          </cell>
          <cell r="I18">
            <v>0</v>
          </cell>
          <cell r="J18">
            <v>2</v>
          </cell>
          <cell r="K18">
            <v>0</v>
          </cell>
          <cell r="L18">
            <v>44</v>
          </cell>
          <cell r="M18" t="str">
            <v>C</v>
          </cell>
          <cell r="N18">
            <v>4</v>
          </cell>
        </row>
        <row r="19">
          <cell r="A19">
            <v>1</v>
          </cell>
          <cell r="C19" t="str">
            <v>Rețele de calculatoare</v>
          </cell>
          <cell r="D19" t="str">
            <v>Computer Networks</v>
          </cell>
          <cell r="E19" t="str">
            <v>IA412</v>
          </cell>
          <cell r="F19" t="str">
            <v>DO</v>
          </cell>
          <cell r="G19" t="str">
            <v>DD</v>
          </cell>
          <cell r="H19">
            <v>2</v>
          </cell>
          <cell r="I19">
            <v>0</v>
          </cell>
          <cell r="J19">
            <v>2</v>
          </cell>
          <cell r="K19">
            <v>0</v>
          </cell>
          <cell r="L19">
            <v>44</v>
          </cell>
          <cell r="M19" t="str">
            <v>C</v>
          </cell>
          <cell r="N19">
            <v>4</v>
          </cell>
        </row>
        <row r="20">
          <cell r="A20">
            <v>1</v>
          </cell>
          <cell r="C20" t="str">
            <v>Sisteme bazate pe cunoaștere</v>
          </cell>
          <cell r="D20" t="str">
            <v>Knowledge Based Systems</v>
          </cell>
          <cell r="E20" t="str">
            <v>IA413</v>
          </cell>
          <cell r="F20" t="str">
            <v>DO</v>
          </cell>
          <cell r="G20" t="str">
            <v>DS</v>
          </cell>
          <cell r="H20">
            <v>2</v>
          </cell>
          <cell r="I20">
            <v>0</v>
          </cell>
          <cell r="J20">
            <v>2</v>
          </cell>
          <cell r="K20">
            <v>0</v>
          </cell>
          <cell r="L20">
            <v>44</v>
          </cell>
          <cell r="M20" t="str">
            <v>C</v>
          </cell>
          <cell r="N20">
            <v>4</v>
          </cell>
        </row>
        <row r="21">
          <cell r="A21">
            <v>1</v>
          </cell>
          <cell r="C21" t="str">
            <v>Sisteme de așteptare și aplicații</v>
          </cell>
          <cell r="D21" t="str">
            <v>Queuing Systems and Applications</v>
          </cell>
          <cell r="E21" t="str">
            <v>IA414</v>
          </cell>
          <cell r="F21" t="str">
            <v>DO</v>
          </cell>
          <cell r="G21" t="str">
            <v>DS</v>
          </cell>
          <cell r="H21">
            <v>2</v>
          </cell>
          <cell r="I21">
            <v>0</v>
          </cell>
          <cell r="J21">
            <v>2</v>
          </cell>
          <cell r="K21">
            <v>0</v>
          </cell>
          <cell r="L21">
            <v>44</v>
          </cell>
          <cell r="M21" t="str">
            <v>C</v>
          </cell>
          <cell r="N21">
            <v>4</v>
          </cell>
        </row>
        <row r="22">
          <cell r="A22">
            <v>2</v>
          </cell>
          <cell r="C22" t="str">
            <v>Sisteme adaptive și robuste</v>
          </cell>
          <cell r="D22" t="str">
            <v>Adaptive and Robust Control</v>
          </cell>
          <cell r="E22" t="str">
            <v>A415</v>
          </cell>
          <cell r="F22" t="str">
            <v>DO</v>
          </cell>
          <cell r="G22" t="str">
            <v>DS</v>
          </cell>
          <cell r="H22">
            <v>2</v>
          </cell>
          <cell r="I22">
            <v>0</v>
          </cell>
          <cell r="J22">
            <v>2</v>
          </cell>
          <cell r="K22">
            <v>0</v>
          </cell>
          <cell r="L22">
            <v>69</v>
          </cell>
          <cell r="M22" t="str">
            <v>E</v>
          </cell>
          <cell r="N22">
            <v>5</v>
          </cell>
        </row>
        <row r="23">
          <cell r="A23">
            <v>2</v>
          </cell>
          <cell r="C23" t="str">
            <v>Controlul la distanță al proceselor</v>
          </cell>
          <cell r="D23" t="str">
            <v>Process Remote Control</v>
          </cell>
          <cell r="E23" t="str">
            <v>A416</v>
          </cell>
          <cell r="F23" t="str">
            <v>DO</v>
          </cell>
          <cell r="G23" t="str">
            <v>DS</v>
          </cell>
          <cell r="H23">
            <v>2</v>
          </cell>
          <cell r="I23">
            <v>0</v>
          </cell>
          <cell r="J23">
            <v>2</v>
          </cell>
          <cell r="K23">
            <v>0</v>
          </cell>
          <cell r="L23">
            <v>69</v>
          </cell>
          <cell r="M23" t="str">
            <v>E</v>
          </cell>
          <cell r="N23">
            <v>5</v>
          </cell>
        </row>
        <row r="24">
          <cell r="A24">
            <v>2</v>
          </cell>
          <cell r="C24" t="str">
            <v>Strategii de planificare a roboţilor mobili</v>
          </cell>
          <cell r="D24" t="str">
            <v>Strategies for Planning and Control of Mobile Robots</v>
          </cell>
          <cell r="E24" t="str">
            <v>A417</v>
          </cell>
          <cell r="F24" t="str">
            <v>DO</v>
          </cell>
          <cell r="G24" t="str">
            <v>DS</v>
          </cell>
          <cell r="H24">
            <v>2</v>
          </cell>
          <cell r="I24">
            <v>0</v>
          </cell>
          <cell r="J24">
            <v>2</v>
          </cell>
          <cell r="K24">
            <v>0</v>
          </cell>
          <cell r="L24">
            <v>69</v>
          </cell>
          <cell r="M24" t="str">
            <v>E</v>
          </cell>
          <cell r="N24">
            <v>5</v>
          </cell>
        </row>
        <row r="25">
          <cell r="A25">
            <v>2</v>
          </cell>
          <cell r="C25" t="str">
            <v>Rețele neuronale și logică fuzzy</v>
          </cell>
          <cell r="D25" t="str">
            <v>Neural Networks and Fuzzy Logic</v>
          </cell>
          <cell r="E25" t="str">
            <v>IA418</v>
          </cell>
          <cell r="F25" t="str">
            <v>DO</v>
          </cell>
          <cell r="G25" t="str">
            <v>DS</v>
          </cell>
          <cell r="H25">
            <v>2</v>
          </cell>
          <cell r="I25">
            <v>0</v>
          </cell>
          <cell r="J25">
            <v>2</v>
          </cell>
          <cell r="K25">
            <v>0</v>
          </cell>
          <cell r="L25">
            <v>69</v>
          </cell>
          <cell r="M25" t="str">
            <v>E</v>
          </cell>
          <cell r="N25">
            <v>5</v>
          </cell>
        </row>
        <row r="26">
          <cell r="A26">
            <v>2</v>
          </cell>
          <cell r="C26" t="str">
            <v>Sisteme de inteligență artificială distribuite</v>
          </cell>
          <cell r="D26" t="str">
            <v>Distributed Artificial Intelligence Systems</v>
          </cell>
          <cell r="E26" t="str">
            <v>IA419</v>
          </cell>
          <cell r="F26" t="str">
            <v>DO</v>
          </cell>
          <cell r="G26" t="str">
            <v>DS</v>
          </cell>
          <cell r="H26">
            <v>2</v>
          </cell>
          <cell r="I26">
            <v>0</v>
          </cell>
          <cell r="J26">
            <v>2</v>
          </cell>
          <cell r="K26">
            <v>0</v>
          </cell>
          <cell r="L26">
            <v>69</v>
          </cell>
          <cell r="M26" t="str">
            <v>E</v>
          </cell>
          <cell r="N26">
            <v>5</v>
          </cell>
        </row>
        <row r="27">
          <cell r="A27">
            <v>2</v>
          </cell>
          <cell r="C27" t="str">
            <v>Programarea aplicațiilor internet</v>
          </cell>
          <cell r="D27" t="str">
            <v>Internet Applications Programming</v>
          </cell>
          <cell r="E27" t="str">
            <v>IA420</v>
          </cell>
          <cell r="F27" t="str">
            <v>DO</v>
          </cell>
          <cell r="G27" t="str">
            <v>DS</v>
          </cell>
          <cell r="H27">
            <v>2</v>
          </cell>
          <cell r="I27">
            <v>0</v>
          </cell>
          <cell r="J27">
            <v>2</v>
          </cell>
          <cell r="K27">
            <v>0</v>
          </cell>
          <cell r="L27">
            <v>69</v>
          </cell>
          <cell r="M27" t="str">
            <v>E</v>
          </cell>
          <cell r="N27">
            <v>5</v>
          </cell>
        </row>
        <row r="28">
          <cell r="A28">
            <v>2</v>
          </cell>
          <cell r="C28" t="str">
            <v>Ingineria reglării automate - proiect</v>
          </cell>
          <cell r="D28" t="str">
            <v>Control Engineering – project work</v>
          </cell>
          <cell r="E28" t="str">
            <v>AIA421</v>
          </cell>
          <cell r="F28" t="str">
            <v>DO</v>
          </cell>
          <cell r="G28" t="str">
            <v>DD</v>
          </cell>
          <cell r="H28">
            <v>0</v>
          </cell>
          <cell r="I28">
            <v>0</v>
          </cell>
          <cell r="J28">
            <v>0</v>
          </cell>
          <cell r="K28">
            <v>2</v>
          </cell>
          <cell r="L28">
            <v>47</v>
          </cell>
          <cell r="M28" t="str">
            <v>C</v>
          </cell>
          <cell r="N28">
            <v>3</v>
          </cell>
        </row>
        <row r="29">
          <cell r="A29">
            <v>2</v>
          </cell>
          <cell r="C29" t="str">
            <v>Programarea aplicațiilor de timp real - proiect</v>
          </cell>
          <cell r="D29" t="str">
            <v>Real-Time Application Programming – project work</v>
          </cell>
          <cell r="E29" t="str">
            <v>AIA422</v>
          </cell>
          <cell r="F29" t="str">
            <v>DO</v>
          </cell>
          <cell r="G29" t="str">
            <v>DS</v>
          </cell>
          <cell r="H29">
            <v>0</v>
          </cell>
          <cell r="I29">
            <v>0</v>
          </cell>
          <cell r="J29">
            <v>0</v>
          </cell>
          <cell r="K29">
            <v>2</v>
          </cell>
          <cell r="L29">
            <v>47</v>
          </cell>
          <cell r="M29" t="str">
            <v>C</v>
          </cell>
          <cell r="N29">
            <v>3</v>
          </cell>
        </row>
        <row r="30">
          <cell r="A30">
            <v>2</v>
          </cell>
          <cell r="C30" t="str">
            <v>Sisteme bazate pe cunoaștere - proiect</v>
          </cell>
          <cell r="D30" t="str">
            <v>Knowledge Based Systems – project work</v>
          </cell>
          <cell r="E30" t="str">
            <v>AIA423</v>
          </cell>
          <cell r="F30" t="str">
            <v>DO</v>
          </cell>
          <cell r="G30" t="str">
            <v>DS</v>
          </cell>
          <cell r="H30">
            <v>0</v>
          </cell>
          <cell r="I30">
            <v>0</v>
          </cell>
          <cell r="J30">
            <v>0</v>
          </cell>
          <cell r="K30">
            <v>2</v>
          </cell>
          <cell r="L30">
            <v>47</v>
          </cell>
          <cell r="M30" t="str">
            <v>C</v>
          </cell>
          <cell r="N30">
            <v>3</v>
          </cell>
        </row>
        <row r="31">
          <cell r="A31">
            <v>1</v>
          </cell>
          <cell r="C31" t="str">
            <v>Educație antreprenorială - Afaceri digitale I</v>
          </cell>
          <cell r="D31" t="str">
            <v>Antrepreneurship Education - Digital Business I</v>
          </cell>
          <cell r="E31" t="str">
            <v>AIA424</v>
          </cell>
          <cell r="F31" t="str">
            <v>DL</v>
          </cell>
          <cell r="G31" t="str">
            <v>DC</v>
          </cell>
          <cell r="H31">
            <v>1</v>
          </cell>
          <cell r="I31">
            <v>0</v>
          </cell>
          <cell r="J31">
            <v>2</v>
          </cell>
          <cell r="K31">
            <v>0</v>
          </cell>
          <cell r="L31">
            <v>83</v>
          </cell>
          <cell r="M31" t="str">
            <v>C</v>
          </cell>
          <cell r="N31">
            <v>5</v>
          </cell>
        </row>
        <row r="32">
          <cell r="A32">
            <v>2</v>
          </cell>
          <cell r="C32" t="str">
            <v>Educație antreprenorială - Afaceri digitale II</v>
          </cell>
          <cell r="D32" t="str">
            <v>Antrepreneurship Education - Digital Business II</v>
          </cell>
          <cell r="E32" t="str">
            <v>AIA425</v>
          </cell>
          <cell r="F32" t="str">
            <v>DL</v>
          </cell>
          <cell r="G32" t="str">
            <v>DC</v>
          </cell>
          <cell r="H32">
            <v>2</v>
          </cell>
          <cell r="I32">
            <v>0</v>
          </cell>
          <cell r="J32">
            <v>0</v>
          </cell>
          <cell r="K32">
            <v>1</v>
          </cell>
          <cell r="L32">
            <v>33</v>
          </cell>
          <cell r="M32" t="str">
            <v>C</v>
          </cell>
          <cell r="N32">
            <v>3</v>
          </cell>
        </row>
        <row r="35">
          <cell r="C35">
            <v>45915</v>
          </cell>
        </row>
        <row r="36">
          <cell r="C36">
            <v>45918</v>
          </cell>
        </row>
        <row r="37">
          <cell r="C37" t="str">
            <v>Conf.dr.ing. Mihai POSTOLACHE</v>
          </cell>
        </row>
        <row r="38">
          <cell r="C3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55F1-49FC-475A-AEEC-9BF434714352}">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INDEX([1]Date!D8:D32, MATCH(E12,[1]Date!C8:C32,0),0)</f>
        <v>Computer Networks</v>
      </c>
      <c r="F13" s="18"/>
      <c r="G13" s="18"/>
      <c r="H13" s="18"/>
      <c r="I13" s="18"/>
      <c r="J13" s="18"/>
      <c r="K13" s="18"/>
      <c r="L13" s="18"/>
      <c r="M13" s="19"/>
      <c r="N13" s="5"/>
    </row>
    <row r="14" spans="1:14" ht="15.5" x14ac:dyDescent="0.35">
      <c r="A14" s="7" t="s">
        <v>15</v>
      </c>
      <c r="B14" s="8"/>
      <c r="C14" s="8"/>
      <c r="D14" s="10"/>
      <c r="E14" s="21" t="str">
        <f t="array" aca="1" ref="E14" ca="1">INDEX([1]Date!E8:E32, MATCH(E12,[1]Date!C8:C32,0),0)</f>
        <v>IA412</v>
      </c>
      <c r="F14" s="18"/>
      <c r="G14" s="18"/>
      <c r="H14" s="18"/>
      <c r="I14" s="7" t="s">
        <v>16</v>
      </c>
      <c r="J14" s="8"/>
      <c r="K14" s="8"/>
      <c r="L14" s="10"/>
      <c r="M14" s="22" t="str">
        <f t="array" aca="1" ref="M14" ca="1">INDEX([1]Date!G8:G32, MATCH(E12,[1]Date!C8:C32,0),0)</f>
        <v>DD</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t="s">
        <v>20</v>
      </c>
      <c r="F18" s="8"/>
      <c r="G18" s="8"/>
      <c r="H18" s="8"/>
      <c r="I18" s="8"/>
      <c r="J18" s="8"/>
      <c r="K18" s="8"/>
      <c r="L18" s="8"/>
      <c r="M18" s="10"/>
      <c r="N18" s="5"/>
    </row>
    <row r="19" spans="1:14" ht="15.5"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21</v>
      </c>
      <c r="B23" s="10"/>
      <c r="C23" s="27">
        <f>[1]Date!B4</f>
        <v>4</v>
      </c>
      <c r="D23" s="28" t="s">
        <v>22</v>
      </c>
      <c r="E23" s="27">
        <f t="array" aca="1" ref="E23" ca="1">INDEX([1]Date!A8:A32, MATCH(E12,[1]Date!C8:C32,0),0)</f>
        <v>1</v>
      </c>
      <c r="F23" s="29" t="s">
        <v>23</v>
      </c>
      <c r="G23" s="8"/>
      <c r="H23" s="10"/>
      <c r="I23" s="22" t="str">
        <f t="array" aca="1" ref="I23" ca="1">INDEX([1]Date!M8:M32, MATCH(E12,[1]Date!C8:C32,0),0)</f>
        <v>C</v>
      </c>
      <c r="J23" s="29" t="s">
        <v>24</v>
      </c>
      <c r="K23" s="8"/>
      <c r="L23" s="10"/>
      <c r="M23" s="27" t="str">
        <f t="array" aca="1" ref="M23" ca="1">INDEX([1]Date!F8:F32, MATCH(E12,[1]Date!C8:C32,0),0)</f>
        <v>DO</v>
      </c>
      <c r="N23" s="5"/>
    </row>
    <row r="24" spans="1:14" ht="15.5" x14ac:dyDescent="0.35">
      <c r="A24" s="12"/>
      <c r="B24" s="2"/>
      <c r="C24" s="2"/>
      <c r="D24" s="2"/>
      <c r="E24" s="2"/>
      <c r="F24" s="2"/>
      <c r="G24" s="2"/>
      <c r="H24" s="2"/>
      <c r="I24" s="2"/>
      <c r="J24" s="2"/>
      <c r="K24" s="2"/>
      <c r="L24" s="2"/>
      <c r="M24" s="2"/>
      <c r="N24" s="5"/>
    </row>
    <row r="25" spans="1:14" ht="15.5" x14ac:dyDescent="0.35">
      <c r="A25" s="6" t="s">
        <v>25</v>
      </c>
      <c r="B25" s="2"/>
      <c r="C25" s="2"/>
      <c r="D25" s="2"/>
      <c r="E25" s="2"/>
      <c r="F25" s="2"/>
      <c r="G25" s="2"/>
      <c r="H25" s="2"/>
      <c r="I25" s="2"/>
      <c r="J25" s="2"/>
      <c r="K25" s="2"/>
      <c r="L25" s="2"/>
      <c r="M25" s="2"/>
      <c r="N25" s="30"/>
    </row>
    <row r="26" spans="1:14" ht="31" x14ac:dyDescent="0.35">
      <c r="A26" s="7" t="s">
        <v>26</v>
      </c>
      <c r="B26" s="10"/>
      <c r="C26" s="31">
        <f ca="1">SUM(E26+G26+I26+K26)</f>
        <v>4</v>
      </c>
      <c r="D26" s="28" t="s">
        <v>27</v>
      </c>
      <c r="E26" s="27">
        <f t="array" aca="1" ref="E26" ca="1">INDEX([1]Date!H8:H32, MATCH(E12,[1]Date!C8:C32,0),0)</f>
        <v>2</v>
      </c>
      <c r="F26" s="28" t="s">
        <v>28</v>
      </c>
      <c r="G26" s="27">
        <f t="array" aca="1" ref="G26" ca="1">INDEX([1]Date!I8:I32, MATCH(E12,[1]Date!C8:C32,0),0)</f>
        <v>0</v>
      </c>
      <c r="H26" s="28" t="s">
        <v>29</v>
      </c>
      <c r="I26" s="31">
        <f t="array" aca="1" ref="I26" ca="1">INDEX([1]Date!J8:J32, MATCH(E12,[1]Date!C8:C32,0),0)</f>
        <v>2</v>
      </c>
      <c r="J26" s="28" t="s">
        <v>30</v>
      </c>
      <c r="K26" s="27">
        <f t="array" aca="1" ref="K26" ca="1">INDEX([1]Date!K8:K32, MATCH(E12,[1]Date!C8:C32,0),0)</f>
        <v>0</v>
      </c>
      <c r="L26" s="7" t="s">
        <v>31</v>
      </c>
      <c r="M26" s="10"/>
      <c r="N26" s="30"/>
    </row>
    <row r="27" spans="1:14" ht="31" x14ac:dyDescent="0.35">
      <c r="A27" s="7" t="s">
        <v>32</v>
      </c>
      <c r="B27" s="10"/>
      <c r="C27" s="27">
        <f ca="1">C26*14</f>
        <v>56</v>
      </c>
      <c r="D27" s="28" t="s">
        <v>33</v>
      </c>
      <c r="E27" s="27">
        <f ca="1">E26*14</f>
        <v>28</v>
      </c>
      <c r="F27" s="28" t="s">
        <v>34</v>
      </c>
      <c r="G27" s="27">
        <f ca="1">G26*14</f>
        <v>0</v>
      </c>
      <c r="H27" s="28" t="s">
        <v>35</v>
      </c>
      <c r="I27" s="27">
        <f ca="1">I26*14</f>
        <v>28</v>
      </c>
      <c r="J27" s="28" t="s">
        <v>36</v>
      </c>
      <c r="K27" s="27">
        <f ca="1">K26*14</f>
        <v>0</v>
      </c>
      <c r="L27" s="28" t="s">
        <v>37</v>
      </c>
      <c r="M27" s="27">
        <v>0</v>
      </c>
      <c r="N27" s="5"/>
    </row>
    <row r="28" spans="1:14" ht="15.5" x14ac:dyDescent="0.35">
      <c r="A28" s="7" t="s">
        <v>38</v>
      </c>
      <c r="B28" s="8"/>
      <c r="C28" s="8"/>
      <c r="D28" s="8"/>
      <c r="E28" s="8"/>
      <c r="F28" s="8"/>
      <c r="G28" s="8"/>
      <c r="H28" s="8"/>
      <c r="I28" s="8"/>
      <c r="J28" s="8"/>
      <c r="K28" s="8"/>
      <c r="L28" s="10"/>
      <c r="M28" s="27" t="s">
        <v>39</v>
      </c>
      <c r="N28" s="5"/>
    </row>
    <row r="29" spans="1:14" ht="15.5" x14ac:dyDescent="0.35">
      <c r="A29" s="7" t="s">
        <v>40</v>
      </c>
      <c r="B29" s="8"/>
      <c r="C29" s="8"/>
      <c r="D29" s="8"/>
      <c r="E29" s="8"/>
      <c r="F29" s="8"/>
      <c r="G29" s="8"/>
      <c r="H29" s="8"/>
      <c r="I29" s="8"/>
      <c r="J29" s="8"/>
      <c r="K29" s="8"/>
      <c r="L29" s="10"/>
      <c r="M29" s="32">
        <v>15</v>
      </c>
      <c r="N29" s="5"/>
    </row>
    <row r="30" spans="1:14" ht="15.5" x14ac:dyDescent="0.35">
      <c r="A30" s="7" t="s">
        <v>41</v>
      </c>
      <c r="B30" s="8"/>
      <c r="C30" s="8"/>
      <c r="D30" s="8"/>
      <c r="E30" s="8"/>
      <c r="F30" s="8"/>
      <c r="G30" s="8"/>
      <c r="H30" s="8"/>
      <c r="I30" s="8"/>
      <c r="J30" s="8"/>
      <c r="K30" s="8"/>
      <c r="L30" s="10"/>
      <c r="M30" s="32">
        <v>15</v>
      </c>
      <c r="N30" s="5"/>
    </row>
    <row r="31" spans="1:14" ht="15.5" x14ac:dyDescent="0.35">
      <c r="A31" s="7" t="s">
        <v>42</v>
      </c>
      <c r="B31" s="8"/>
      <c r="C31" s="8"/>
      <c r="D31" s="8"/>
      <c r="E31" s="8"/>
      <c r="F31" s="8"/>
      <c r="G31" s="8"/>
      <c r="H31" s="8"/>
      <c r="I31" s="8"/>
      <c r="J31" s="8"/>
      <c r="K31" s="8"/>
      <c r="L31" s="10"/>
      <c r="M31" s="32">
        <v>14</v>
      </c>
      <c r="N31" s="5"/>
    </row>
    <row r="32" spans="1:14" ht="15.5" x14ac:dyDescent="0.35">
      <c r="A32" s="7" t="s">
        <v>43</v>
      </c>
      <c r="B32" s="8"/>
      <c r="C32" s="8"/>
      <c r="D32" s="8"/>
      <c r="E32" s="8"/>
      <c r="F32" s="8"/>
      <c r="G32" s="8"/>
      <c r="H32" s="8"/>
      <c r="I32" s="8"/>
      <c r="J32" s="8"/>
      <c r="K32" s="8"/>
      <c r="L32" s="10"/>
      <c r="M32" s="27">
        <v>0</v>
      </c>
      <c r="N32" s="5"/>
    </row>
    <row r="33" spans="1:14" ht="15.5" x14ac:dyDescent="0.35">
      <c r="A33" s="7" t="s">
        <v>44</v>
      </c>
      <c r="B33" s="8"/>
      <c r="C33" s="8"/>
      <c r="D33" s="8"/>
      <c r="E33" s="8"/>
      <c r="F33" s="8"/>
      <c r="G33" s="8"/>
      <c r="H33" s="8"/>
      <c r="I33" s="8"/>
      <c r="J33" s="8"/>
      <c r="K33" s="8"/>
      <c r="L33" s="10"/>
      <c r="M33" s="27">
        <f ca="1">C34-SUM(M29:M31)</f>
        <v>0</v>
      </c>
      <c r="N33" s="5"/>
    </row>
    <row r="34" spans="1:14" ht="15.5" x14ac:dyDescent="0.35">
      <c r="A34" s="7" t="s">
        <v>45</v>
      </c>
      <c r="B34" s="10"/>
      <c r="C34" s="27">
        <f t="array" aca="1" ref="C34" ca="1">INDEX([1]Date!L8:L32, MATCH(E12,[1]Date!C8:C32,0),0)</f>
        <v>44</v>
      </c>
      <c r="D34" s="5"/>
      <c r="E34" s="5"/>
      <c r="F34" s="5"/>
      <c r="G34" s="5"/>
      <c r="H34" s="5"/>
      <c r="I34" s="5"/>
      <c r="J34" s="5"/>
      <c r="K34" s="5"/>
      <c r="L34" s="5"/>
      <c r="M34" s="5"/>
      <c r="N34" s="5"/>
    </row>
    <row r="35" spans="1:14" ht="15.5" x14ac:dyDescent="0.35">
      <c r="A35" s="7" t="s">
        <v>46</v>
      </c>
      <c r="B35" s="10"/>
      <c r="C35" s="27">
        <f ca="1">C27+C34</f>
        <v>100</v>
      </c>
      <c r="D35" s="5"/>
      <c r="E35" s="5"/>
      <c r="F35" s="5"/>
      <c r="G35" s="5"/>
      <c r="H35" s="5"/>
      <c r="I35" s="5"/>
      <c r="J35" s="5"/>
      <c r="K35" s="5"/>
      <c r="L35" s="5"/>
      <c r="M35" s="5"/>
      <c r="N35" s="5"/>
    </row>
    <row r="36" spans="1:14" ht="15.5" x14ac:dyDescent="0.35">
      <c r="A36" s="7" t="s">
        <v>47</v>
      </c>
      <c r="B36" s="10"/>
      <c r="C36" s="27">
        <f t="array" aca="1" ref="C36" ca="1">INDEX([1]Date!N8:N32, MATCH(E12,[1]Date!C8:C32,0),0)</f>
        <v>4</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48</v>
      </c>
      <c r="B38" s="2"/>
      <c r="C38" s="2"/>
      <c r="D38" s="2"/>
      <c r="E38" s="2"/>
      <c r="F38" s="2"/>
      <c r="G38" s="2"/>
      <c r="H38" s="2"/>
      <c r="I38" s="2"/>
      <c r="J38" s="2"/>
      <c r="K38" s="2"/>
      <c r="L38" s="2"/>
      <c r="M38" s="2"/>
      <c r="N38" s="30"/>
    </row>
    <row r="39" spans="1:14" ht="15.5" x14ac:dyDescent="0.35">
      <c r="A39" s="7" t="s">
        <v>49</v>
      </c>
      <c r="B39" s="10"/>
      <c r="C39" s="9" t="s">
        <v>50</v>
      </c>
      <c r="D39" s="8"/>
      <c r="E39" s="8"/>
      <c r="F39" s="8"/>
      <c r="G39" s="8"/>
      <c r="H39" s="8"/>
      <c r="I39" s="8"/>
      <c r="J39" s="8"/>
      <c r="K39" s="8"/>
      <c r="L39" s="8"/>
      <c r="M39" s="10"/>
      <c r="N39" s="30"/>
    </row>
    <row r="40" spans="1:14" ht="15.5" x14ac:dyDescent="0.35">
      <c r="A40" s="7" t="s">
        <v>51</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52</v>
      </c>
      <c r="B42" s="2"/>
      <c r="C42" s="2"/>
      <c r="D42" s="2"/>
      <c r="E42" s="2"/>
      <c r="F42" s="2"/>
      <c r="G42" s="2"/>
      <c r="H42" s="2"/>
      <c r="I42" s="2"/>
      <c r="J42" s="2"/>
      <c r="K42" s="2"/>
      <c r="L42" s="2"/>
      <c r="M42" s="2"/>
      <c r="N42" s="30"/>
    </row>
    <row r="43" spans="1:14" ht="15.5" x14ac:dyDescent="0.35">
      <c r="A43" s="7" t="s">
        <v>53</v>
      </c>
      <c r="B43" s="10"/>
      <c r="C43" s="23" t="s">
        <v>54</v>
      </c>
      <c r="D43" s="8"/>
      <c r="E43" s="8"/>
      <c r="F43" s="8"/>
      <c r="G43" s="8"/>
      <c r="H43" s="8"/>
      <c r="I43" s="8"/>
      <c r="J43" s="8"/>
      <c r="K43" s="8"/>
      <c r="L43" s="8"/>
      <c r="M43" s="10"/>
      <c r="N43" s="30"/>
    </row>
    <row r="44" spans="1:14" ht="15.5" x14ac:dyDescent="0.35">
      <c r="A44" s="7" t="s">
        <v>55</v>
      </c>
      <c r="B44" s="10"/>
      <c r="C44" s="23" t="s">
        <v>56</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57</v>
      </c>
      <c r="B46" s="2"/>
      <c r="C46" s="2"/>
      <c r="D46" s="2"/>
      <c r="E46" s="2"/>
      <c r="F46" s="2"/>
      <c r="G46" s="2"/>
      <c r="H46" s="2"/>
      <c r="I46" s="2"/>
      <c r="J46" s="2"/>
      <c r="K46" s="2"/>
      <c r="L46" s="2"/>
      <c r="M46" s="2"/>
      <c r="N46" s="30"/>
    </row>
    <row r="47" spans="1:14" ht="62.25" customHeight="1" x14ac:dyDescent="0.35">
      <c r="A47" s="23" t="s">
        <v>58</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59</v>
      </c>
      <c r="B49" s="2"/>
      <c r="C49" s="2"/>
      <c r="D49" s="2"/>
      <c r="E49" s="2"/>
      <c r="F49" s="2"/>
      <c r="G49" s="2"/>
      <c r="H49" s="2"/>
      <c r="I49" s="2"/>
      <c r="J49" s="2"/>
      <c r="K49" s="2"/>
      <c r="L49" s="2"/>
      <c r="M49" s="2"/>
      <c r="N49" s="30"/>
    </row>
    <row r="50" spans="1:14" ht="15.5" x14ac:dyDescent="0.35">
      <c r="A50" s="33" t="s">
        <v>60</v>
      </c>
      <c r="B50" s="34" t="s">
        <v>61</v>
      </c>
      <c r="C50" s="8"/>
      <c r="D50" s="8"/>
      <c r="E50" s="8"/>
      <c r="F50" s="8"/>
      <c r="G50" s="8"/>
      <c r="H50" s="8"/>
      <c r="I50" s="8"/>
      <c r="J50" s="8"/>
      <c r="K50" s="8"/>
      <c r="L50" s="8"/>
      <c r="M50" s="10"/>
      <c r="N50" s="5"/>
    </row>
    <row r="51" spans="1:14" ht="15.5" x14ac:dyDescent="0.35">
      <c r="A51" s="35"/>
      <c r="B51" s="36" t="s">
        <v>62</v>
      </c>
      <c r="C51" s="8"/>
      <c r="D51" s="8"/>
      <c r="E51" s="8"/>
      <c r="F51" s="8"/>
      <c r="G51" s="8"/>
      <c r="H51" s="8"/>
      <c r="I51" s="8"/>
      <c r="J51" s="8"/>
      <c r="K51" s="8"/>
      <c r="L51" s="8"/>
      <c r="M51" s="10"/>
      <c r="N51" s="5"/>
    </row>
    <row r="52" spans="1:14" ht="15.5" x14ac:dyDescent="0.35">
      <c r="A52" s="33" t="s">
        <v>63</v>
      </c>
      <c r="B52" s="34" t="s">
        <v>61</v>
      </c>
      <c r="C52" s="8"/>
      <c r="D52" s="8"/>
      <c r="E52" s="8"/>
      <c r="F52" s="8"/>
      <c r="G52" s="8"/>
      <c r="H52" s="8"/>
      <c r="I52" s="8"/>
      <c r="J52" s="8"/>
      <c r="K52" s="8"/>
      <c r="L52" s="8"/>
      <c r="M52" s="10"/>
      <c r="N52" s="5"/>
    </row>
    <row r="53" spans="1:14" ht="15.5" x14ac:dyDescent="0.35">
      <c r="A53" s="35"/>
      <c r="B53" s="36" t="s">
        <v>64</v>
      </c>
      <c r="C53" s="8"/>
      <c r="D53" s="8"/>
      <c r="E53" s="8"/>
      <c r="F53" s="8"/>
      <c r="G53" s="8"/>
      <c r="H53" s="8"/>
      <c r="I53" s="8"/>
      <c r="J53" s="8"/>
      <c r="K53" s="8"/>
      <c r="L53" s="8"/>
      <c r="M53" s="10"/>
      <c r="N53" s="5"/>
    </row>
    <row r="54" spans="1:14" ht="18" customHeight="1" x14ac:dyDescent="0.35">
      <c r="A54" s="33" t="s">
        <v>65</v>
      </c>
      <c r="B54" s="34" t="s">
        <v>61</v>
      </c>
      <c r="C54" s="8"/>
      <c r="D54" s="8"/>
      <c r="E54" s="8"/>
      <c r="F54" s="8"/>
      <c r="G54" s="8"/>
      <c r="H54" s="8"/>
      <c r="I54" s="8"/>
      <c r="J54" s="8"/>
      <c r="K54" s="8"/>
      <c r="L54" s="8"/>
      <c r="M54" s="10"/>
      <c r="N54" s="5"/>
    </row>
    <row r="55" spans="1:14" ht="104.25" customHeight="1" x14ac:dyDescent="0.35">
      <c r="A55" s="35"/>
      <c r="B55" s="37" t="s">
        <v>66</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67</v>
      </c>
      <c r="B57" s="2"/>
      <c r="C57" s="2"/>
      <c r="D57" s="2"/>
      <c r="E57" s="2"/>
      <c r="F57" s="2"/>
      <c r="G57" s="2"/>
      <c r="H57" s="2"/>
      <c r="I57" s="2"/>
      <c r="J57" s="2"/>
      <c r="K57" s="2"/>
      <c r="L57" s="2"/>
      <c r="M57" s="2"/>
      <c r="N57" s="30"/>
    </row>
    <row r="58" spans="1:14" ht="53.25" customHeight="1" x14ac:dyDescent="0.35">
      <c r="A58" s="23" t="s">
        <v>68</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69</v>
      </c>
      <c r="B60" s="2"/>
      <c r="C60" s="2"/>
      <c r="D60" s="2"/>
      <c r="E60" s="2"/>
      <c r="F60" s="2"/>
      <c r="G60" s="2"/>
      <c r="H60" s="2"/>
      <c r="I60" s="2"/>
      <c r="J60" s="2"/>
      <c r="K60" s="2"/>
      <c r="L60" s="2"/>
      <c r="M60" s="2"/>
      <c r="N60" s="30"/>
    </row>
    <row r="61" spans="1:14" ht="24.75" customHeight="1" x14ac:dyDescent="0.35">
      <c r="A61" s="38" t="s">
        <v>70</v>
      </c>
      <c r="B61" s="8"/>
      <c r="C61" s="8"/>
      <c r="D61" s="8"/>
      <c r="E61" s="8"/>
      <c r="F61" s="8"/>
      <c r="G61" s="10"/>
      <c r="H61" s="38" t="s">
        <v>71</v>
      </c>
      <c r="I61" s="8"/>
      <c r="J61" s="8"/>
      <c r="K61" s="10"/>
      <c r="L61" s="38" t="s">
        <v>72</v>
      </c>
      <c r="M61" s="10"/>
      <c r="N61" s="30"/>
    </row>
    <row r="62" spans="1:14" ht="15.5" x14ac:dyDescent="0.35">
      <c r="A62" s="39" t="s">
        <v>73</v>
      </c>
      <c r="B62" s="23" t="s">
        <v>74</v>
      </c>
      <c r="C62" s="8"/>
      <c r="D62" s="8"/>
      <c r="E62" s="8"/>
      <c r="F62" s="8"/>
      <c r="G62" s="10"/>
      <c r="H62" s="40" t="s">
        <v>75</v>
      </c>
      <c r="I62" s="14"/>
      <c r="J62" s="14"/>
      <c r="K62" s="15"/>
      <c r="L62" s="41" t="s">
        <v>76</v>
      </c>
      <c r="M62" s="10"/>
      <c r="N62" s="5"/>
    </row>
    <row r="63" spans="1:14" ht="15.5" x14ac:dyDescent="0.35">
      <c r="A63" s="39" t="s">
        <v>77</v>
      </c>
      <c r="B63" s="23" t="s">
        <v>78</v>
      </c>
      <c r="C63" s="8"/>
      <c r="D63" s="8"/>
      <c r="E63" s="8"/>
      <c r="F63" s="8"/>
      <c r="G63" s="10"/>
      <c r="H63" s="25"/>
      <c r="I63" s="2"/>
      <c r="J63" s="2"/>
      <c r="K63" s="26"/>
      <c r="L63" s="41" t="s">
        <v>76</v>
      </c>
      <c r="M63" s="10"/>
      <c r="N63" s="5"/>
    </row>
    <row r="64" spans="1:14" ht="15.5" x14ac:dyDescent="0.35">
      <c r="A64" s="39" t="s">
        <v>79</v>
      </c>
      <c r="B64" s="23" t="s">
        <v>80</v>
      </c>
      <c r="C64" s="8"/>
      <c r="D64" s="8"/>
      <c r="E64" s="8"/>
      <c r="F64" s="8"/>
      <c r="G64" s="10"/>
      <c r="H64" s="25"/>
      <c r="I64" s="2"/>
      <c r="J64" s="2"/>
      <c r="K64" s="26"/>
      <c r="L64" s="41" t="s">
        <v>76</v>
      </c>
      <c r="M64" s="10"/>
      <c r="N64" s="5"/>
    </row>
    <row r="65" spans="1:14" ht="15.5" x14ac:dyDescent="0.35">
      <c r="A65" s="39" t="s">
        <v>81</v>
      </c>
      <c r="B65" s="23" t="s">
        <v>82</v>
      </c>
      <c r="C65" s="8"/>
      <c r="D65" s="8"/>
      <c r="E65" s="8"/>
      <c r="F65" s="8"/>
      <c r="G65" s="10"/>
      <c r="H65" s="25"/>
      <c r="I65" s="2"/>
      <c r="J65" s="2"/>
      <c r="K65" s="26"/>
      <c r="L65" s="41" t="s">
        <v>76</v>
      </c>
      <c r="M65" s="10"/>
      <c r="N65" s="5"/>
    </row>
    <row r="66" spans="1:14" ht="15.5" x14ac:dyDescent="0.35">
      <c r="A66" s="39" t="s">
        <v>83</v>
      </c>
      <c r="B66" s="23" t="s">
        <v>84</v>
      </c>
      <c r="C66" s="8"/>
      <c r="D66" s="8"/>
      <c r="E66" s="8"/>
      <c r="F66" s="8"/>
      <c r="G66" s="10"/>
      <c r="H66" s="25"/>
      <c r="I66" s="2"/>
      <c r="J66" s="2"/>
      <c r="K66" s="26"/>
      <c r="L66" s="41" t="s">
        <v>76</v>
      </c>
      <c r="M66" s="10"/>
      <c r="N66" s="5"/>
    </row>
    <row r="67" spans="1:14" ht="28.5" customHeight="1" x14ac:dyDescent="0.35">
      <c r="A67" s="39" t="s">
        <v>85</v>
      </c>
      <c r="B67" s="40" t="s">
        <v>86</v>
      </c>
      <c r="C67" s="14"/>
      <c r="D67" s="14"/>
      <c r="E67" s="14"/>
      <c r="F67" s="14"/>
      <c r="G67" s="15"/>
      <c r="H67" s="25"/>
      <c r="I67" s="2"/>
      <c r="J67" s="2"/>
      <c r="K67" s="26"/>
      <c r="L67" s="42" t="s">
        <v>87</v>
      </c>
      <c r="M67" s="15"/>
      <c r="N67" s="5"/>
    </row>
    <row r="68" spans="1:14" ht="25.5" customHeight="1" x14ac:dyDescent="0.35">
      <c r="A68" s="39" t="s">
        <v>88</v>
      </c>
      <c r="B68" s="24"/>
      <c r="C68" s="18"/>
      <c r="D68" s="18"/>
      <c r="E68" s="18"/>
      <c r="F68" s="18"/>
      <c r="G68" s="19"/>
      <c r="H68" s="25"/>
      <c r="I68" s="2"/>
      <c r="J68" s="2"/>
      <c r="K68" s="26"/>
      <c r="L68" s="24"/>
      <c r="M68" s="19"/>
      <c r="N68" s="5"/>
    </row>
    <row r="69" spans="1:14" ht="15.5" x14ac:dyDescent="0.35">
      <c r="A69" s="39" t="s">
        <v>89</v>
      </c>
      <c r="B69" s="23" t="s">
        <v>90</v>
      </c>
      <c r="C69" s="8"/>
      <c r="D69" s="8"/>
      <c r="E69" s="8"/>
      <c r="F69" s="8"/>
      <c r="G69" s="10"/>
      <c r="H69" s="25"/>
      <c r="I69" s="2"/>
      <c r="J69" s="2"/>
      <c r="K69" s="26"/>
      <c r="L69" s="41" t="s">
        <v>76</v>
      </c>
      <c r="M69" s="10"/>
      <c r="N69" s="5"/>
    </row>
    <row r="70" spans="1:14" ht="15.5" x14ac:dyDescent="0.35">
      <c r="A70" s="39" t="s">
        <v>91</v>
      </c>
      <c r="B70" s="23" t="s">
        <v>92</v>
      </c>
      <c r="C70" s="8"/>
      <c r="D70" s="8"/>
      <c r="E70" s="8"/>
      <c r="F70" s="8"/>
      <c r="G70" s="10"/>
      <c r="H70" s="25"/>
      <c r="I70" s="2"/>
      <c r="J70" s="2"/>
      <c r="K70" s="26"/>
      <c r="L70" s="41" t="s">
        <v>76</v>
      </c>
      <c r="M70" s="10"/>
      <c r="N70" s="5"/>
    </row>
    <row r="71" spans="1:14" ht="28.5" customHeight="1" x14ac:dyDescent="0.35">
      <c r="A71" s="39" t="s">
        <v>93</v>
      </c>
      <c r="B71" s="40" t="s">
        <v>94</v>
      </c>
      <c r="C71" s="14"/>
      <c r="D71" s="14"/>
      <c r="E71" s="14"/>
      <c r="F71" s="14"/>
      <c r="G71" s="15"/>
      <c r="H71" s="25"/>
      <c r="I71" s="2"/>
      <c r="J71" s="2"/>
      <c r="K71" s="26"/>
      <c r="L71" s="42" t="s">
        <v>87</v>
      </c>
      <c r="M71" s="15"/>
      <c r="N71" s="5"/>
    </row>
    <row r="72" spans="1:14" ht="25.5" customHeight="1" x14ac:dyDescent="0.35">
      <c r="A72" s="39" t="s">
        <v>95</v>
      </c>
      <c r="B72" s="24"/>
      <c r="C72" s="18"/>
      <c r="D72" s="18"/>
      <c r="E72" s="18"/>
      <c r="F72" s="18"/>
      <c r="G72" s="19"/>
      <c r="H72" s="25"/>
      <c r="I72" s="2"/>
      <c r="J72" s="2"/>
      <c r="K72" s="26"/>
      <c r="L72" s="24"/>
      <c r="M72" s="19"/>
      <c r="N72" s="5"/>
    </row>
    <row r="73" spans="1:14" ht="15.5" x14ac:dyDescent="0.35">
      <c r="A73" s="39" t="s">
        <v>96</v>
      </c>
      <c r="B73" s="23" t="s">
        <v>97</v>
      </c>
      <c r="C73" s="8"/>
      <c r="D73" s="8"/>
      <c r="E73" s="8"/>
      <c r="F73" s="8"/>
      <c r="G73" s="10"/>
      <c r="H73" s="25"/>
      <c r="I73" s="2"/>
      <c r="J73" s="2"/>
      <c r="K73" s="26"/>
      <c r="L73" s="41" t="s">
        <v>76</v>
      </c>
      <c r="M73" s="10"/>
      <c r="N73" s="5"/>
    </row>
    <row r="74" spans="1:14" ht="15.5" x14ac:dyDescent="0.35">
      <c r="A74" s="39" t="s">
        <v>98</v>
      </c>
      <c r="B74" s="23" t="s">
        <v>99</v>
      </c>
      <c r="C74" s="8"/>
      <c r="D74" s="8"/>
      <c r="E74" s="8"/>
      <c r="F74" s="8"/>
      <c r="G74" s="10"/>
      <c r="H74" s="25"/>
      <c r="I74" s="2"/>
      <c r="J74" s="2"/>
      <c r="K74" s="26"/>
      <c r="L74" s="41" t="s">
        <v>76</v>
      </c>
      <c r="M74" s="10"/>
      <c r="N74" s="5"/>
    </row>
    <row r="75" spans="1:14" ht="15.5" x14ac:dyDescent="0.35">
      <c r="A75" s="39" t="s">
        <v>100</v>
      </c>
      <c r="B75" s="23" t="s">
        <v>101</v>
      </c>
      <c r="C75" s="8"/>
      <c r="D75" s="8"/>
      <c r="E75" s="8"/>
      <c r="F75" s="8"/>
      <c r="G75" s="10"/>
      <c r="H75" s="24"/>
      <c r="I75" s="18"/>
      <c r="J75" s="18"/>
      <c r="K75" s="19"/>
      <c r="L75" s="41" t="s">
        <v>76</v>
      </c>
      <c r="M75" s="10"/>
      <c r="N75" s="5"/>
    </row>
    <row r="76" spans="1:14" ht="84.75" customHeight="1" x14ac:dyDescent="0.35">
      <c r="A76" s="37" t="s">
        <v>102</v>
      </c>
      <c r="B76" s="8"/>
      <c r="C76" s="8"/>
      <c r="D76" s="8"/>
      <c r="E76" s="8"/>
      <c r="F76" s="8"/>
      <c r="G76" s="8"/>
      <c r="H76" s="8"/>
      <c r="I76" s="8"/>
      <c r="J76" s="8"/>
      <c r="K76" s="8"/>
      <c r="L76" s="8"/>
      <c r="M76" s="10"/>
      <c r="N76" s="5"/>
    </row>
    <row r="77" spans="1:14" ht="24.75" hidden="1" customHeight="1" x14ac:dyDescent="0.35">
      <c r="A77" s="38" t="s">
        <v>103</v>
      </c>
      <c r="B77" s="8"/>
      <c r="C77" s="8"/>
      <c r="D77" s="8"/>
      <c r="E77" s="8"/>
      <c r="F77" s="8"/>
      <c r="G77" s="10"/>
      <c r="H77" s="38" t="s">
        <v>104</v>
      </c>
      <c r="I77" s="8"/>
      <c r="J77" s="8"/>
      <c r="K77" s="10"/>
      <c r="L77" s="38" t="s">
        <v>72</v>
      </c>
      <c r="M77" s="10"/>
      <c r="N77" s="30"/>
    </row>
    <row r="78" spans="1:14" ht="15.5" hidden="1" x14ac:dyDescent="0.35">
      <c r="A78" s="39" t="s">
        <v>73</v>
      </c>
      <c r="B78" s="23"/>
      <c r="C78" s="8"/>
      <c r="D78" s="8"/>
      <c r="E78" s="8"/>
      <c r="F78" s="8"/>
      <c r="G78" s="10"/>
      <c r="H78" s="40"/>
      <c r="I78" s="14"/>
      <c r="J78" s="14"/>
      <c r="K78" s="15"/>
      <c r="L78" s="23"/>
      <c r="M78" s="10"/>
      <c r="N78" s="5"/>
    </row>
    <row r="79" spans="1:14" ht="15.5" hidden="1" x14ac:dyDescent="0.35">
      <c r="A79" s="39" t="s">
        <v>77</v>
      </c>
      <c r="B79" s="23"/>
      <c r="C79" s="8"/>
      <c r="D79" s="8"/>
      <c r="E79" s="8"/>
      <c r="F79" s="8"/>
      <c r="G79" s="10"/>
      <c r="H79" s="25"/>
      <c r="I79" s="2"/>
      <c r="J79" s="2"/>
      <c r="K79" s="26"/>
      <c r="L79" s="23"/>
      <c r="M79" s="10"/>
      <c r="N79" s="5"/>
    </row>
    <row r="80" spans="1:14" ht="15.5" hidden="1" x14ac:dyDescent="0.35">
      <c r="A80" s="39" t="s">
        <v>79</v>
      </c>
      <c r="B80" s="23"/>
      <c r="C80" s="8"/>
      <c r="D80" s="8"/>
      <c r="E80" s="8"/>
      <c r="F80" s="8"/>
      <c r="G80" s="10"/>
      <c r="H80" s="25"/>
      <c r="I80" s="2"/>
      <c r="J80" s="2"/>
      <c r="K80" s="26"/>
      <c r="L80" s="23"/>
      <c r="M80" s="10"/>
      <c r="N80" s="5"/>
    </row>
    <row r="81" spans="1:14" ht="15.5" hidden="1" x14ac:dyDescent="0.35">
      <c r="A81" s="39" t="s">
        <v>81</v>
      </c>
      <c r="B81" s="23"/>
      <c r="C81" s="8"/>
      <c r="D81" s="8"/>
      <c r="E81" s="8"/>
      <c r="F81" s="8"/>
      <c r="G81" s="10"/>
      <c r="H81" s="25"/>
      <c r="I81" s="2"/>
      <c r="J81" s="2"/>
      <c r="K81" s="26"/>
      <c r="L81" s="23"/>
      <c r="M81" s="10"/>
      <c r="N81" s="5"/>
    </row>
    <row r="82" spans="1:14" ht="15.5" hidden="1" x14ac:dyDescent="0.35">
      <c r="A82" s="39" t="s">
        <v>83</v>
      </c>
      <c r="B82" s="23"/>
      <c r="C82" s="8"/>
      <c r="D82" s="8"/>
      <c r="E82" s="8"/>
      <c r="F82" s="8"/>
      <c r="G82" s="10"/>
      <c r="H82" s="25"/>
      <c r="I82" s="2"/>
      <c r="J82" s="2"/>
      <c r="K82" s="26"/>
      <c r="L82" s="23"/>
      <c r="M82" s="10"/>
      <c r="N82" s="5"/>
    </row>
    <row r="83" spans="1:14" ht="15.5" hidden="1" x14ac:dyDescent="0.35">
      <c r="A83" s="39" t="s">
        <v>85</v>
      </c>
      <c r="B83" s="23"/>
      <c r="C83" s="8"/>
      <c r="D83" s="8"/>
      <c r="E83" s="8"/>
      <c r="F83" s="8"/>
      <c r="G83" s="10"/>
      <c r="H83" s="25"/>
      <c r="I83" s="2"/>
      <c r="J83" s="2"/>
      <c r="K83" s="26"/>
      <c r="L83" s="23"/>
      <c r="M83" s="10"/>
      <c r="N83" s="5"/>
    </row>
    <row r="84" spans="1:14" ht="15.5" hidden="1" x14ac:dyDescent="0.35">
      <c r="A84" s="39" t="s">
        <v>88</v>
      </c>
      <c r="B84" s="23"/>
      <c r="C84" s="8"/>
      <c r="D84" s="8"/>
      <c r="E84" s="8"/>
      <c r="F84" s="8"/>
      <c r="G84" s="10"/>
      <c r="H84" s="25"/>
      <c r="I84" s="2"/>
      <c r="J84" s="2"/>
      <c r="K84" s="26"/>
      <c r="L84" s="23"/>
      <c r="M84" s="10"/>
      <c r="N84" s="5"/>
    </row>
    <row r="85" spans="1:14" ht="15.5" hidden="1" x14ac:dyDescent="0.35">
      <c r="A85" s="39" t="s">
        <v>89</v>
      </c>
      <c r="B85" s="23"/>
      <c r="C85" s="8"/>
      <c r="D85" s="8"/>
      <c r="E85" s="8"/>
      <c r="F85" s="8"/>
      <c r="G85" s="10"/>
      <c r="H85" s="25"/>
      <c r="I85" s="2"/>
      <c r="J85" s="2"/>
      <c r="K85" s="26"/>
      <c r="L85" s="23"/>
      <c r="M85" s="10"/>
      <c r="N85" s="5"/>
    </row>
    <row r="86" spans="1:14" ht="15.5" hidden="1" x14ac:dyDescent="0.35">
      <c r="A86" s="39" t="s">
        <v>91</v>
      </c>
      <c r="B86" s="23"/>
      <c r="C86" s="8"/>
      <c r="D86" s="8"/>
      <c r="E86" s="8"/>
      <c r="F86" s="8"/>
      <c r="G86" s="10"/>
      <c r="H86" s="25"/>
      <c r="I86" s="2"/>
      <c r="J86" s="2"/>
      <c r="K86" s="26"/>
      <c r="L86" s="23"/>
      <c r="M86" s="10"/>
      <c r="N86" s="5"/>
    </row>
    <row r="87" spans="1:14" ht="15.5" hidden="1" x14ac:dyDescent="0.35">
      <c r="A87" s="39" t="s">
        <v>93</v>
      </c>
      <c r="B87" s="23"/>
      <c r="C87" s="8"/>
      <c r="D87" s="8"/>
      <c r="E87" s="8"/>
      <c r="F87" s="8"/>
      <c r="G87" s="10"/>
      <c r="H87" s="25"/>
      <c r="I87" s="2"/>
      <c r="J87" s="2"/>
      <c r="K87" s="26"/>
      <c r="L87" s="23"/>
      <c r="M87" s="10"/>
      <c r="N87" s="5"/>
    </row>
    <row r="88" spans="1:14" ht="15.5" hidden="1" x14ac:dyDescent="0.35">
      <c r="A88" s="39" t="s">
        <v>95</v>
      </c>
      <c r="B88" s="23"/>
      <c r="C88" s="8"/>
      <c r="D88" s="8"/>
      <c r="E88" s="8"/>
      <c r="F88" s="8"/>
      <c r="G88" s="10"/>
      <c r="H88" s="25"/>
      <c r="I88" s="2"/>
      <c r="J88" s="2"/>
      <c r="K88" s="26"/>
      <c r="L88" s="23"/>
      <c r="M88" s="10"/>
      <c r="N88" s="5"/>
    </row>
    <row r="89" spans="1:14" ht="15.5" hidden="1" x14ac:dyDescent="0.35">
      <c r="A89" s="39" t="s">
        <v>96</v>
      </c>
      <c r="B89" s="23"/>
      <c r="C89" s="8"/>
      <c r="D89" s="8"/>
      <c r="E89" s="8"/>
      <c r="F89" s="8"/>
      <c r="G89" s="10"/>
      <c r="H89" s="25"/>
      <c r="I89" s="2"/>
      <c r="J89" s="2"/>
      <c r="K89" s="26"/>
      <c r="L89" s="23"/>
      <c r="M89" s="10"/>
      <c r="N89" s="5"/>
    </row>
    <row r="90" spans="1:14" ht="15.5" hidden="1" x14ac:dyDescent="0.35">
      <c r="A90" s="39" t="s">
        <v>98</v>
      </c>
      <c r="B90" s="23"/>
      <c r="C90" s="8"/>
      <c r="D90" s="8"/>
      <c r="E90" s="8"/>
      <c r="F90" s="8"/>
      <c r="G90" s="10"/>
      <c r="H90" s="25"/>
      <c r="I90" s="2"/>
      <c r="J90" s="2"/>
      <c r="K90" s="26"/>
      <c r="L90" s="23"/>
      <c r="M90" s="10"/>
      <c r="N90" s="5"/>
    </row>
    <row r="91" spans="1:14" ht="15.5" hidden="1" x14ac:dyDescent="0.35">
      <c r="A91" s="39" t="s">
        <v>100</v>
      </c>
      <c r="B91" s="23"/>
      <c r="C91" s="8"/>
      <c r="D91" s="8"/>
      <c r="E91" s="8"/>
      <c r="F91" s="8"/>
      <c r="G91" s="10"/>
      <c r="H91" s="24"/>
      <c r="I91" s="18"/>
      <c r="J91" s="18"/>
      <c r="K91" s="19"/>
      <c r="L91" s="23"/>
      <c r="M91" s="10"/>
      <c r="N91" s="5"/>
    </row>
    <row r="92" spans="1:14" ht="24" customHeight="1" x14ac:dyDescent="0.35">
      <c r="A92" s="38" t="s">
        <v>105</v>
      </c>
      <c r="B92" s="8"/>
      <c r="C92" s="8"/>
      <c r="D92" s="8"/>
      <c r="E92" s="8"/>
      <c r="F92" s="8"/>
      <c r="G92" s="10"/>
      <c r="H92" s="38" t="s">
        <v>104</v>
      </c>
      <c r="I92" s="8"/>
      <c r="J92" s="8"/>
      <c r="K92" s="10"/>
      <c r="L92" s="38" t="s">
        <v>72</v>
      </c>
      <c r="M92" s="10"/>
      <c r="N92" s="30"/>
    </row>
    <row r="93" spans="1:14" ht="15.5" x14ac:dyDescent="0.35">
      <c r="A93" s="39" t="s">
        <v>73</v>
      </c>
      <c r="B93" s="23" t="s">
        <v>106</v>
      </c>
      <c r="C93" s="8"/>
      <c r="D93" s="8"/>
      <c r="E93" s="8"/>
      <c r="F93" s="8"/>
      <c r="G93" s="10"/>
      <c r="H93" s="40" t="s">
        <v>107</v>
      </c>
      <c r="I93" s="14"/>
      <c r="J93" s="14"/>
      <c r="K93" s="15"/>
      <c r="L93" s="41" t="s">
        <v>76</v>
      </c>
      <c r="M93" s="10"/>
      <c r="N93" s="5"/>
    </row>
    <row r="94" spans="1:14" ht="15.5" x14ac:dyDescent="0.35">
      <c r="A94" s="39" t="s">
        <v>77</v>
      </c>
      <c r="B94" s="23" t="s">
        <v>108</v>
      </c>
      <c r="C94" s="8"/>
      <c r="D94" s="8"/>
      <c r="E94" s="8"/>
      <c r="F94" s="8"/>
      <c r="G94" s="10"/>
      <c r="H94" s="25"/>
      <c r="I94" s="2"/>
      <c r="J94" s="2"/>
      <c r="K94" s="26"/>
      <c r="L94" s="41" t="s">
        <v>76</v>
      </c>
      <c r="M94" s="10"/>
      <c r="N94" s="5"/>
    </row>
    <row r="95" spans="1:14" ht="15.5" x14ac:dyDescent="0.35">
      <c r="A95" s="39" t="s">
        <v>79</v>
      </c>
      <c r="B95" s="23" t="s">
        <v>109</v>
      </c>
      <c r="C95" s="8"/>
      <c r="D95" s="8"/>
      <c r="E95" s="8"/>
      <c r="F95" s="8"/>
      <c r="G95" s="10"/>
      <c r="H95" s="25"/>
      <c r="I95" s="2"/>
      <c r="J95" s="2"/>
      <c r="K95" s="26"/>
      <c r="L95" s="41" t="s">
        <v>76</v>
      </c>
      <c r="M95" s="10"/>
      <c r="N95" s="5"/>
    </row>
    <row r="96" spans="1:14" ht="15.5" x14ac:dyDescent="0.35">
      <c r="A96" s="39" t="s">
        <v>81</v>
      </c>
      <c r="B96" s="23" t="s">
        <v>110</v>
      </c>
      <c r="C96" s="8"/>
      <c r="D96" s="8"/>
      <c r="E96" s="8"/>
      <c r="F96" s="8"/>
      <c r="G96" s="10"/>
      <c r="H96" s="25"/>
      <c r="I96" s="2"/>
      <c r="J96" s="2"/>
      <c r="K96" s="26"/>
      <c r="L96" s="41" t="s">
        <v>76</v>
      </c>
      <c r="M96" s="10"/>
      <c r="N96" s="5"/>
    </row>
    <row r="97" spans="1:14" ht="15.5" x14ac:dyDescent="0.35">
      <c r="A97" s="39" t="s">
        <v>83</v>
      </c>
      <c r="B97" s="23" t="s">
        <v>111</v>
      </c>
      <c r="C97" s="8"/>
      <c r="D97" s="8"/>
      <c r="E97" s="8"/>
      <c r="F97" s="8"/>
      <c r="G97" s="10"/>
      <c r="H97" s="25"/>
      <c r="I97" s="2"/>
      <c r="J97" s="2"/>
      <c r="K97" s="26"/>
      <c r="L97" s="41" t="s">
        <v>76</v>
      </c>
      <c r="M97" s="10"/>
      <c r="N97" s="5"/>
    </row>
    <row r="98" spans="1:14" ht="15.5" x14ac:dyDescent="0.35">
      <c r="A98" s="39" t="s">
        <v>85</v>
      </c>
      <c r="B98" s="23" t="s">
        <v>112</v>
      </c>
      <c r="C98" s="8"/>
      <c r="D98" s="8"/>
      <c r="E98" s="8"/>
      <c r="F98" s="8"/>
      <c r="G98" s="10"/>
      <c r="H98" s="25"/>
      <c r="I98" s="2"/>
      <c r="J98" s="2"/>
      <c r="K98" s="26"/>
      <c r="L98" s="41" t="s">
        <v>76</v>
      </c>
      <c r="M98" s="10"/>
      <c r="N98" s="5"/>
    </row>
    <row r="99" spans="1:14" ht="15.5" x14ac:dyDescent="0.35">
      <c r="A99" s="39" t="s">
        <v>88</v>
      </c>
      <c r="B99" s="23" t="s">
        <v>113</v>
      </c>
      <c r="C99" s="8"/>
      <c r="D99" s="8"/>
      <c r="E99" s="8"/>
      <c r="F99" s="8"/>
      <c r="G99" s="10"/>
      <c r="H99" s="25"/>
      <c r="I99" s="2"/>
      <c r="J99" s="2"/>
      <c r="K99" s="26"/>
      <c r="L99" s="41" t="s">
        <v>76</v>
      </c>
      <c r="M99" s="10"/>
      <c r="N99" s="5"/>
    </row>
    <row r="100" spans="1:14" ht="15.5" x14ac:dyDescent="0.35">
      <c r="A100" s="39" t="s">
        <v>89</v>
      </c>
      <c r="B100" s="23" t="s">
        <v>114</v>
      </c>
      <c r="C100" s="8"/>
      <c r="D100" s="8"/>
      <c r="E100" s="8"/>
      <c r="F100" s="8"/>
      <c r="G100" s="10"/>
      <c r="H100" s="25"/>
      <c r="I100" s="2"/>
      <c r="J100" s="2"/>
      <c r="K100" s="26"/>
      <c r="L100" s="41" t="s">
        <v>76</v>
      </c>
      <c r="M100" s="10"/>
      <c r="N100" s="5"/>
    </row>
    <row r="101" spans="1:14" ht="15.5" x14ac:dyDescent="0.35">
      <c r="A101" s="39" t="s">
        <v>91</v>
      </c>
      <c r="B101" s="23" t="s">
        <v>115</v>
      </c>
      <c r="C101" s="8"/>
      <c r="D101" s="8"/>
      <c r="E101" s="8"/>
      <c r="F101" s="8"/>
      <c r="G101" s="10"/>
      <c r="H101" s="25"/>
      <c r="I101" s="2"/>
      <c r="J101" s="2"/>
      <c r="K101" s="26"/>
      <c r="L101" s="41" t="s">
        <v>76</v>
      </c>
      <c r="M101" s="10"/>
      <c r="N101" s="5"/>
    </row>
    <row r="102" spans="1:14" ht="15.5" x14ac:dyDescent="0.35">
      <c r="A102" s="39" t="s">
        <v>93</v>
      </c>
      <c r="B102" s="23" t="s">
        <v>116</v>
      </c>
      <c r="C102" s="8"/>
      <c r="D102" s="8"/>
      <c r="E102" s="8"/>
      <c r="F102" s="8"/>
      <c r="G102" s="10"/>
      <c r="H102" s="25"/>
      <c r="I102" s="2"/>
      <c r="J102" s="2"/>
      <c r="K102" s="26"/>
      <c r="L102" s="41" t="s">
        <v>76</v>
      </c>
      <c r="M102" s="10"/>
      <c r="N102" s="5"/>
    </row>
    <row r="103" spans="1:14" ht="15.5" x14ac:dyDescent="0.35">
      <c r="A103" s="39" t="s">
        <v>95</v>
      </c>
      <c r="B103" s="23" t="s">
        <v>117</v>
      </c>
      <c r="C103" s="8"/>
      <c r="D103" s="8"/>
      <c r="E103" s="8"/>
      <c r="F103" s="8"/>
      <c r="G103" s="10"/>
      <c r="H103" s="25"/>
      <c r="I103" s="2"/>
      <c r="J103" s="2"/>
      <c r="K103" s="26"/>
      <c r="L103" s="41" t="s">
        <v>76</v>
      </c>
      <c r="M103" s="10"/>
      <c r="N103" s="5"/>
    </row>
    <row r="104" spans="1:14" ht="15.5" x14ac:dyDescent="0.35">
      <c r="A104" s="39" t="s">
        <v>96</v>
      </c>
      <c r="B104" s="23" t="s">
        <v>118</v>
      </c>
      <c r="C104" s="8"/>
      <c r="D104" s="8"/>
      <c r="E104" s="8"/>
      <c r="F104" s="8"/>
      <c r="G104" s="10"/>
      <c r="H104" s="25"/>
      <c r="I104" s="2"/>
      <c r="J104" s="2"/>
      <c r="K104" s="26"/>
      <c r="L104" s="41" t="s">
        <v>76</v>
      </c>
      <c r="M104" s="10"/>
      <c r="N104" s="5"/>
    </row>
    <row r="105" spans="1:14" ht="15.5" x14ac:dyDescent="0.35">
      <c r="A105" s="39" t="s">
        <v>98</v>
      </c>
      <c r="B105" s="23" t="s">
        <v>119</v>
      </c>
      <c r="C105" s="8"/>
      <c r="D105" s="8"/>
      <c r="E105" s="8"/>
      <c r="F105" s="8"/>
      <c r="G105" s="10"/>
      <c r="H105" s="25"/>
      <c r="I105" s="2"/>
      <c r="J105" s="2"/>
      <c r="K105" s="26"/>
      <c r="L105" s="41" t="s">
        <v>76</v>
      </c>
      <c r="M105" s="10"/>
      <c r="N105" s="5"/>
    </row>
    <row r="106" spans="1:14" ht="15.5" x14ac:dyDescent="0.35">
      <c r="A106" s="39" t="s">
        <v>100</v>
      </c>
      <c r="B106" s="23"/>
      <c r="C106" s="8"/>
      <c r="D106" s="8"/>
      <c r="E106" s="8"/>
      <c r="F106" s="8"/>
      <c r="G106" s="10"/>
      <c r="H106" s="24"/>
      <c r="I106" s="18"/>
      <c r="J106" s="18"/>
      <c r="K106" s="19"/>
      <c r="L106" s="23"/>
      <c r="M106" s="10"/>
      <c r="N106" s="5"/>
    </row>
    <row r="107" spans="1:14" ht="24" hidden="1" customHeight="1" x14ac:dyDescent="0.35">
      <c r="A107" s="38" t="s">
        <v>120</v>
      </c>
      <c r="B107" s="8"/>
      <c r="C107" s="8"/>
      <c r="D107" s="8"/>
      <c r="E107" s="8"/>
      <c r="F107" s="8"/>
      <c r="G107" s="10"/>
      <c r="H107" s="38" t="s">
        <v>104</v>
      </c>
      <c r="I107" s="8"/>
      <c r="J107" s="8"/>
      <c r="K107" s="10"/>
      <c r="L107" s="38" t="s">
        <v>72</v>
      </c>
      <c r="M107" s="10"/>
      <c r="N107" s="30"/>
    </row>
    <row r="108" spans="1:14" ht="15.5" hidden="1" x14ac:dyDescent="0.35">
      <c r="A108" s="39" t="s">
        <v>73</v>
      </c>
      <c r="B108" s="23"/>
      <c r="C108" s="8"/>
      <c r="D108" s="8"/>
      <c r="E108" s="8"/>
      <c r="F108" s="8"/>
      <c r="G108" s="10"/>
      <c r="H108" s="40"/>
      <c r="I108" s="14"/>
      <c r="J108" s="14"/>
      <c r="K108" s="15"/>
      <c r="L108" s="23"/>
      <c r="M108" s="10"/>
      <c r="N108" s="5"/>
    </row>
    <row r="109" spans="1:14" ht="15.5" hidden="1" x14ac:dyDescent="0.35">
      <c r="A109" s="39" t="s">
        <v>77</v>
      </c>
      <c r="B109" s="23"/>
      <c r="C109" s="8"/>
      <c r="D109" s="8"/>
      <c r="E109" s="8"/>
      <c r="F109" s="8"/>
      <c r="G109" s="10"/>
      <c r="H109" s="25"/>
      <c r="I109" s="2"/>
      <c r="J109" s="2"/>
      <c r="K109" s="26"/>
      <c r="L109" s="23"/>
      <c r="M109" s="10"/>
      <c r="N109" s="5"/>
    </row>
    <row r="110" spans="1:14" ht="15.5" hidden="1" x14ac:dyDescent="0.35">
      <c r="A110" s="39" t="s">
        <v>79</v>
      </c>
      <c r="B110" s="23"/>
      <c r="C110" s="8"/>
      <c r="D110" s="8"/>
      <c r="E110" s="8"/>
      <c r="F110" s="8"/>
      <c r="G110" s="10"/>
      <c r="H110" s="25"/>
      <c r="I110" s="2"/>
      <c r="J110" s="2"/>
      <c r="K110" s="26"/>
      <c r="L110" s="23"/>
      <c r="M110" s="10"/>
      <c r="N110" s="5"/>
    </row>
    <row r="111" spans="1:14" ht="15.5" hidden="1" x14ac:dyDescent="0.35">
      <c r="A111" s="39" t="s">
        <v>81</v>
      </c>
      <c r="B111" s="23"/>
      <c r="C111" s="8"/>
      <c r="D111" s="8"/>
      <c r="E111" s="8"/>
      <c r="F111" s="8"/>
      <c r="G111" s="10"/>
      <c r="H111" s="25"/>
      <c r="I111" s="2"/>
      <c r="J111" s="2"/>
      <c r="K111" s="26"/>
      <c r="L111" s="23"/>
      <c r="M111" s="10"/>
      <c r="N111" s="5"/>
    </row>
    <row r="112" spans="1:14" ht="15.5" hidden="1" x14ac:dyDescent="0.35">
      <c r="A112" s="39" t="s">
        <v>83</v>
      </c>
      <c r="B112" s="23"/>
      <c r="C112" s="8"/>
      <c r="D112" s="8"/>
      <c r="E112" s="8"/>
      <c r="F112" s="8"/>
      <c r="G112" s="10"/>
      <c r="H112" s="25"/>
      <c r="I112" s="2"/>
      <c r="J112" s="2"/>
      <c r="K112" s="26"/>
      <c r="L112" s="23"/>
      <c r="M112" s="10"/>
      <c r="N112" s="5"/>
    </row>
    <row r="113" spans="1:14" ht="15.5" hidden="1" x14ac:dyDescent="0.35">
      <c r="A113" s="39" t="s">
        <v>85</v>
      </c>
      <c r="B113" s="23"/>
      <c r="C113" s="8"/>
      <c r="D113" s="8"/>
      <c r="E113" s="8"/>
      <c r="F113" s="8"/>
      <c r="G113" s="10"/>
      <c r="H113" s="25"/>
      <c r="I113" s="2"/>
      <c r="J113" s="2"/>
      <c r="K113" s="26"/>
      <c r="L113" s="23"/>
      <c r="M113" s="10"/>
      <c r="N113" s="5"/>
    </row>
    <row r="114" spans="1:14" ht="15.5" hidden="1" x14ac:dyDescent="0.35">
      <c r="A114" s="39" t="s">
        <v>88</v>
      </c>
      <c r="B114" s="23"/>
      <c r="C114" s="8"/>
      <c r="D114" s="8"/>
      <c r="E114" s="8"/>
      <c r="F114" s="8"/>
      <c r="G114" s="10"/>
      <c r="H114" s="25"/>
      <c r="I114" s="2"/>
      <c r="J114" s="2"/>
      <c r="K114" s="26"/>
      <c r="L114" s="23"/>
      <c r="M114" s="10"/>
      <c r="N114" s="5"/>
    </row>
    <row r="115" spans="1:14" ht="15.5" hidden="1" x14ac:dyDescent="0.35">
      <c r="A115" s="39" t="s">
        <v>89</v>
      </c>
      <c r="B115" s="23"/>
      <c r="C115" s="8"/>
      <c r="D115" s="8"/>
      <c r="E115" s="8"/>
      <c r="F115" s="8"/>
      <c r="G115" s="10"/>
      <c r="H115" s="25"/>
      <c r="I115" s="2"/>
      <c r="J115" s="2"/>
      <c r="K115" s="26"/>
      <c r="L115" s="23"/>
      <c r="M115" s="10"/>
      <c r="N115" s="5"/>
    </row>
    <row r="116" spans="1:14" ht="15.5" hidden="1" x14ac:dyDescent="0.35">
      <c r="A116" s="39" t="s">
        <v>91</v>
      </c>
      <c r="B116" s="23"/>
      <c r="C116" s="8"/>
      <c r="D116" s="8"/>
      <c r="E116" s="8"/>
      <c r="F116" s="8"/>
      <c r="G116" s="10"/>
      <c r="H116" s="25"/>
      <c r="I116" s="2"/>
      <c r="J116" s="2"/>
      <c r="K116" s="26"/>
      <c r="L116" s="23"/>
      <c r="M116" s="10"/>
      <c r="N116" s="5"/>
    </row>
    <row r="117" spans="1:14" ht="15.5" hidden="1" x14ac:dyDescent="0.35">
      <c r="A117" s="39" t="s">
        <v>93</v>
      </c>
      <c r="B117" s="23"/>
      <c r="C117" s="8"/>
      <c r="D117" s="8"/>
      <c r="E117" s="8"/>
      <c r="F117" s="8"/>
      <c r="G117" s="10"/>
      <c r="H117" s="25"/>
      <c r="I117" s="2"/>
      <c r="J117" s="2"/>
      <c r="K117" s="26"/>
      <c r="L117" s="23"/>
      <c r="M117" s="10"/>
      <c r="N117" s="5"/>
    </row>
    <row r="118" spans="1:14" ht="15.5" hidden="1" x14ac:dyDescent="0.35">
      <c r="A118" s="39" t="s">
        <v>95</v>
      </c>
      <c r="B118" s="23"/>
      <c r="C118" s="8"/>
      <c r="D118" s="8"/>
      <c r="E118" s="8"/>
      <c r="F118" s="8"/>
      <c r="G118" s="10"/>
      <c r="H118" s="25"/>
      <c r="I118" s="2"/>
      <c r="J118" s="2"/>
      <c r="K118" s="26"/>
      <c r="L118" s="23"/>
      <c r="M118" s="10"/>
      <c r="N118" s="5"/>
    </row>
    <row r="119" spans="1:14" ht="15.5" hidden="1" x14ac:dyDescent="0.35">
      <c r="A119" s="39" t="s">
        <v>96</v>
      </c>
      <c r="B119" s="23"/>
      <c r="C119" s="8"/>
      <c r="D119" s="8"/>
      <c r="E119" s="8"/>
      <c r="F119" s="8"/>
      <c r="G119" s="10"/>
      <c r="H119" s="25"/>
      <c r="I119" s="2"/>
      <c r="J119" s="2"/>
      <c r="K119" s="26"/>
      <c r="L119" s="23"/>
      <c r="M119" s="10"/>
      <c r="N119" s="5"/>
    </row>
    <row r="120" spans="1:14" ht="15.5" hidden="1" x14ac:dyDescent="0.35">
      <c r="A120" s="39" t="s">
        <v>98</v>
      </c>
      <c r="B120" s="23"/>
      <c r="C120" s="8"/>
      <c r="D120" s="8"/>
      <c r="E120" s="8"/>
      <c r="F120" s="8"/>
      <c r="G120" s="10"/>
      <c r="H120" s="25"/>
      <c r="I120" s="2"/>
      <c r="J120" s="2"/>
      <c r="K120" s="26"/>
      <c r="L120" s="23"/>
      <c r="M120" s="10"/>
      <c r="N120" s="5"/>
    </row>
    <row r="121" spans="1:14" ht="15.5" hidden="1" x14ac:dyDescent="0.35">
      <c r="A121" s="39" t="s">
        <v>100</v>
      </c>
      <c r="B121" s="23"/>
      <c r="C121" s="8"/>
      <c r="D121" s="8"/>
      <c r="E121" s="8"/>
      <c r="F121" s="8"/>
      <c r="G121" s="10"/>
      <c r="H121" s="24"/>
      <c r="I121" s="18"/>
      <c r="J121" s="18"/>
      <c r="K121" s="19"/>
      <c r="L121" s="23"/>
      <c r="M121" s="10"/>
      <c r="N121" s="5"/>
    </row>
    <row r="122" spans="1:14" ht="115.5" customHeight="1" x14ac:dyDescent="0.35">
      <c r="A122" s="23" t="s">
        <v>121</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122</v>
      </c>
      <c r="B124" s="2"/>
      <c r="C124" s="2"/>
      <c r="D124" s="2"/>
      <c r="E124" s="2"/>
      <c r="F124" s="2"/>
      <c r="G124" s="2"/>
      <c r="H124" s="2"/>
      <c r="I124" s="2"/>
      <c r="J124" s="2"/>
      <c r="K124" s="2"/>
      <c r="L124" s="2"/>
      <c r="M124" s="2"/>
      <c r="N124" s="30"/>
    </row>
    <row r="125" spans="1:14" ht="46.5" x14ac:dyDescent="0.35">
      <c r="A125" s="43" t="s">
        <v>123</v>
      </c>
      <c r="B125" s="44" t="s">
        <v>124</v>
      </c>
      <c r="C125" s="8"/>
      <c r="D125" s="8"/>
      <c r="E125" s="8"/>
      <c r="F125" s="8"/>
      <c r="G125" s="10"/>
      <c r="H125" s="44" t="s">
        <v>125</v>
      </c>
      <c r="I125" s="8"/>
      <c r="J125" s="8"/>
      <c r="K125" s="10"/>
      <c r="L125" s="45" t="s">
        <v>126</v>
      </c>
      <c r="M125" s="10"/>
      <c r="N125" s="5"/>
    </row>
    <row r="126" spans="1:14" ht="15.5" x14ac:dyDescent="0.35">
      <c r="A126" s="46" t="s">
        <v>127</v>
      </c>
      <c r="B126" s="47" t="s">
        <v>128</v>
      </c>
      <c r="C126" s="14"/>
      <c r="D126" s="14"/>
      <c r="E126" s="14"/>
      <c r="F126" s="14"/>
      <c r="G126" s="15"/>
      <c r="H126" s="48" t="s">
        <v>129</v>
      </c>
      <c r="I126" s="14"/>
      <c r="J126" s="14"/>
      <c r="K126" s="49" t="s">
        <v>130</v>
      </c>
      <c r="L126" s="50">
        <f>1-SUM(L129:M131)</f>
        <v>0.5</v>
      </c>
      <c r="M126" s="15"/>
      <c r="N126" s="5"/>
    </row>
    <row r="127" spans="1:14" ht="15.5" x14ac:dyDescent="0.35">
      <c r="A127" s="51"/>
      <c r="B127" s="25"/>
      <c r="C127" s="2"/>
      <c r="D127" s="2"/>
      <c r="E127" s="2"/>
      <c r="F127" s="2"/>
      <c r="G127" s="26"/>
      <c r="H127" s="25"/>
      <c r="I127" s="2"/>
      <c r="J127" s="2"/>
      <c r="K127" s="51"/>
      <c r="L127" s="25"/>
      <c r="M127" s="26"/>
      <c r="N127" s="5"/>
    </row>
    <row r="128" spans="1:14" ht="73.5" customHeight="1" x14ac:dyDescent="0.35">
      <c r="A128" s="35"/>
      <c r="B128" s="24"/>
      <c r="C128" s="18"/>
      <c r="D128" s="18"/>
      <c r="E128" s="18"/>
      <c r="F128" s="18"/>
      <c r="G128" s="19"/>
      <c r="H128" s="24"/>
      <c r="I128" s="18"/>
      <c r="J128" s="18"/>
      <c r="K128" s="35"/>
      <c r="L128" s="24"/>
      <c r="M128" s="19"/>
      <c r="N128" s="5"/>
    </row>
    <row r="129" spans="1:14" ht="68.25" hidden="1" customHeight="1" x14ac:dyDescent="0.35">
      <c r="A129" s="43" t="s">
        <v>131</v>
      </c>
      <c r="B129" s="52" t="s">
        <v>132</v>
      </c>
      <c r="C129" s="8"/>
      <c r="D129" s="8"/>
      <c r="E129" s="8"/>
      <c r="F129" s="8"/>
      <c r="G129" s="10"/>
      <c r="H129" s="52" t="s">
        <v>133</v>
      </c>
      <c r="I129" s="8"/>
      <c r="J129" s="8"/>
      <c r="K129" s="10"/>
      <c r="L129" s="41" t="s">
        <v>50</v>
      </c>
      <c r="M129" s="10"/>
      <c r="N129" s="5"/>
    </row>
    <row r="130" spans="1:14" ht="91.5" customHeight="1" x14ac:dyDescent="0.35">
      <c r="A130" s="43" t="s">
        <v>134</v>
      </c>
      <c r="B130" s="52" t="s">
        <v>135</v>
      </c>
      <c r="C130" s="8"/>
      <c r="D130" s="8"/>
      <c r="E130" s="8"/>
      <c r="F130" s="8"/>
      <c r="G130" s="10"/>
      <c r="H130" s="52" t="s">
        <v>136</v>
      </c>
      <c r="I130" s="8"/>
      <c r="J130" s="8"/>
      <c r="K130" s="10"/>
      <c r="L130" s="53">
        <v>0.5</v>
      </c>
      <c r="M130" s="10"/>
      <c r="N130" s="5"/>
    </row>
    <row r="131" spans="1:14" ht="31" hidden="1" x14ac:dyDescent="0.35">
      <c r="A131" s="43" t="s">
        <v>137</v>
      </c>
      <c r="B131" s="54" t="s">
        <v>138</v>
      </c>
      <c r="C131" s="8"/>
      <c r="D131" s="8"/>
      <c r="E131" s="8"/>
      <c r="F131" s="8"/>
      <c r="G131" s="10"/>
      <c r="H131" s="52" t="s">
        <v>139</v>
      </c>
      <c r="I131" s="8"/>
      <c r="J131" s="8"/>
      <c r="K131" s="10"/>
      <c r="L131" s="41" t="s">
        <v>50</v>
      </c>
      <c r="M131" s="10"/>
      <c r="N131" s="5"/>
    </row>
    <row r="132" spans="1:14" ht="15.5" x14ac:dyDescent="0.35">
      <c r="A132" s="44" t="s">
        <v>140</v>
      </c>
      <c r="B132" s="8"/>
      <c r="C132" s="8"/>
      <c r="D132" s="8"/>
      <c r="E132" s="8"/>
      <c r="F132" s="8"/>
      <c r="G132" s="8"/>
      <c r="H132" s="8"/>
      <c r="I132" s="8"/>
      <c r="J132" s="8"/>
      <c r="K132" s="8"/>
      <c r="L132" s="8"/>
      <c r="M132" s="10"/>
      <c r="N132" s="5"/>
    </row>
    <row r="133" spans="1:14" ht="15.5" x14ac:dyDescent="0.35">
      <c r="A133" s="55" t="s">
        <v>141</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6" t="s">
        <v>142</v>
      </c>
      <c r="B135" s="10"/>
      <c r="C135" s="57">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6" t="s">
        <v>143</v>
      </c>
      <c r="B137" s="10"/>
      <c r="C137" s="9" t="str">
        <f>E15</f>
        <v>Nicolae-Alexandru Botezatu</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8" t="s">
        <v>144</v>
      </c>
      <c r="B139" s="15"/>
      <c r="C139" s="9" t="str">
        <f t="shared" ref="C139:C141" si="0">E17</f>
        <v>Nicolae-Alexandru Botezatu</v>
      </c>
      <c r="D139" s="8"/>
      <c r="E139" s="8"/>
      <c r="F139" s="8"/>
      <c r="G139" s="10"/>
      <c r="H139" s="9">
        <f t="shared" ref="H139:H141" si="1">E20</f>
        <v>0</v>
      </c>
      <c r="I139" s="8"/>
      <c r="J139" s="8"/>
      <c r="K139" s="8"/>
      <c r="L139" s="8"/>
      <c r="M139" s="10"/>
      <c r="N139" s="5"/>
    </row>
    <row r="140" spans="1:14" ht="32.25" customHeight="1" x14ac:dyDescent="0.35">
      <c r="A140" s="25"/>
      <c r="B140" s="26"/>
      <c r="C140" s="9" t="str">
        <f t="shared" si="0"/>
        <v>Andrei-Valeriu Coșa</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6" t="s">
        <v>145</v>
      </c>
      <c r="B143" s="10"/>
      <c r="C143" s="59">
        <f>[1]Date!C35</f>
        <v>45915</v>
      </c>
      <c r="D143" s="10"/>
      <c r="E143" s="56" t="s">
        <v>146</v>
      </c>
      <c r="F143" s="8"/>
      <c r="G143" s="10"/>
      <c r="H143" s="60" t="str">
        <f>[1]Date!C37</f>
        <v>Conf.dr.ing. Mihai POSTOLACHE</v>
      </c>
      <c r="I143" s="8"/>
      <c r="J143" s="8"/>
      <c r="K143" s="8"/>
      <c r="L143" s="8"/>
      <c r="M143" s="10"/>
      <c r="N143" s="5"/>
    </row>
    <row r="144" spans="1:14" ht="21.75" customHeight="1" x14ac:dyDescent="0.35">
      <c r="A144" s="61"/>
      <c r="B144" s="61"/>
      <c r="C144" s="62"/>
      <c r="D144" s="62"/>
      <c r="E144" s="61"/>
      <c r="F144" s="61"/>
      <c r="G144" s="61"/>
      <c r="H144" s="62"/>
      <c r="I144" s="62"/>
      <c r="J144" s="62"/>
      <c r="K144" s="62"/>
      <c r="L144" s="62"/>
      <c r="M144" s="62"/>
      <c r="N144" s="5"/>
    </row>
    <row r="145" spans="1:14" ht="28.5" customHeight="1" x14ac:dyDescent="0.35">
      <c r="A145" s="56" t="s">
        <v>147</v>
      </c>
      <c r="B145" s="10"/>
      <c r="C145" s="59">
        <f>[1]Date!C36</f>
        <v>45918</v>
      </c>
      <c r="D145" s="10"/>
      <c r="E145" s="56" t="s">
        <v>148</v>
      </c>
      <c r="F145" s="8"/>
      <c r="G145" s="10"/>
      <c r="H145" s="60" t="str">
        <f>[1]Date!C38</f>
        <v>Prof.univ.dr.ing. Adrian BURLACU</v>
      </c>
      <c r="I145" s="8"/>
      <c r="J145" s="8"/>
      <c r="K145" s="8"/>
      <c r="L145" s="8"/>
      <c r="M145" s="10"/>
      <c r="N145" s="5"/>
    </row>
  </sheetData>
  <mergeCells count="250">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A122:M122"/>
    <mergeCell ref="A124:M124"/>
    <mergeCell ref="B125:G125"/>
    <mergeCell ref="H125:K125"/>
    <mergeCell ref="L125:M125"/>
    <mergeCell ref="A126:A128"/>
    <mergeCell ref="B126:G128"/>
    <mergeCell ref="H126:J128"/>
    <mergeCell ref="K126:K128"/>
    <mergeCell ref="L126:M128"/>
    <mergeCell ref="B119:G119"/>
    <mergeCell ref="L119:M119"/>
    <mergeCell ref="B120:G120"/>
    <mergeCell ref="L120:M120"/>
    <mergeCell ref="B121:G121"/>
    <mergeCell ref="L121:M121"/>
    <mergeCell ref="B116:G116"/>
    <mergeCell ref="L116:M116"/>
    <mergeCell ref="B117:G117"/>
    <mergeCell ref="L117:M117"/>
    <mergeCell ref="B118:G118"/>
    <mergeCell ref="L118:M118"/>
    <mergeCell ref="L112:M112"/>
    <mergeCell ref="B113:G113"/>
    <mergeCell ref="L113:M113"/>
    <mergeCell ref="B114:G114"/>
    <mergeCell ref="L114:M114"/>
    <mergeCell ref="B115:G115"/>
    <mergeCell ref="L115:M115"/>
    <mergeCell ref="B108:G108"/>
    <mergeCell ref="H108:K121"/>
    <mergeCell ref="L108:M108"/>
    <mergeCell ref="B109:G109"/>
    <mergeCell ref="L109:M109"/>
    <mergeCell ref="B110:G110"/>
    <mergeCell ref="L110:M110"/>
    <mergeCell ref="B111:G111"/>
    <mergeCell ref="L111:M111"/>
    <mergeCell ref="B112:G112"/>
    <mergeCell ref="B105:G105"/>
    <mergeCell ref="L105:M105"/>
    <mergeCell ref="B106:G106"/>
    <mergeCell ref="L106:M106"/>
    <mergeCell ref="A107:G107"/>
    <mergeCell ref="H107:K107"/>
    <mergeCell ref="L107:M107"/>
    <mergeCell ref="B102:G102"/>
    <mergeCell ref="L102:M102"/>
    <mergeCell ref="B103:G103"/>
    <mergeCell ref="L103:M103"/>
    <mergeCell ref="B104:G104"/>
    <mergeCell ref="L104:M104"/>
    <mergeCell ref="B99:G99"/>
    <mergeCell ref="L99:M99"/>
    <mergeCell ref="B100:G100"/>
    <mergeCell ref="L100:M100"/>
    <mergeCell ref="B101:G101"/>
    <mergeCell ref="L101:M101"/>
    <mergeCell ref="B96:G96"/>
    <mergeCell ref="L96:M96"/>
    <mergeCell ref="B97:G97"/>
    <mergeCell ref="L97:M97"/>
    <mergeCell ref="B98:G98"/>
    <mergeCell ref="L98:M98"/>
    <mergeCell ref="A92:G92"/>
    <mergeCell ref="H92:K92"/>
    <mergeCell ref="L92:M92"/>
    <mergeCell ref="B93:G93"/>
    <mergeCell ref="H93:K106"/>
    <mergeCell ref="L93:M93"/>
    <mergeCell ref="B94:G94"/>
    <mergeCell ref="L94:M94"/>
    <mergeCell ref="B95:G95"/>
    <mergeCell ref="L95:M95"/>
    <mergeCell ref="B89:G89"/>
    <mergeCell ref="L89:M89"/>
    <mergeCell ref="B90:G90"/>
    <mergeCell ref="L90:M90"/>
    <mergeCell ref="B91:G91"/>
    <mergeCell ref="L91:M91"/>
    <mergeCell ref="B86:G86"/>
    <mergeCell ref="L86:M86"/>
    <mergeCell ref="B87:G87"/>
    <mergeCell ref="L87:M87"/>
    <mergeCell ref="B88:G88"/>
    <mergeCell ref="L88:M88"/>
    <mergeCell ref="L82:M82"/>
    <mergeCell ref="B83:G83"/>
    <mergeCell ref="L83:M83"/>
    <mergeCell ref="B84:G84"/>
    <mergeCell ref="L84:M84"/>
    <mergeCell ref="B85:G85"/>
    <mergeCell ref="L85:M85"/>
    <mergeCell ref="B78:G78"/>
    <mergeCell ref="H78:K91"/>
    <mergeCell ref="L78:M78"/>
    <mergeCell ref="B79:G79"/>
    <mergeCell ref="L79:M79"/>
    <mergeCell ref="B80:G80"/>
    <mergeCell ref="L80:M80"/>
    <mergeCell ref="B81:G81"/>
    <mergeCell ref="L81:M81"/>
    <mergeCell ref="B82:G82"/>
    <mergeCell ref="B75:G75"/>
    <mergeCell ref="L75:M75"/>
    <mergeCell ref="A76:M76"/>
    <mergeCell ref="A77:G77"/>
    <mergeCell ref="H77:K77"/>
    <mergeCell ref="L77:M77"/>
    <mergeCell ref="B71:G72"/>
    <mergeCell ref="L71:M72"/>
    <mergeCell ref="B73:G73"/>
    <mergeCell ref="L73:M73"/>
    <mergeCell ref="B74:G74"/>
    <mergeCell ref="L74:M74"/>
    <mergeCell ref="L66:M66"/>
    <mergeCell ref="B67:G68"/>
    <mergeCell ref="L67:M68"/>
    <mergeCell ref="B69:G69"/>
    <mergeCell ref="L69:M69"/>
    <mergeCell ref="B70:G70"/>
    <mergeCell ref="L70:M70"/>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2026-03-01T09:15:59Z</dcterms:created>
  <dcterms:modified xsi:type="dcterms:W3CDTF">2026-03-01T09:16:02Z</dcterms:modified>
</cp:coreProperties>
</file>