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403C00BA-2A7C-436D-B2C3-0DB26FC16275}" xr6:coauthVersionLast="47" xr6:coauthVersionMax="47" xr10:uidLastSave="{00000000-0000-0000-0000-000000000000}"/>
  <bookViews>
    <workbookView xWindow="-110" yWindow="-110" windowWidth="25820" windowHeight="15500" xr2:uid="{34E66FC3-E189-4451-95A5-7FFD974F5F87}"/>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4" i="1" a="1"/>
  <c r="E14" i="1" s="1"/>
  <c r="E23" i="1" a="1"/>
  <c r="E23" i="1" s="1"/>
  <c r="E13" i="1" l="1" a="1"/>
  <c r="E13" i="1" s="1"/>
  <c r="G26" i="1" a="1"/>
  <c r="G26" i="1" s="1"/>
  <c r="G27" i="1" s="1"/>
  <c r="I26" i="1" a="1"/>
  <c r="I26" i="1" s="1"/>
  <c r="I27" i="1" s="1"/>
  <c r="M14" i="1" a="1"/>
  <c r="M14" i="1" s="1"/>
  <c r="K26" i="1" a="1"/>
  <c r="K26" i="1" s="1"/>
  <c r="K27"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3B172A5D-6FC1-413E-82FA-B1EE72E5A716}">
      <text>
        <r>
          <rPr>
            <sz val="10"/>
            <color rgb="FF000000"/>
            <rFont val="Aptos Narrow"/>
            <scheme val="minor"/>
          </rPr>
          <t>Pondere din nota de la E / V</t>
        </r>
      </text>
    </comment>
    <comment ref="K127" authorId="0" shapeId="0" xr:uid="{083D225A-DD61-420C-A205-A93B89E87C48}">
      <text>
        <r>
          <rPr>
            <sz val="10"/>
            <color rgb="FF000000"/>
            <rFont val="Aptos Narrow"/>
            <scheme val="minor"/>
          </rPr>
          <t>Pondere din nota de la E / V</t>
        </r>
      </text>
    </comment>
    <comment ref="K128" authorId="0" shapeId="0" xr:uid="{E87EFD86-C34B-42C3-86D8-9CFBE4DCD848}">
      <text>
        <r>
          <rPr>
            <sz val="10"/>
            <color rgb="FF000000"/>
            <rFont val="Aptos Narrow"/>
            <scheme val="minor"/>
          </rPr>
          <t>Pondere din nota de la E / V</t>
        </r>
      </text>
    </comment>
  </commentList>
</comments>
</file>

<file path=xl/sharedStrings.xml><?xml version="1.0" encoding="utf-8"?>
<sst xmlns="http://schemas.openxmlformats.org/spreadsheetml/2006/main" count="239" uniqueCount="163">
  <si>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</si>
  <si>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</si>
  <si>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</si>
  <si>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</si>
  <si>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</si>
  <si>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</si>
  <si>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</si>
  <si>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</si>
  <si>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</si>
  <si>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</si>
  <si>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</si>
  <si>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</si>
  <si>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</si>
  <si>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Electrotehnică</t>
  </si>
  <si>
    <t>(în limba engleză, conform Suplimentului la diplomă)</t>
  </si>
  <si>
    <t>2.1.2. Codul disciplinei</t>
  </si>
  <si>
    <t xml:space="preserve">2.1.3. Categoria formativă </t>
  </si>
  <si>
    <t>2.2 Titularul / titularii activităţilor de curs</t>
  </si>
  <si>
    <t>S.l.dr.ing. Olga Plopa</t>
  </si>
  <si>
    <t>2.3 Titularul / titularii activităţilor de aplicaţii (S, L, P, Pr)</t>
  </si>
  <si>
    <t>Drd. Ing. Camelia-Petronela Oprea</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</si>
  <si>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</si>
  <si>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</si>
  <si>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</si>
  <si>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</si>
  <si>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</si>
  <si>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</si>
  <si>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</si>
  <si>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</si>
  <si>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</si>
  <si>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</si>
  <si>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</si>
  <si>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</si>
  <si>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</si>
  <si>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</si>
  <si>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</si>
  <si>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</si>
  <si>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</si>
  <si>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</si>
  <si>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</si>
  <si>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</si>
  <si>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</si>
  <si>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</si>
  <si>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</si>
  <si>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</si>
  <si>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</si>
  <si>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</si>
  <si>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</si>
  <si>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</si>
  <si>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</si>
  <si>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</si>
  <si>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</si>
  <si>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</si>
  <si>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</si>
  <si>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amfiteatru dotat cu tabla/conexiune la internet</t>
  </si>
  <si>
    <t>5.2 de desfăşurare a seminarului / laboratorului / proiectului</t>
  </si>
  <si>
    <t>sala dotata cu tabla / laborator dotat cu standuri pentru efectuarea lucrărilor experimentale</t>
  </si>
  <si>
    <t>6. Obiectivul general al disciplinei</t>
  </si>
  <si>
    <t>Achiziţia de cunoştinţe şi competenţe, teoretice şi practice, în domeniul electrotehnicii.</t>
  </si>
  <si>
    <t>7. Rezultatele învățării</t>
  </si>
  <si>
    <t>Cunoștințe</t>
  </si>
  <si>
    <t>Studentul / Absolventul:</t>
  </si>
  <si>
    <t>- recunoaște tipurile de probleme în Electrotehnică, mărimile fizice utilizate și regimurile de functionare ale circuitelor electrice 
 - distinge elementele de circuit utilizate (rezistorul, bobina, condensatorul, generatorul), semnalele din circuit și unitățile de măsură utilizate
 - aplică în mod corect teoremele generale ale circuitelor electrice
 - aplică în mod corect metodele de analiză a circuitelor rezistive liniare, facând diferența dintre ele
 - aplică în mod corect reprezentarea simbolică în complex a semnalelor sinusoidale, teoremele generale ale circuitelor electrice în regim permanent sinusoidal (r.p.s.), precum și metodele de analiză în r.p.s. 
 - examinează circuitele uniport în regim permanent sinusoidal (r.p.s.) cu ajutorul teoremelor transferului puterii active maxime de la un uniport liniar activ la un uniport liniar pasiv, a teoremei generatorului echivalent de tensiune şi de curent, utilizând fenomenul de rezonanță
 - distinge sistemele de mărimi electrice trifazate, precum și conexiunile generatoarelor și a receptoarelor
 - identificarea condiţiilor iniţiale de funcţionare a circuitelor liniare în regim tranzitoriu, a ecuației de funcționare a circuitului și a caracteristicii de funcționare
 - distinge mărimile şi legile specifice câmpului electric și magnetic și unitățile de măsură utilizate</t>
  </si>
  <si>
    <t>Aptitudini</t>
  </si>
  <si>
    <t>- explică noţiunile intoductive ale circuitelor electrice, diferența dintre elementele de circuit utilizate
- selectează metoda de analiză cea mai avantajoasă
- folosește în mod corect teoremele generale ale circuitelor electrice în regim permanent sinusoidal (r.p.s.), precum și metodele de analiză în r.p.s. 
- apreciază corect comportarea circuitelor liniare în regim tranzitoriu</t>
  </si>
  <si>
    <t>Responsabilitate și autonomie</t>
  </si>
  <si>
    <t xml:space="preserve">- explică, pe baza notiunilor, principiilor si metodelor studiate, rezultatele analizei teoretice și practice;
- completează cunoștințele sale și ale colegilor cu informațiile dobândite în cadrul altor cursuri sau a studiului individual
</t>
  </si>
  <si>
    <t xml:space="preserve">8. Metode de predare </t>
  </si>
  <si>
    <t>La curs se folosesc metodele tradiționale de predare: expunerea, conversația, demonstrația, dar și prezentare cu ajutorul videoproiectorului.
La seminar se utilizează explicația, conversația, exercițiu
La laborator se utilizează exerciţiu, experiment.</t>
  </si>
  <si>
    <t>9. Conţinuturi</t>
  </si>
  <si>
    <t>9.1. Curs</t>
  </si>
  <si>
    <t>Metode de predare</t>
  </si>
  <si>
    <t>Timp alocat</t>
  </si>
  <si>
    <t>1</t>
  </si>
  <si>
    <t>Cap. 1. Noţiuni intoductive: aproximaţiile teoriei circuitelor electrice cu parametri concentraţi, tipuri de probleme: analiza şi sinteza circuitelor, mărimi fizice utilizate în studiul circuitelor electrice, tipuri de semnale electrice, clasificarea circuitelor electrice, regimurile de functionare ale circuitelor electrice.</t>
  </si>
  <si>
    <t>Prelegere, prezentare la tablă.
In forma de învațământ online cursul se predă pe Google Meet.</t>
  </si>
  <si>
    <t>1h</t>
  </si>
  <si>
    <t>2</t>
  </si>
  <si>
    <t>Cap. 2. Elemente de circuit simple: rezistorul, bobina, condensatorul, generatorul de tensiune, generatorul de curent. Generatoare comandate. Elemente de circuit speciale : transformatorul ideal, amplificatorul operaţional ideal, tranzistorul. Modelarea acestora cu generatoare comandate.</t>
  </si>
  <si>
    <t>3</t>
  </si>
  <si>
    <t>Cap. 3. Teoremele generale ale circuitelor electrice: teoremele lui Kirchhoff, teorema lui Joubert, teoreme de deplasare a generatoarelor, teorema superpoziţiei, teorema reciprocităţii, teoreme de transformare a schemelor circuitelor electrice, teorema conservării puterilor.</t>
  </si>
  <si>
    <t>2h</t>
  </si>
  <si>
    <t>4</t>
  </si>
  <si>
    <t>Cap. 4. Elemente de analiză topologică a circuitelor electrice: latura, nod, buclă, secţiune; matrici de incidenţă asociate acestora</t>
  </si>
  <si>
    <t>5</t>
  </si>
  <si>
    <t>Cap. 5. Circuite rezistive liniare: metode de analiză a circuitelor rezistive liniare: utilizarea teoremelor lui Kirchhoff şi a teoremei lui Joubert, metoda curenţilor de buclă, metoda tensiunilor nodale. Dipolul Thevenin-Norton.</t>
  </si>
  <si>
    <t>7h</t>
  </si>
  <si>
    <t>6</t>
  </si>
  <si>
    <t>Cap. 6. Circuite electrice liniare în regim permanent sinusoidal (r.p.s.).
 Reprezentarea simbolică în complex a semnalelor sinusoidale. Forma în complex a teoremelor lui Kirchhoff şi a teoremei lui Joubert. Puteri în regim permanent sinusoidal. Latura RLC serie si paralel în r.p.s. Metode de analiză în r.p.s. (teoremele lui Kirchhoff, metoda curenţilor de buclă, metoda tensiunilor nodale).</t>
  </si>
  <si>
    <t>4h</t>
  </si>
  <si>
    <t>7</t>
  </si>
  <si>
    <t>Cap. 7. Circuite uniport în regim permanent sinusoidal (r.p.s.).
 Uniporți pasivi și uniporți activi. Teorema transferului puterii active maxime de la un uniport liniar activ la un uniport liniar pasiv. Compensarea puterii reactive. Teorema generatorului echivalent de tensiune şi de curent. Rezonanţa. Filtre electrice de frecvenţă.</t>
  </si>
  <si>
    <t>8</t>
  </si>
  <si>
    <t>Cap. 8. Circuite trifazate în regim permanent sinusoidal.
 Sisteme de mărimi electrice trifazate. Conexiunile generatoarelor, conexiunile receptoarelor. Puteri în circuite trifazate.</t>
  </si>
  <si>
    <t>9</t>
  </si>
  <si>
    <t>Cap. 9. Circuite liniare în regim tranzitoriu.
 Determinarea condiţiilor iniţiale de funcţionare; teoremele de comutaţie. Circuite de ordinul unu şi doi în regim tranzitoriu. Analiza circuitelor liniare în regim tranzitoriu cu ajutorul transformatei Laplace</t>
  </si>
  <si>
    <t>6h</t>
  </si>
  <si>
    <t>10</t>
  </si>
  <si>
    <t>Cap. 10. Elemente de teoria câmpului electromagnetic
 Mărimi şi legi specifice câmpului electric. Mărimi şi legi specifice câmpului magnetic. Calculul capacităţilor electrice. Calculul inductivităţilor.</t>
  </si>
  <si>
    <t>11</t>
  </si>
  <si>
    <t>12</t>
  </si>
  <si>
    <t>13</t>
  </si>
  <si>
    <t>14</t>
  </si>
  <si>
    <t xml:space="preserve">Bibliografie curs:
1. Camelia Petrescu: Electrotehnică (curs), Editura Tehnopress, Iaşi, 2006
2. C.I. Mocanu, Teoria circuitelor electrice, Ed. Didactică şi Pedagogică, Bucureşti, 1979
3. L. Dumitriu, M. Iordache: Teoria modernă a circuitelor electrice, Editura ALL EDUCATIONAL, Bucureşti, 1998
</t>
  </si>
  <si>
    <t>9.2a Seminar</t>
  </si>
  <si>
    <t>Metode de lucru</t>
  </si>
  <si>
    <t>Gruparea elementelor pasive de același fel. Analiza circuitelor resistive liniare cu ajutorul teotemelor lui Kirchhoff și a teoremei lui Joubert</t>
  </si>
  <si>
    <t>Recapitulare la tablă a noțiunilor prezentate in curs, rezolvare de exerciții în comun cu studenții</t>
  </si>
  <si>
    <t>Circuite cu generatoare comandate</t>
  </si>
  <si>
    <t>Analiza circuitelor rezistive cu ajutorul metodei curenţilor de buclă</t>
  </si>
  <si>
    <t>Analiza circuitelor rezistive cu ajutorul metodei tensiunilor nodale. Dipolul Thévenin și dipolul Norton</t>
  </si>
  <si>
    <t>Analiza circuitelor electrice în regim permanent sinusoidal</t>
  </si>
  <si>
    <t>Circuite electrice liniare de ordinul I în regim tranzitoriu. Analiza în domeniul timp</t>
  </si>
  <si>
    <t>Circuite electrice liniare de ordinul II în regim tranzitoriu. Analiza în domeniul timp / Analiza cu ajutorul transformatei Laplace</t>
  </si>
  <si>
    <t>9.2b Laborator</t>
  </si>
  <si>
    <t>Norme de protecţie a muncii. Prezentarea laboratorului și a echipamentelor din dotare</t>
  </si>
  <si>
    <t xml:space="preserve">Exerciţiu, experiment.
Lucrările au caracter experimental. Se utilizează elemente simple de circuit (rezistenţe, bobine, condensatoare) și surse de c.c. , respectiv de c.a.
În forma de învățământ online orele se desfșoară pe Google Meet utilizând  programe de analiză de circuit.
</t>
  </si>
  <si>
    <t>Verificarea experimentală a relatiilor referitoare la gruparea rezistenţelor. Divizoare de tensiune și de curent</t>
  </si>
  <si>
    <t>Verificarea experimentală a teoremelor lui Kirchhoff</t>
  </si>
  <si>
    <t>Verificarea experimentală a teoremei generatorului echivalent de tensiune și a teoremei suprapunerii efectelor</t>
  </si>
  <si>
    <t>Verificarea experimentală a metodei curentilor de buclă în c.c.</t>
  </si>
  <si>
    <t>Verificarea experimentală a metodei tensiunilor nodale în c.c.</t>
  </si>
  <si>
    <t>Determinarea experimentală a impedanţelor in c.a.</t>
  </si>
  <si>
    <t>Studiul experimental al fenomenului de rezonanţă in circuitul RLC serie</t>
  </si>
  <si>
    <t>Test</t>
  </si>
  <si>
    <t>Măsurarea puterii și a factorului de putere în regim permanent sinusoidal</t>
  </si>
  <si>
    <t>Circuite electrice trifazate</t>
  </si>
  <si>
    <t>Studiul circuitelor de ordinul I si II în regim tranzitoriu</t>
  </si>
  <si>
    <t>Recuperări</t>
  </si>
  <si>
    <t>Test final de laborator</t>
  </si>
  <si>
    <t>9.2c Proiect</t>
  </si>
  <si>
    <t xml:space="preserve">Bibliografie aplicaţii (seminar / laborator / proiect):
1. Camelia Petrescu, Olga Plopa: Circuite liniare si neliniare. Culegere de probleme, Editura Politehnium, Iași, 2021
2. Camelia Petrescu: Electrotehnică - Suport pentru seminar şi laborator, Editura Performantica, Iasi, 2017
3. Camelia Petrescu, B. Hnatiuc: Electrotehnică şi teoria câmpului electromagnetic (Îndrumar de lucrări de laborator), Casa de Editură Venus, Iaşi, 2006
...
</t>
  </si>
  <si>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</si>
  <si>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</si>
  <si>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</si>
  <si>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</si>
  <si>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</si>
  <si>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</si>
  <si>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interpreta datele și de a rezolva problemele enunțate.</t>
  </si>
  <si>
    <t>- observarea sistematică a studenţilor (teme individuale/ de echipă - temele trebuie efectuate în săptămâna dintre cursuri, pregătirea unui referat - studiu de caz).</t>
  </si>
  <si>
    <t>10%</t>
  </si>
  <si>
    <t>- test de evaluare formativ (verificări pe parcursul semestrului).</t>
  </si>
  <si>
    <t>30%</t>
  </si>
  <si>
    <t>- test de evaluare sumativ (verificare finală).</t>
  </si>
  <si>
    <t>60%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</si>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</sst>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5" fillId="3" borderId="1" xfId="0" applyFont="1" applyFill="1" applyBorder="1" applyAlignment="1">
      <alignment horizontal="left" vertical="top"/>
    </xf>
    <xf numFmtId="0" fontId="2" fillId="3" borderId="1" xfId="0" quotePrefix="1" applyFont="1" applyFill="1" applyBorder="1" applyAlignment="1">
      <alignment horizontal="left" vertical="top" wrapText="1"/>
    </xf>
    <xf numFmtId="0" fontId="2" fillId="3" borderId="1" xfId="0" quotePrefix="1"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5" fillId="3" borderId="1" xfId="0" applyFont="1" applyFill="1" applyBorder="1" applyAlignment="1">
      <alignment horizontal="left" wrapText="1"/>
    </xf>
    <xf numFmtId="0" fontId="2" fillId="3" borderId="4" xfId="0" applyFont="1" applyFill="1" applyBorder="1" applyAlignment="1">
      <alignment vertical="center" wrapText="1"/>
    </xf>
    <xf numFmtId="0" fontId="5" fillId="3" borderId="1" xfId="0" applyFont="1" applyFill="1" applyBorder="1" applyAlignment="1">
      <alignment horizontal="center"/>
    </xf>
    <xf numFmtId="0" fontId="2" fillId="3" borderId="1" xfId="0"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righ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5372-E6F0-424B-85B9-115CB5687A4E}">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 xml:space="preserve">Fundamentals of Electrical Engineering </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AIA.ETH.111</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1</v>
      </c>
      <c r="D23" s="28" t="s">
        <v>22</v>
      </c>
      <c r="E23" s="27">
        <f t="array" aca="1" ref="E23" ca="1">INDEX([1]Date!A8:A21, MATCH(E12,[1]Date!C8:C21,0),0)</f>
        <v>2</v>
      </c>
      <c r="F23" s="29" t="s">
        <v>23</v>
      </c>
      <c r="G23" s="8"/>
      <c r="H23" s="10"/>
      <c r="I23" s="22" t="str">
        <f t="array" aca="1" ref="I23" ca="1">INDEX([1]Date!M8:M21, MATCH(E12,[1]Date!C8:C21,0),0)</f>
        <v>E</v>
      </c>
      <c r="J23" s="29" t="s">
        <v>24</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27">
        <f ca="1">SUM(E26+G26+I26+K26)</f>
        <v>5</v>
      </c>
      <c r="D26" s="28" t="s">
        <v>27</v>
      </c>
      <c r="E26" s="27">
        <f t="array" aca="1" ref="E26" ca="1">INDEX([1]Date!H8:H21, MATCH(E12,[1]Date!C8:C21,0),0)</f>
        <v>2</v>
      </c>
      <c r="F26" s="28" t="s">
        <v>28</v>
      </c>
      <c r="G26" s="27">
        <f t="array" aca="1" ref="G26" ca="1">INDEX([1]Date!I8:I21, MATCH(E12,[1]Date!C8:C21,0),0)</f>
        <v>1</v>
      </c>
      <c r="H26" s="28" t="s">
        <v>29</v>
      </c>
      <c r="I26" s="27">
        <f t="array" aca="1" ref="I26" ca="1">INDEX([1]Date!J8:J21, MATCH(E12,[1]Date!C8:C21,0),0)</f>
        <v>2</v>
      </c>
      <c r="J26" s="28" t="s">
        <v>30</v>
      </c>
      <c r="K26" s="27">
        <f t="array" aca="1" ref="K26" ca="1">INDEX([1]Date!K8:K21, MATCH(E12,[1]Date!C8:C21,0),0)</f>
        <v>0</v>
      </c>
      <c r="L26" s="7" t="s">
        <v>31</v>
      </c>
      <c r="M26" s="10"/>
      <c r="N26" s="30"/>
    </row>
    <row r="27" spans="1:14" ht="31" x14ac:dyDescent="0.35">
      <c r="A27" s="7" t="s">
        <v>32</v>
      </c>
      <c r="B27" s="10"/>
      <c r="C27" s="27">
        <f ca="1">C26*14</f>
        <v>70</v>
      </c>
      <c r="D27" s="28" t="s">
        <v>33</v>
      </c>
      <c r="E27" s="27">
        <f ca="1">E26*14</f>
        <v>28</v>
      </c>
      <c r="F27" s="28" t="s">
        <v>34</v>
      </c>
      <c r="G27" s="27">
        <f ca="1">G26*14</f>
        <v>14</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1">
        <v>47</v>
      </c>
      <c r="N29" s="5"/>
    </row>
    <row r="30" spans="1:14" ht="15.5" x14ac:dyDescent="0.35">
      <c r="A30" s="7" t="s">
        <v>41</v>
      </c>
      <c r="B30" s="8"/>
      <c r="C30" s="8"/>
      <c r="D30" s="8"/>
      <c r="E30" s="8"/>
      <c r="F30" s="8"/>
      <c r="G30" s="8"/>
      <c r="H30" s="8"/>
      <c r="I30" s="8"/>
      <c r="J30" s="8"/>
      <c r="K30" s="8"/>
      <c r="L30" s="10"/>
      <c r="M30" s="31">
        <v>6</v>
      </c>
      <c r="N30" s="5"/>
    </row>
    <row r="31" spans="1:14" ht="15.5" x14ac:dyDescent="0.35">
      <c r="A31" s="7" t="s">
        <v>42</v>
      </c>
      <c r="B31" s="8"/>
      <c r="C31" s="8"/>
      <c r="D31" s="8"/>
      <c r="E31" s="8"/>
      <c r="F31" s="8"/>
      <c r="G31" s="8"/>
      <c r="H31" s="8"/>
      <c r="I31" s="8"/>
      <c r="J31" s="8"/>
      <c r="K31" s="8"/>
      <c r="L31" s="10"/>
      <c r="M31" s="31">
        <v>36</v>
      </c>
      <c r="N31" s="5"/>
    </row>
    <row r="32" spans="1:14" ht="15.5" x14ac:dyDescent="0.35">
      <c r="A32" s="7" t="s">
        <v>43</v>
      </c>
      <c r="B32" s="8"/>
      <c r="C32" s="8"/>
      <c r="D32" s="8"/>
      <c r="E32" s="8"/>
      <c r="F32" s="8"/>
      <c r="G32" s="8"/>
      <c r="H32" s="8"/>
      <c r="I32" s="8"/>
      <c r="J32" s="8"/>
      <c r="K32" s="8"/>
      <c r="L32" s="10"/>
      <c r="M32" s="27">
        <f t="array" aca="1" ref="M32" ca="1">IF(INDEX([1]Date!M8:M21, MATCH(E12,[1]Date!C8:C21,0),0)="E",3,0)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INDEX([1]Date!L8:L21, MATCH(E12,[1]Date!C8:C21,0),0)</f>
        <v>89</v>
      </c>
      <c r="D34" s="5"/>
      <c r="E34" s="5"/>
      <c r="F34" s="5"/>
      <c r="G34" s="5"/>
      <c r="H34" s="5"/>
      <c r="I34" s="5"/>
      <c r="J34" s="5"/>
      <c r="K34" s="5"/>
      <c r="L34" s="5"/>
      <c r="M34" s="5"/>
      <c r="N34" s="5"/>
    </row>
    <row r="35" spans="1:14" ht="15.5" x14ac:dyDescent="0.35">
      <c r="A35" s="7" t="s">
        <v>46</v>
      </c>
      <c r="B35" s="10"/>
      <c r="C35" s="27">
        <f ca="1">C27+M32+C34</f>
        <v>162</v>
      </c>
      <c r="D35" s="5"/>
      <c r="E35" s="5"/>
      <c r="F35" s="5"/>
      <c r="G35" s="5"/>
      <c r="H35" s="5"/>
      <c r="I35" s="5"/>
      <c r="J35" s="5"/>
      <c r="K35" s="5"/>
      <c r="L35" s="5"/>
      <c r="M35" s="5"/>
      <c r="N35" s="5"/>
    </row>
    <row r="36" spans="1:14" ht="15.5" x14ac:dyDescent="0.35">
      <c r="A36" s="7" t="s">
        <v>47</v>
      </c>
      <c r="B36" s="10"/>
      <c r="C36" s="27">
        <f t="array" aca="1" ref="C36" ca="1">INDEX([1]Date!N8:N21, MATCH(E12,[1]Date!C8:C21,0),0)</f>
        <v>6</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15.5"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2" t="s">
        <v>60</v>
      </c>
      <c r="B50" s="33" t="s">
        <v>61</v>
      </c>
      <c r="C50" s="8"/>
      <c r="D50" s="8"/>
      <c r="E50" s="8"/>
      <c r="F50" s="8"/>
      <c r="G50" s="8"/>
      <c r="H50" s="8"/>
      <c r="I50" s="8"/>
      <c r="J50" s="8"/>
      <c r="K50" s="8"/>
      <c r="L50" s="8"/>
      <c r="M50" s="10"/>
      <c r="N50" s="5"/>
    </row>
    <row r="51" spans="1:14" ht="15.5" x14ac:dyDescent="0.35">
      <c r="A51" s="34"/>
      <c r="B51" s="35" t="s">
        <v>62</v>
      </c>
      <c r="C51" s="8"/>
      <c r="D51" s="8"/>
      <c r="E51" s="8"/>
      <c r="F51" s="8"/>
      <c r="G51" s="8"/>
      <c r="H51" s="8"/>
      <c r="I51" s="8"/>
      <c r="J51" s="8"/>
      <c r="K51" s="8"/>
      <c r="L51" s="8"/>
      <c r="M51" s="10"/>
      <c r="N51" s="5"/>
    </row>
    <row r="52" spans="1:14" ht="15.5" x14ac:dyDescent="0.35">
      <c r="A52" s="32" t="s">
        <v>63</v>
      </c>
      <c r="B52" s="33" t="s">
        <v>61</v>
      </c>
      <c r="C52" s="8"/>
      <c r="D52" s="8"/>
      <c r="E52" s="8"/>
      <c r="F52" s="8"/>
      <c r="G52" s="8"/>
      <c r="H52" s="8"/>
      <c r="I52" s="8"/>
      <c r="J52" s="8"/>
      <c r="K52" s="8"/>
      <c r="L52" s="8"/>
      <c r="M52" s="10"/>
      <c r="N52" s="5"/>
    </row>
    <row r="53" spans="1:14" ht="15.5" x14ac:dyDescent="0.35">
      <c r="A53" s="34"/>
      <c r="B53" s="36" t="s">
        <v>64</v>
      </c>
      <c r="C53" s="8"/>
      <c r="D53" s="8"/>
      <c r="E53" s="8"/>
      <c r="F53" s="8"/>
      <c r="G53" s="8"/>
      <c r="H53" s="8"/>
      <c r="I53" s="8"/>
      <c r="J53" s="8"/>
      <c r="K53" s="8"/>
      <c r="L53" s="8"/>
      <c r="M53" s="10"/>
      <c r="N53" s="5"/>
    </row>
    <row r="54" spans="1:14" ht="18" customHeight="1" x14ac:dyDescent="0.35">
      <c r="A54" s="32" t="s">
        <v>65</v>
      </c>
      <c r="B54" s="33" t="s">
        <v>61</v>
      </c>
      <c r="C54" s="8"/>
      <c r="D54" s="8"/>
      <c r="E54" s="8"/>
      <c r="F54" s="8"/>
      <c r="G54" s="8"/>
      <c r="H54" s="8"/>
      <c r="I54" s="8"/>
      <c r="J54" s="8"/>
      <c r="K54" s="8"/>
      <c r="L54" s="8"/>
      <c r="M54" s="10"/>
      <c r="N54" s="5"/>
    </row>
    <row r="55" spans="1:14" ht="117" customHeight="1" x14ac:dyDescent="0.35">
      <c r="A55" s="34"/>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40" t="s">
        <v>74</v>
      </c>
      <c r="C62" s="8"/>
      <c r="D62" s="8"/>
      <c r="E62" s="8"/>
      <c r="F62" s="8"/>
      <c r="G62" s="10"/>
      <c r="H62" s="41" t="s">
        <v>75</v>
      </c>
      <c r="I62" s="14"/>
      <c r="J62" s="14"/>
      <c r="K62" s="15"/>
      <c r="L62" s="42" t="s">
        <v>76</v>
      </c>
      <c r="M62" s="10"/>
      <c r="N62" s="5"/>
    </row>
    <row r="63" spans="1:14" ht="15.5" x14ac:dyDescent="0.35">
      <c r="A63" s="39" t="s">
        <v>77</v>
      </c>
      <c r="B63" s="40" t="s">
        <v>78</v>
      </c>
      <c r="C63" s="8"/>
      <c r="D63" s="8"/>
      <c r="E63" s="8"/>
      <c r="F63" s="8"/>
      <c r="G63" s="10"/>
      <c r="H63" s="25"/>
      <c r="I63" s="2"/>
      <c r="J63" s="2"/>
      <c r="K63" s="26"/>
      <c r="L63" s="42" t="s">
        <v>76</v>
      </c>
      <c r="M63" s="10"/>
      <c r="N63" s="5"/>
    </row>
    <row r="64" spans="1:14" ht="15.5" x14ac:dyDescent="0.35">
      <c r="A64" s="39" t="s">
        <v>79</v>
      </c>
      <c r="B64" s="40" t="s">
        <v>80</v>
      </c>
      <c r="C64" s="8"/>
      <c r="D64" s="8"/>
      <c r="E64" s="8"/>
      <c r="F64" s="8"/>
      <c r="G64" s="10"/>
      <c r="H64" s="25"/>
      <c r="I64" s="2"/>
      <c r="J64" s="2"/>
      <c r="K64" s="26"/>
      <c r="L64" s="42" t="s">
        <v>81</v>
      </c>
      <c r="M64" s="10"/>
      <c r="N64" s="5"/>
    </row>
    <row r="65" spans="1:14" ht="15.5" x14ac:dyDescent="0.35">
      <c r="A65" s="39" t="s">
        <v>82</v>
      </c>
      <c r="B65" s="40" t="s">
        <v>83</v>
      </c>
      <c r="C65" s="8"/>
      <c r="D65" s="8"/>
      <c r="E65" s="8"/>
      <c r="F65" s="8"/>
      <c r="G65" s="10"/>
      <c r="H65" s="25"/>
      <c r="I65" s="2"/>
      <c r="J65" s="2"/>
      <c r="K65" s="26"/>
      <c r="L65" s="42" t="s">
        <v>76</v>
      </c>
      <c r="M65" s="10"/>
      <c r="N65" s="5"/>
    </row>
    <row r="66" spans="1:14" ht="15.5" x14ac:dyDescent="0.35">
      <c r="A66" s="39" t="s">
        <v>84</v>
      </c>
      <c r="B66" s="40" t="s">
        <v>85</v>
      </c>
      <c r="C66" s="8"/>
      <c r="D66" s="8"/>
      <c r="E66" s="8"/>
      <c r="F66" s="8"/>
      <c r="G66" s="10"/>
      <c r="H66" s="25"/>
      <c r="I66" s="2"/>
      <c r="J66" s="2"/>
      <c r="K66" s="26"/>
      <c r="L66" s="42" t="s">
        <v>86</v>
      </c>
      <c r="M66" s="10"/>
      <c r="N66" s="5"/>
    </row>
    <row r="67" spans="1:14" ht="15.5" x14ac:dyDescent="0.35">
      <c r="A67" s="39" t="s">
        <v>87</v>
      </c>
      <c r="B67" s="40" t="s">
        <v>88</v>
      </c>
      <c r="C67" s="8"/>
      <c r="D67" s="8"/>
      <c r="E67" s="8"/>
      <c r="F67" s="8"/>
      <c r="G67" s="10"/>
      <c r="H67" s="25"/>
      <c r="I67" s="2"/>
      <c r="J67" s="2"/>
      <c r="K67" s="26"/>
      <c r="L67" s="42" t="s">
        <v>89</v>
      </c>
      <c r="M67" s="10"/>
      <c r="N67" s="5"/>
    </row>
    <row r="68" spans="1:14" ht="15.5" x14ac:dyDescent="0.35">
      <c r="A68" s="39" t="s">
        <v>90</v>
      </c>
      <c r="B68" s="40" t="s">
        <v>91</v>
      </c>
      <c r="C68" s="8"/>
      <c r="D68" s="8"/>
      <c r="E68" s="8"/>
      <c r="F68" s="8"/>
      <c r="G68" s="10"/>
      <c r="H68" s="25"/>
      <c r="I68" s="2"/>
      <c r="J68" s="2"/>
      <c r="K68" s="26"/>
      <c r="L68" s="42" t="s">
        <v>81</v>
      </c>
      <c r="M68" s="10"/>
      <c r="N68" s="5"/>
    </row>
    <row r="69" spans="1:14" ht="15.5" x14ac:dyDescent="0.35">
      <c r="A69" s="39" t="s">
        <v>92</v>
      </c>
      <c r="B69" s="40" t="s">
        <v>93</v>
      </c>
      <c r="C69" s="8"/>
      <c r="D69" s="8"/>
      <c r="E69" s="8"/>
      <c r="F69" s="8"/>
      <c r="G69" s="10"/>
      <c r="H69" s="25"/>
      <c r="I69" s="2"/>
      <c r="J69" s="2"/>
      <c r="K69" s="26"/>
      <c r="L69" s="42" t="s">
        <v>81</v>
      </c>
      <c r="M69" s="10"/>
      <c r="N69" s="5"/>
    </row>
    <row r="70" spans="1:14" ht="15.5" x14ac:dyDescent="0.35">
      <c r="A70" s="39" t="s">
        <v>94</v>
      </c>
      <c r="B70" s="40" t="s">
        <v>95</v>
      </c>
      <c r="C70" s="8"/>
      <c r="D70" s="8"/>
      <c r="E70" s="8"/>
      <c r="F70" s="8"/>
      <c r="G70" s="10"/>
      <c r="H70" s="25"/>
      <c r="I70" s="2"/>
      <c r="J70" s="2"/>
      <c r="K70" s="26"/>
      <c r="L70" s="42" t="s">
        <v>96</v>
      </c>
      <c r="M70" s="10"/>
      <c r="N70" s="5"/>
    </row>
    <row r="71" spans="1:14" ht="15.5" x14ac:dyDescent="0.35">
      <c r="A71" s="39" t="s">
        <v>97</v>
      </c>
      <c r="B71" s="40" t="s">
        <v>98</v>
      </c>
      <c r="C71" s="8"/>
      <c r="D71" s="8"/>
      <c r="E71" s="8"/>
      <c r="F71" s="8"/>
      <c r="G71" s="10"/>
      <c r="H71" s="25"/>
      <c r="I71" s="2"/>
      <c r="J71" s="2"/>
      <c r="K71" s="26"/>
      <c r="L71" s="42" t="s">
        <v>81</v>
      </c>
      <c r="M71" s="10"/>
      <c r="N71" s="5"/>
    </row>
    <row r="72" spans="1:14" ht="15.5" x14ac:dyDescent="0.35">
      <c r="A72" s="39" t="s">
        <v>99</v>
      </c>
      <c r="B72" s="23"/>
      <c r="C72" s="8"/>
      <c r="D72" s="8"/>
      <c r="E72" s="8"/>
      <c r="F72" s="8"/>
      <c r="G72" s="10"/>
      <c r="H72" s="25"/>
      <c r="I72" s="2"/>
      <c r="J72" s="2"/>
      <c r="K72" s="26"/>
      <c r="L72" s="23"/>
      <c r="M72" s="10"/>
      <c r="N72" s="5"/>
    </row>
    <row r="73" spans="1:14" ht="15.5" hidden="1" x14ac:dyDescent="0.35">
      <c r="A73" s="39" t="s">
        <v>100</v>
      </c>
      <c r="B73" s="23"/>
      <c r="C73" s="8"/>
      <c r="D73" s="8"/>
      <c r="E73" s="8"/>
      <c r="F73" s="8"/>
      <c r="G73" s="10"/>
      <c r="H73" s="25"/>
      <c r="I73" s="2"/>
      <c r="J73" s="2"/>
      <c r="K73" s="26"/>
      <c r="L73" s="23"/>
      <c r="M73" s="10"/>
      <c r="N73" s="5"/>
    </row>
    <row r="74" spans="1:14" ht="15.5" hidden="1" x14ac:dyDescent="0.35">
      <c r="A74" s="39" t="s">
        <v>101</v>
      </c>
      <c r="B74" s="23"/>
      <c r="C74" s="8"/>
      <c r="D74" s="8"/>
      <c r="E74" s="8"/>
      <c r="F74" s="8"/>
      <c r="G74" s="10"/>
      <c r="H74" s="25"/>
      <c r="I74" s="2"/>
      <c r="J74" s="2"/>
      <c r="K74" s="26"/>
      <c r="L74" s="23"/>
      <c r="M74" s="10"/>
      <c r="N74" s="5"/>
    </row>
    <row r="75" spans="1:14" ht="15.5" hidden="1" x14ac:dyDescent="0.35">
      <c r="A75" s="39" t="s">
        <v>102</v>
      </c>
      <c r="B75" s="23"/>
      <c r="C75" s="8"/>
      <c r="D75" s="8"/>
      <c r="E75" s="8"/>
      <c r="F75" s="8"/>
      <c r="G75" s="10"/>
      <c r="H75" s="24"/>
      <c r="I75" s="18"/>
      <c r="J75" s="18"/>
      <c r="K75" s="19"/>
      <c r="L75" s="23"/>
      <c r="M75" s="10"/>
      <c r="N75" s="5"/>
    </row>
    <row r="76" spans="1:14" ht="15.5" x14ac:dyDescent="0.35">
      <c r="A76" s="43" t="s">
        <v>103</v>
      </c>
      <c r="B76" s="8"/>
      <c r="C76" s="8"/>
      <c r="D76" s="8"/>
      <c r="E76" s="8"/>
      <c r="F76" s="8"/>
      <c r="G76" s="8"/>
      <c r="H76" s="8"/>
      <c r="I76" s="8"/>
      <c r="J76" s="8"/>
      <c r="K76" s="8"/>
      <c r="L76" s="8"/>
      <c r="M76" s="10"/>
      <c r="N76" s="5"/>
    </row>
    <row r="77" spans="1:14" ht="24.75" customHeight="1" x14ac:dyDescent="0.35">
      <c r="A77" s="38" t="s">
        <v>104</v>
      </c>
      <c r="B77" s="8"/>
      <c r="C77" s="8"/>
      <c r="D77" s="8"/>
      <c r="E77" s="8"/>
      <c r="F77" s="8"/>
      <c r="G77" s="10"/>
      <c r="H77" s="38" t="s">
        <v>105</v>
      </c>
      <c r="I77" s="8"/>
      <c r="J77" s="8"/>
      <c r="K77" s="10"/>
      <c r="L77" s="38" t="s">
        <v>72</v>
      </c>
      <c r="M77" s="10"/>
      <c r="N77" s="30"/>
    </row>
    <row r="78" spans="1:14" ht="15.5" x14ac:dyDescent="0.35">
      <c r="A78" s="39" t="s">
        <v>73</v>
      </c>
      <c r="B78" s="40" t="s">
        <v>106</v>
      </c>
      <c r="C78" s="8"/>
      <c r="D78" s="8"/>
      <c r="E78" s="8"/>
      <c r="F78" s="8"/>
      <c r="G78" s="10"/>
      <c r="H78" s="41" t="s">
        <v>107</v>
      </c>
      <c r="I78" s="14"/>
      <c r="J78" s="14"/>
      <c r="K78" s="15"/>
      <c r="L78" s="42" t="s">
        <v>81</v>
      </c>
      <c r="M78" s="10"/>
      <c r="N78" s="5"/>
    </row>
    <row r="79" spans="1:14" ht="15.5" x14ac:dyDescent="0.35">
      <c r="A79" s="39" t="s">
        <v>77</v>
      </c>
      <c r="B79" s="40" t="s">
        <v>108</v>
      </c>
      <c r="C79" s="8"/>
      <c r="D79" s="8"/>
      <c r="E79" s="8"/>
      <c r="F79" s="8"/>
      <c r="G79" s="10"/>
      <c r="H79" s="25"/>
      <c r="I79" s="2"/>
      <c r="J79" s="2"/>
      <c r="K79" s="26"/>
      <c r="L79" s="42" t="s">
        <v>81</v>
      </c>
      <c r="M79" s="10"/>
      <c r="N79" s="5"/>
    </row>
    <row r="80" spans="1:14" ht="15.5" x14ac:dyDescent="0.35">
      <c r="A80" s="39" t="s">
        <v>79</v>
      </c>
      <c r="B80" s="40" t="s">
        <v>109</v>
      </c>
      <c r="C80" s="8"/>
      <c r="D80" s="8"/>
      <c r="E80" s="8"/>
      <c r="F80" s="8"/>
      <c r="G80" s="10"/>
      <c r="H80" s="25"/>
      <c r="I80" s="2"/>
      <c r="J80" s="2"/>
      <c r="K80" s="26"/>
      <c r="L80" s="42" t="s">
        <v>81</v>
      </c>
      <c r="M80" s="10"/>
      <c r="N80" s="5"/>
    </row>
    <row r="81" spans="1:14" ht="15.5" x14ac:dyDescent="0.35">
      <c r="A81" s="39" t="s">
        <v>82</v>
      </c>
      <c r="B81" s="40" t="s">
        <v>110</v>
      </c>
      <c r="C81" s="8"/>
      <c r="D81" s="8"/>
      <c r="E81" s="8"/>
      <c r="F81" s="8"/>
      <c r="G81" s="10"/>
      <c r="H81" s="25"/>
      <c r="I81" s="2"/>
      <c r="J81" s="2"/>
      <c r="K81" s="26"/>
      <c r="L81" s="42" t="s">
        <v>81</v>
      </c>
      <c r="M81" s="10"/>
      <c r="N81" s="5"/>
    </row>
    <row r="82" spans="1:14" ht="15.5" x14ac:dyDescent="0.35">
      <c r="A82" s="39" t="s">
        <v>84</v>
      </c>
      <c r="B82" s="40" t="s">
        <v>111</v>
      </c>
      <c r="C82" s="8"/>
      <c r="D82" s="8"/>
      <c r="E82" s="8"/>
      <c r="F82" s="8"/>
      <c r="G82" s="10"/>
      <c r="H82" s="25"/>
      <c r="I82" s="2"/>
      <c r="J82" s="2"/>
      <c r="K82" s="26"/>
      <c r="L82" s="42" t="s">
        <v>81</v>
      </c>
      <c r="M82" s="10"/>
      <c r="N82" s="5"/>
    </row>
    <row r="83" spans="1:14" ht="15.5" x14ac:dyDescent="0.35">
      <c r="A83" s="39" t="s">
        <v>87</v>
      </c>
      <c r="B83" s="40" t="s">
        <v>112</v>
      </c>
      <c r="C83" s="8"/>
      <c r="D83" s="8"/>
      <c r="E83" s="8"/>
      <c r="F83" s="8"/>
      <c r="G83" s="10"/>
      <c r="H83" s="25"/>
      <c r="I83" s="2"/>
      <c r="J83" s="2"/>
      <c r="K83" s="26"/>
      <c r="L83" s="42" t="s">
        <v>81</v>
      </c>
      <c r="M83" s="10"/>
      <c r="N83" s="5"/>
    </row>
    <row r="84" spans="1:14" ht="15.5" x14ac:dyDescent="0.35">
      <c r="A84" s="39" t="s">
        <v>90</v>
      </c>
      <c r="B84" s="40" t="s">
        <v>113</v>
      </c>
      <c r="C84" s="8"/>
      <c r="D84" s="8"/>
      <c r="E84" s="8"/>
      <c r="F84" s="8"/>
      <c r="G84" s="10"/>
      <c r="H84" s="25"/>
      <c r="I84" s="2"/>
      <c r="J84" s="2"/>
      <c r="K84" s="26"/>
      <c r="L84" s="42" t="s">
        <v>81</v>
      </c>
      <c r="M84" s="10"/>
      <c r="N84" s="5"/>
    </row>
    <row r="85" spans="1:14" ht="15.5" x14ac:dyDescent="0.35">
      <c r="A85" s="39" t="s">
        <v>92</v>
      </c>
      <c r="B85" s="23"/>
      <c r="C85" s="8"/>
      <c r="D85" s="8"/>
      <c r="E85" s="8"/>
      <c r="F85" s="8"/>
      <c r="G85" s="10"/>
      <c r="H85" s="25"/>
      <c r="I85" s="2"/>
      <c r="J85" s="2"/>
      <c r="K85" s="26"/>
      <c r="L85" s="23"/>
      <c r="M85" s="10"/>
      <c r="N85" s="5"/>
    </row>
    <row r="86" spans="1:14" ht="15.5" hidden="1" x14ac:dyDescent="0.35">
      <c r="A86" s="39" t="s">
        <v>94</v>
      </c>
      <c r="B86" s="23"/>
      <c r="C86" s="8"/>
      <c r="D86" s="8"/>
      <c r="E86" s="8"/>
      <c r="F86" s="8"/>
      <c r="G86" s="10"/>
      <c r="H86" s="25"/>
      <c r="I86" s="2"/>
      <c r="J86" s="2"/>
      <c r="K86" s="26"/>
      <c r="L86" s="23"/>
      <c r="M86" s="10"/>
      <c r="N86" s="5"/>
    </row>
    <row r="87" spans="1:14" ht="15.5" hidden="1" x14ac:dyDescent="0.35">
      <c r="A87" s="39" t="s">
        <v>97</v>
      </c>
      <c r="B87" s="23"/>
      <c r="C87" s="8"/>
      <c r="D87" s="8"/>
      <c r="E87" s="8"/>
      <c r="F87" s="8"/>
      <c r="G87" s="10"/>
      <c r="H87" s="25"/>
      <c r="I87" s="2"/>
      <c r="J87" s="2"/>
      <c r="K87" s="26"/>
      <c r="L87" s="23"/>
      <c r="M87" s="10"/>
      <c r="N87" s="5"/>
    </row>
    <row r="88" spans="1:14" ht="15.5" hidden="1" x14ac:dyDescent="0.35">
      <c r="A88" s="39" t="s">
        <v>99</v>
      </c>
      <c r="B88" s="23"/>
      <c r="C88" s="8"/>
      <c r="D88" s="8"/>
      <c r="E88" s="8"/>
      <c r="F88" s="8"/>
      <c r="G88" s="10"/>
      <c r="H88" s="25"/>
      <c r="I88" s="2"/>
      <c r="J88" s="2"/>
      <c r="K88" s="26"/>
      <c r="L88" s="23"/>
      <c r="M88" s="10"/>
      <c r="N88" s="5"/>
    </row>
    <row r="89" spans="1:14" ht="15.5" hidden="1" x14ac:dyDescent="0.35">
      <c r="A89" s="39" t="s">
        <v>100</v>
      </c>
      <c r="B89" s="23"/>
      <c r="C89" s="8"/>
      <c r="D89" s="8"/>
      <c r="E89" s="8"/>
      <c r="F89" s="8"/>
      <c r="G89" s="10"/>
      <c r="H89" s="25"/>
      <c r="I89" s="2"/>
      <c r="J89" s="2"/>
      <c r="K89" s="26"/>
      <c r="L89" s="23"/>
      <c r="M89" s="10"/>
      <c r="N89" s="5"/>
    </row>
    <row r="90" spans="1:14" ht="15.5" hidden="1" x14ac:dyDescent="0.35">
      <c r="A90" s="39" t="s">
        <v>101</v>
      </c>
      <c r="B90" s="23"/>
      <c r="C90" s="8"/>
      <c r="D90" s="8"/>
      <c r="E90" s="8"/>
      <c r="F90" s="8"/>
      <c r="G90" s="10"/>
      <c r="H90" s="25"/>
      <c r="I90" s="2"/>
      <c r="J90" s="2"/>
      <c r="K90" s="26"/>
      <c r="L90" s="23"/>
      <c r="M90" s="10"/>
      <c r="N90" s="5"/>
    </row>
    <row r="91" spans="1:14" ht="15.5" hidden="1" x14ac:dyDescent="0.35">
      <c r="A91" s="39" t="s">
        <v>102</v>
      </c>
      <c r="B91" s="23"/>
      <c r="C91" s="8"/>
      <c r="D91" s="8"/>
      <c r="E91" s="8"/>
      <c r="F91" s="8"/>
      <c r="G91" s="10"/>
      <c r="H91" s="24"/>
      <c r="I91" s="18"/>
      <c r="J91" s="18"/>
      <c r="K91" s="19"/>
      <c r="L91" s="23"/>
      <c r="M91" s="10"/>
      <c r="N91" s="5"/>
    </row>
    <row r="92" spans="1:14" ht="24" customHeight="1" x14ac:dyDescent="0.35">
      <c r="A92" s="38" t="s">
        <v>114</v>
      </c>
      <c r="B92" s="8"/>
      <c r="C92" s="8"/>
      <c r="D92" s="8"/>
      <c r="E92" s="8"/>
      <c r="F92" s="8"/>
      <c r="G92" s="10"/>
      <c r="H92" s="38" t="s">
        <v>105</v>
      </c>
      <c r="I92" s="8"/>
      <c r="J92" s="8"/>
      <c r="K92" s="10"/>
      <c r="L92" s="38" t="s">
        <v>72</v>
      </c>
      <c r="M92" s="10"/>
      <c r="N92" s="30"/>
    </row>
    <row r="93" spans="1:14" ht="15.5" x14ac:dyDescent="0.35">
      <c r="A93" s="39" t="s">
        <v>73</v>
      </c>
      <c r="B93" s="40" t="s">
        <v>115</v>
      </c>
      <c r="C93" s="8"/>
      <c r="D93" s="8"/>
      <c r="E93" s="8"/>
      <c r="F93" s="8"/>
      <c r="G93" s="10"/>
      <c r="H93" s="41" t="s">
        <v>116</v>
      </c>
      <c r="I93" s="14"/>
      <c r="J93" s="14"/>
      <c r="K93" s="15"/>
      <c r="L93" s="42" t="s">
        <v>81</v>
      </c>
      <c r="M93" s="10"/>
      <c r="N93" s="5"/>
    </row>
    <row r="94" spans="1:14" ht="15.5" x14ac:dyDescent="0.35">
      <c r="A94" s="39" t="s">
        <v>77</v>
      </c>
      <c r="B94" s="40" t="s">
        <v>117</v>
      </c>
      <c r="C94" s="8"/>
      <c r="D94" s="8"/>
      <c r="E94" s="8"/>
      <c r="F94" s="8"/>
      <c r="G94" s="10"/>
      <c r="H94" s="25"/>
      <c r="I94" s="2"/>
      <c r="J94" s="2"/>
      <c r="K94" s="26"/>
      <c r="L94" s="42" t="s">
        <v>81</v>
      </c>
      <c r="M94" s="10"/>
      <c r="N94" s="5"/>
    </row>
    <row r="95" spans="1:14" ht="15.5" x14ac:dyDescent="0.35">
      <c r="A95" s="39" t="s">
        <v>79</v>
      </c>
      <c r="B95" s="40" t="s">
        <v>118</v>
      </c>
      <c r="C95" s="8"/>
      <c r="D95" s="8"/>
      <c r="E95" s="8"/>
      <c r="F95" s="8"/>
      <c r="G95" s="10"/>
      <c r="H95" s="25"/>
      <c r="I95" s="2"/>
      <c r="J95" s="2"/>
      <c r="K95" s="26"/>
      <c r="L95" s="42" t="s">
        <v>81</v>
      </c>
      <c r="M95" s="10"/>
      <c r="N95" s="5"/>
    </row>
    <row r="96" spans="1:14" ht="15.5" x14ac:dyDescent="0.35">
      <c r="A96" s="39" t="s">
        <v>82</v>
      </c>
      <c r="B96" s="40" t="s">
        <v>119</v>
      </c>
      <c r="C96" s="8"/>
      <c r="D96" s="8"/>
      <c r="E96" s="8"/>
      <c r="F96" s="8"/>
      <c r="G96" s="10"/>
      <c r="H96" s="25"/>
      <c r="I96" s="2"/>
      <c r="J96" s="2"/>
      <c r="K96" s="26"/>
      <c r="L96" s="42" t="s">
        <v>81</v>
      </c>
      <c r="M96" s="10"/>
      <c r="N96" s="5"/>
    </row>
    <row r="97" spans="1:14" ht="15.5" x14ac:dyDescent="0.35">
      <c r="A97" s="39" t="s">
        <v>84</v>
      </c>
      <c r="B97" s="40" t="s">
        <v>120</v>
      </c>
      <c r="C97" s="8"/>
      <c r="D97" s="8"/>
      <c r="E97" s="8"/>
      <c r="F97" s="8"/>
      <c r="G97" s="10"/>
      <c r="H97" s="25"/>
      <c r="I97" s="2"/>
      <c r="J97" s="2"/>
      <c r="K97" s="26"/>
      <c r="L97" s="42" t="s">
        <v>81</v>
      </c>
      <c r="M97" s="10"/>
      <c r="N97" s="5"/>
    </row>
    <row r="98" spans="1:14" ht="15.5" x14ac:dyDescent="0.35">
      <c r="A98" s="39" t="s">
        <v>87</v>
      </c>
      <c r="B98" s="40" t="s">
        <v>121</v>
      </c>
      <c r="C98" s="8"/>
      <c r="D98" s="8"/>
      <c r="E98" s="8"/>
      <c r="F98" s="8"/>
      <c r="G98" s="10"/>
      <c r="H98" s="25"/>
      <c r="I98" s="2"/>
      <c r="J98" s="2"/>
      <c r="K98" s="26"/>
      <c r="L98" s="42" t="s">
        <v>81</v>
      </c>
      <c r="M98" s="10"/>
      <c r="N98" s="5"/>
    </row>
    <row r="99" spans="1:14" ht="15.5" x14ac:dyDescent="0.35">
      <c r="A99" s="39" t="s">
        <v>90</v>
      </c>
      <c r="B99" s="40" t="s">
        <v>122</v>
      </c>
      <c r="C99" s="8"/>
      <c r="D99" s="8"/>
      <c r="E99" s="8"/>
      <c r="F99" s="8"/>
      <c r="G99" s="10"/>
      <c r="H99" s="25"/>
      <c r="I99" s="2"/>
      <c r="J99" s="2"/>
      <c r="K99" s="26"/>
      <c r="L99" s="42" t="s">
        <v>81</v>
      </c>
      <c r="M99" s="10"/>
      <c r="N99" s="5"/>
    </row>
    <row r="100" spans="1:14" ht="15.5" x14ac:dyDescent="0.35">
      <c r="A100" s="39" t="s">
        <v>92</v>
      </c>
      <c r="B100" s="40" t="s">
        <v>123</v>
      </c>
      <c r="C100" s="8"/>
      <c r="D100" s="8"/>
      <c r="E100" s="8"/>
      <c r="F100" s="8"/>
      <c r="G100" s="10"/>
      <c r="H100" s="25"/>
      <c r="I100" s="2"/>
      <c r="J100" s="2"/>
      <c r="K100" s="26"/>
      <c r="L100" s="42" t="s">
        <v>81</v>
      </c>
      <c r="M100" s="10"/>
      <c r="N100" s="5"/>
    </row>
    <row r="101" spans="1:14" ht="15.5" x14ac:dyDescent="0.35">
      <c r="A101" s="39" t="s">
        <v>94</v>
      </c>
      <c r="B101" s="40" t="s">
        <v>124</v>
      </c>
      <c r="C101" s="8"/>
      <c r="D101" s="8"/>
      <c r="E101" s="8"/>
      <c r="F101" s="8"/>
      <c r="G101" s="10"/>
      <c r="H101" s="25"/>
      <c r="I101" s="2"/>
      <c r="J101" s="2"/>
      <c r="K101" s="26"/>
      <c r="L101" s="42" t="s">
        <v>81</v>
      </c>
      <c r="M101" s="10"/>
      <c r="N101" s="5"/>
    </row>
    <row r="102" spans="1:14" ht="15.5" x14ac:dyDescent="0.35">
      <c r="A102" s="39" t="s">
        <v>97</v>
      </c>
      <c r="B102" s="40" t="s">
        <v>125</v>
      </c>
      <c r="C102" s="8"/>
      <c r="D102" s="8"/>
      <c r="E102" s="8"/>
      <c r="F102" s="8"/>
      <c r="G102" s="10"/>
      <c r="H102" s="25"/>
      <c r="I102" s="2"/>
      <c r="J102" s="2"/>
      <c r="K102" s="26"/>
      <c r="L102" s="42" t="s">
        <v>81</v>
      </c>
      <c r="M102" s="10"/>
      <c r="N102" s="5"/>
    </row>
    <row r="103" spans="1:14" ht="15.5" x14ac:dyDescent="0.35">
      <c r="A103" s="39" t="s">
        <v>99</v>
      </c>
      <c r="B103" s="40" t="s">
        <v>126</v>
      </c>
      <c r="C103" s="8"/>
      <c r="D103" s="8"/>
      <c r="E103" s="8"/>
      <c r="F103" s="8"/>
      <c r="G103" s="10"/>
      <c r="H103" s="25"/>
      <c r="I103" s="2"/>
      <c r="J103" s="2"/>
      <c r="K103" s="26"/>
      <c r="L103" s="42" t="s">
        <v>81</v>
      </c>
      <c r="M103" s="10"/>
      <c r="N103" s="5"/>
    </row>
    <row r="104" spans="1:14" ht="15.5" x14ac:dyDescent="0.35">
      <c r="A104" s="39" t="s">
        <v>100</v>
      </c>
      <c r="B104" s="40" t="s">
        <v>127</v>
      </c>
      <c r="C104" s="8"/>
      <c r="D104" s="8"/>
      <c r="E104" s="8"/>
      <c r="F104" s="8"/>
      <c r="G104" s="10"/>
      <c r="H104" s="25"/>
      <c r="I104" s="2"/>
      <c r="J104" s="2"/>
      <c r="K104" s="26"/>
      <c r="L104" s="42" t="s">
        <v>81</v>
      </c>
      <c r="M104" s="10"/>
      <c r="N104" s="5"/>
    </row>
    <row r="105" spans="1:14" ht="15.5" x14ac:dyDescent="0.35">
      <c r="A105" s="39" t="s">
        <v>101</v>
      </c>
      <c r="B105" s="40" t="s">
        <v>128</v>
      </c>
      <c r="C105" s="8"/>
      <c r="D105" s="8"/>
      <c r="E105" s="8"/>
      <c r="F105" s="8"/>
      <c r="G105" s="10"/>
      <c r="H105" s="25"/>
      <c r="I105" s="2"/>
      <c r="J105" s="2"/>
      <c r="K105" s="26"/>
      <c r="L105" s="42" t="s">
        <v>81</v>
      </c>
      <c r="M105" s="10"/>
      <c r="N105" s="5"/>
    </row>
    <row r="106" spans="1:14" ht="15.5" x14ac:dyDescent="0.35">
      <c r="A106" s="39" t="s">
        <v>102</v>
      </c>
      <c r="B106" s="40" t="s">
        <v>129</v>
      </c>
      <c r="C106" s="8"/>
      <c r="D106" s="8"/>
      <c r="E106" s="8"/>
      <c r="F106" s="8"/>
      <c r="G106" s="10"/>
      <c r="H106" s="24"/>
      <c r="I106" s="18"/>
      <c r="J106" s="18"/>
      <c r="K106" s="19"/>
      <c r="L106" s="42" t="s">
        <v>81</v>
      </c>
      <c r="M106" s="10"/>
      <c r="N106" s="5"/>
    </row>
    <row r="107" spans="1:14" ht="24" hidden="1" customHeight="1" x14ac:dyDescent="0.35">
      <c r="A107" s="38" t="s">
        <v>130</v>
      </c>
      <c r="B107" s="8"/>
      <c r="C107" s="8"/>
      <c r="D107" s="8"/>
      <c r="E107" s="8"/>
      <c r="F107" s="8"/>
      <c r="G107" s="10"/>
      <c r="H107" s="38" t="s">
        <v>105</v>
      </c>
      <c r="I107" s="8"/>
      <c r="J107" s="8"/>
      <c r="K107" s="10"/>
      <c r="L107" s="38" t="s">
        <v>72</v>
      </c>
      <c r="M107" s="10"/>
      <c r="N107" s="30"/>
    </row>
    <row r="108" spans="1:14" ht="15.5" hidden="1" x14ac:dyDescent="0.35">
      <c r="A108" s="39" t="s">
        <v>73</v>
      </c>
      <c r="B108" s="23"/>
      <c r="C108" s="8"/>
      <c r="D108" s="8"/>
      <c r="E108" s="8"/>
      <c r="F108" s="8"/>
      <c r="G108" s="10"/>
      <c r="H108" s="41"/>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87</v>
      </c>
      <c r="B113" s="23"/>
      <c r="C113" s="8"/>
      <c r="D113" s="8"/>
      <c r="E113" s="8"/>
      <c r="F113" s="8"/>
      <c r="G113" s="10"/>
      <c r="H113" s="25"/>
      <c r="I113" s="2"/>
      <c r="J113" s="2"/>
      <c r="K113" s="26"/>
      <c r="L113" s="23"/>
      <c r="M113" s="10"/>
      <c r="N113" s="5"/>
    </row>
    <row r="114" spans="1:14" ht="15.5" hidden="1" x14ac:dyDescent="0.35">
      <c r="A114" s="39" t="s">
        <v>90</v>
      </c>
      <c r="B114" s="23"/>
      <c r="C114" s="8"/>
      <c r="D114" s="8"/>
      <c r="E114" s="8"/>
      <c r="F114" s="8"/>
      <c r="G114" s="10"/>
      <c r="H114" s="25"/>
      <c r="I114" s="2"/>
      <c r="J114" s="2"/>
      <c r="K114" s="26"/>
      <c r="L114" s="23"/>
      <c r="M114" s="10"/>
      <c r="N114" s="5"/>
    </row>
    <row r="115" spans="1:14" ht="15.5" hidden="1" x14ac:dyDescent="0.35">
      <c r="A115" s="39" t="s">
        <v>92</v>
      </c>
      <c r="B115" s="23"/>
      <c r="C115" s="8"/>
      <c r="D115" s="8"/>
      <c r="E115" s="8"/>
      <c r="F115" s="8"/>
      <c r="G115" s="10"/>
      <c r="H115" s="25"/>
      <c r="I115" s="2"/>
      <c r="J115" s="2"/>
      <c r="K115" s="26"/>
      <c r="L115" s="23"/>
      <c r="M115" s="10"/>
      <c r="N115" s="5"/>
    </row>
    <row r="116" spans="1:14" ht="15.5" hidden="1" x14ac:dyDescent="0.35">
      <c r="A116" s="39" t="s">
        <v>94</v>
      </c>
      <c r="B116" s="23"/>
      <c r="C116" s="8"/>
      <c r="D116" s="8"/>
      <c r="E116" s="8"/>
      <c r="F116" s="8"/>
      <c r="G116" s="10"/>
      <c r="H116" s="25"/>
      <c r="I116" s="2"/>
      <c r="J116" s="2"/>
      <c r="K116" s="26"/>
      <c r="L116" s="23"/>
      <c r="M116" s="10"/>
      <c r="N116" s="5"/>
    </row>
    <row r="117" spans="1:14" ht="15.5" hidden="1" x14ac:dyDescent="0.35">
      <c r="A117" s="39" t="s">
        <v>97</v>
      </c>
      <c r="B117" s="23"/>
      <c r="C117" s="8"/>
      <c r="D117" s="8"/>
      <c r="E117" s="8"/>
      <c r="F117" s="8"/>
      <c r="G117" s="10"/>
      <c r="H117" s="25"/>
      <c r="I117" s="2"/>
      <c r="J117" s="2"/>
      <c r="K117" s="26"/>
      <c r="L117" s="23"/>
      <c r="M117" s="10"/>
      <c r="N117" s="5"/>
    </row>
    <row r="118" spans="1:14" ht="15.5" hidden="1" x14ac:dyDescent="0.35">
      <c r="A118" s="39" t="s">
        <v>99</v>
      </c>
      <c r="B118" s="23"/>
      <c r="C118" s="8"/>
      <c r="D118" s="8"/>
      <c r="E118" s="8"/>
      <c r="F118" s="8"/>
      <c r="G118" s="10"/>
      <c r="H118" s="25"/>
      <c r="I118" s="2"/>
      <c r="J118" s="2"/>
      <c r="K118" s="26"/>
      <c r="L118" s="23"/>
      <c r="M118" s="10"/>
      <c r="N118" s="5"/>
    </row>
    <row r="119" spans="1:14" ht="15.5" hidden="1" x14ac:dyDescent="0.35">
      <c r="A119" s="39" t="s">
        <v>100</v>
      </c>
      <c r="B119" s="23"/>
      <c r="C119" s="8"/>
      <c r="D119" s="8"/>
      <c r="E119" s="8"/>
      <c r="F119" s="8"/>
      <c r="G119" s="10"/>
      <c r="H119" s="25"/>
      <c r="I119" s="2"/>
      <c r="J119" s="2"/>
      <c r="K119" s="26"/>
      <c r="L119" s="23"/>
      <c r="M119" s="10"/>
      <c r="N119" s="5"/>
    </row>
    <row r="120" spans="1:14" ht="15.5" hidden="1" x14ac:dyDescent="0.35">
      <c r="A120" s="39" t="s">
        <v>101</v>
      </c>
      <c r="B120" s="23"/>
      <c r="C120" s="8"/>
      <c r="D120" s="8"/>
      <c r="E120" s="8"/>
      <c r="F120" s="8"/>
      <c r="G120" s="10"/>
      <c r="H120" s="25"/>
      <c r="I120" s="2"/>
      <c r="J120" s="2"/>
      <c r="K120" s="26"/>
      <c r="L120" s="23"/>
      <c r="M120" s="10"/>
      <c r="N120" s="5"/>
    </row>
    <row r="121" spans="1:14" ht="15.5" hidden="1" x14ac:dyDescent="0.35">
      <c r="A121" s="39" t="s">
        <v>102</v>
      </c>
      <c r="B121" s="23"/>
      <c r="C121" s="8"/>
      <c r="D121" s="8"/>
      <c r="E121" s="8"/>
      <c r="F121" s="8"/>
      <c r="G121" s="10"/>
      <c r="H121" s="24"/>
      <c r="I121" s="18"/>
      <c r="J121" s="18"/>
      <c r="K121" s="19"/>
      <c r="L121" s="23"/>
      <c r="M121" s="10"/>
      <c r="N121" s="5"/>
    </row>
    <row r="122" spans="1:14" ht="115.5" customHeight="1" x14ac:dyDescent="0.35">
      <c r="A122" s="23" t="s">
        <v>131</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132</v>
      </c>
      <c r="B124" s="2"/>
      <c r="C124" s="2"/>
      <c r="D124" s="2"/>
      <c r="E124" s="2"/>
      <c r="F124" s="2"/>
      <c r="G124" s="2"/>
      <c r="H124" s="2"/>
      <c r="I124" s="2"/>
      <c r="J124" s="2"/>
      <c r="K124" s="2"/>
      <c r="L124" s="2"/>
      <c r="M124" s="2"/>
      <c r="N124" s="30"/>
    </row>
    <row r="125" spans="1:14" ht="46.5" x14ac:dyDescent="0.35">
      <c r="A125" s="44" t="s">
        <v>133</v>
      </c>
      <c r="B125" s="45" t="s">
        <v>134</v>
      </c>
      <c r="C125" s="8"/>
      <c r="D125" s="8"/>
      <c r="E125" s="8"/>
      <c r="F125" s="8"/>
      <c r="G125" s="10"/>
      <c r="H125" s="45" t="s">
        <v>135</v>
      </c>
      <c r="I125" s="8"/>
      <c r="J125" s="8"/>
      <c r="K125" s="10"/>
      <c r="L125" s="46" t="s">
        <v>136</v>
      </c>
      <c r="M125" s="10"/>
      <c r="N125" s="5"/>
    </row>
    <row r="126" spans="1:14" ht="15.5" x14ac:dyDescent="0.35">
      <c r="A126" s="47" t="s">
        <v>137</v>
      </c>
      <c r="B126" s="48" t="s">
        <v>138</v>
      </c>
      <c r="C126" s="14"/>
      <c r="D126" s="14"/>
      <c r="E126" s="14"/>
      <c r="F126" s="14"/>
      <c r="G126" s="15"/>
      <c r="H126" s="49" t="s">
        <v>139</v>
      </c>
      <c r="I126" s="8"/>
      <c r="J126" s="8"/>
      <c r="K126" s="50" t="s">
        <v>140</v>
      </c>
      <c r="L126" s="51">
        <f>1-SUM(L129:M131)</f>
        <v>0.7</v>
      </c>
      <c r="M126" s="15"/>
      <c r="N126" s="5"/>
    </row>
    <row r="127" spans="1:14" ht="15.5" x14ac:dyDescent="0.35">
      <c r="A127" s="52"/>
      <c r="B127" s="25"/>
      <c r="C127" s="2"/>
      <c r="D127" s="2"/>
      <c r="E127" s="2"/>
      <c r="F127" s="2"/>
      <c r="G127" s="26"/>
      <c r="H127" s="53" t="s">
        <v>141</v>
      </c>
      <c r="I127" s="8"/>
      <c r="J127" s="8"/>
      <c r="K127" s="50" t="s">
        <v>142</v>
      </c>
      <c r="L127" s="25"/>
      <c r="M127" s="26"/>
      <c r="N127" s="5"/>
    </row>
    <row r="128" spans="1:14" ht="15.5" x14ac:dyDescent="0.35">
      <c r="A128" s="34"/>
      <c r="B128" s="24"/>
      <c r="C128" s="18"/>
      <c r="D128" s="18"/>
      <c r="E128" s="18"/>
      <c r="F128" s="18"/>
      <c r="G128" s="19"/>
      <c r="H128" s="53" t="s">
        <v>143</v>
      </c>
      <c r="I128" s="8"/>
      <c r="J128" s="8"/>
      <c r="K128" s="50" t="s">
        <v>144</v>
      </c>
      <c r="L128" s="24"/>
      <c r="M128" s="19"/>
      <c r="N128" s="5"/>
    </row>
    <row r="129" spans="1:14" ht="68.25" customHeight="1" x14ac:dyDescent="0.35">
      <c r="A129" s="44" t="s">
        <v>145</v>
      </c>
      <c r="B129" s="53" t="s">
        <v>146</v>
      </c>
      <c r="C129" s="8"/>
      <c r="D129" s="8"/>
      <c r="E129" s="8"/>
      <c r="F129" s="8"/>
      <c r="G129" s="10"/>
      <c r="H129" s="53" t="s">
        <v>147</v>
      </c>
      <c r="I129" s="8"/>
      <c r="J129" s="8"/>
      <c r="K129" s="10"/>
      <c r="L129" s="54">
        <v>0.15</v>
      </c>
      <c r="M129" s="10"/>
      <c r="N129" s="5"/>
    </row>
    <row r="130" spans="1:14" ht="46.5" x14ac:dyDescent="0.35">
      <c r="A130" s="44" t="s">
        <v>148</v>
      </c>
      <c r="B130" s="53" t="s">
        <v>149</v>
      </c>
      <c r="C130" s="8"/>
      <c r="D130" s="8"/>
      <c r="E130" s="8"/>
      <c r="F130" s="8"/>
      <c r="G130" s="10"/>
      <c r="H130" s="53" t="s">
        <v>150</v>
      </c>
      <c r="I130" s="8"/>
      <c r="J130" s="8"/>
      <c r="K130" s="10"/>
      <c r="L130" s="54">
        <v>0.15</v>
      </c>
      <c r="M130" s="10"/>
      <c r="N130" s="5"/>
    </row>
    <row r="131" spans="1:14" ht="31" hidden="1" x14ac:dyDescent="0.35">
      <c r="A131" s="44" t="s">
        <v>151</v>
      </c>
      <c r="B131" s="55" t="s">
        <v>152</v>
      </c>
      <c r="C131" s="8"/>
      <c r="D131" s="8"/>
      <c r="E131" s="8"/>
      <c r="F131" s="8"/>
      <c r="G131" s="10"/>
      <c r="H131" s="53" t="s">
        <v>153</v>
      </c>
      <c r="I131" s="8"/>
      <c r="J131" s="8"/>
      <c r="K131" s="10"/>
      <c r="L131" s="54"/>
      <c r="M131" s="10"/>
      <c r="N131" s="5"/>
    </row>
    <row r="132" spans="1:14" ht="15.5" x14ac:dyDescent="0.35">
      <c r="A132" s="45" t="s">
        <v>154</v>
      </c>
      <c r="B132" s="8"/>
      <c r="C132" s="8"/>
      <c r="D132" s="8"/>
      <c r="E132" s="8"/>
      <c r="F132" s="8"/>
      <c r="G132" s="8"/>
      <c r="H132" s="8"/>
      <c r="I132" s="8"/>
      <c r="J132" s="8"/>
      <c r="K132" s="8"/>
      <c r="L132" s="8"/>
      <c r="M132" s="10"/>
      <c r="N132" s="5"/>
    </row>
    <row r="133" spans="1:14" ht="15.5" x14ac:dyDescent="0.35">
      <c r="A133" s="55" t="s">
        <v>155</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156</v>
      </c>
      <c r="B135" s="10"/>
      <c r="C135" s="57">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157</v>
      </c>
      <c r="B137" s="10"/>
      <c r="C137" s="9" t="str">
        <f>E15</f>
        <v>S.l.dr.ing. Olga Plopa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158</v>
      </c>
      <c r="B139" s="15"/>
      <c r="C139" s="9" t="str">
        <f t="shared" ref="C139:C141" si="0">E17</f>
        <v>S.l.dr.ing. Olga Plopa</v>
      </c>
      <c r="D139" s="8"/>
      <c r="E139" s="8"/>
      <c r="F139" s="8"/>
      <c r="G139" s="10"/>
      <c r="H139" s="9">
        <f t="shared" ref="H139:H141" si="1">E20</f>
        <v>0</v>
      </c>
      <c r="I139" s="8"/>
      <c r="J139" s="8"/>
      <c r="K139" s="8"/>
      <c r="L139" s="8"/>
      <c r="M139" s="10"/>
      <c r="N139" s="5"/>
    </row>
    <row r="140" spans="1:14" ht="32.25" customHeight="1" x14ac:dyDescent="0.35">
      <c r="A140" s="25"/>
      <c r="B140" s="26"/>
      <c r="C140" s="9" t="str">
        <f t="shared" si="0"/>
        <v>Drd. Ing. Camelia-Petronela Oprea</v>
      </c>
      <c r="D140" s="8"/>
      <c r="E140" s="8"/>
      <c r="F140" s="8"/>
      <c r="G140" s="10"/>
      <c r="H140" s="9">
        <f t="shared" si="1"/>
        <v>0</v>
      </c>
      <c r="I140" s="8"/>
      <c r="J140" s="8"/>
      <c r="K140" s="8"/>
      <c r="L140" s="8"/>
      <c r="M140" s="10"/>
      <c r="N140" s="5"/>
    </row>
    <row r="141" spans="1:14" ht="32.25"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159</v>
      </c>
      <c r="B143" s="10"/>
      <c r="C143" s="59">
        <f>[1]Date!C25</f>
        <v>45915</v>
      </c>
      <c r="D143" s="10"/>
      <c r="E143" s="56" t="s">
        <v>160</v>
      </c>
      <c r="F143" s="8"/>
      <c r="G143" s="10"/>
      <c r="H143" s="60" t="str">
        <f>[1]Date!C27</f>
        <v>Conf.dr.ing. Mihai POSTOLACHE</v>
      </c>
      <c r="I143" s="8"/>
      <c r="J143" s="8"/>
      <c r="K143" s="8"/>
      <c r="L143" s="8"/>
      <c r="M143" s="10"/>
      <c r="N143" s="5"/>
    </row>
    <row r="144" spans="1:14" ht="21.75" customHeight="1" x14ac:dyDescent="0.35">
      <c r="A144" s="61"/>
      <c r="B144" s="61"/>
      <c r="C144" s="61"/>
      <c r="D144" s="61"/>
      <c r="E144" s="61"/>
      <c r="F144" s="61"/>
      <c r="G144" s="61"/>
      <c r="H144" s="62"/>
      <c r="I144" s="62"/>
      <c r="J144" s="62"/>
      <c r="K144" s="62"/>
      <c r="L144" s="62"/>
      <c r="M144" s="62"/>
      <c r="N144" s="5"/>
    </row>
    <row r="145" spans="1:14" ht="28.5" customHeight="1" x14ac:dyDescent="0.35">
      <c r="A145" s="56" t="s">
        <v>161</v>
      </c>
      <c r="B145" s="10"/>
      <c r="C145" s="59">
        <f>[1]Date!C26</f>
        <v>45918</v>
      </c>
      <c r="D145" s="10"/>
      <c r="E145" s="56" t="s">
        <v>162</v>
      </c>
      <c r="F145" s="8"/>
      <c r="G145" s="10"/>
      <c r="H145" s="60"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2026-03-01T09:03:23Z</dcterms:created>
  <dcterms:modified xsi:type="dcterms:W3CDTF">2026-03-01T09:03:31Z</dcterms:modified>
</cp:coreProperties>
</file>