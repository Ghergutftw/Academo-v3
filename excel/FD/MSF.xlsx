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663A64A2-F0DF-4BE4-9E16-9FD0BD1C6AF9}" xr6:coauthVersionLast="47" xr6:coauthVersionMax="47" xr10:uidLastSave="{00000000-0000-0000-0000-000000000000}"/>
  <bookViews>
    <workbookView xWindow="-110" yWindow="-110" windowWidth="25820" windowHeight="15500" xr2:uid="{BA25BCEF-3207-41E2-B640-8C5BB9A74E63}"/>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36" i="1" a="1"/>
  <c r="C36" i="1" s="1"/>
  <c r="I26" i="1" a="1"/>
  <c r="I26" i="1" s="1"/>
  <c r="I27" i="1" s="1"/>
  <c r="C23" i="1"/>
  <c r="E14" i="1" a="1"/>
  <c r="E14" i="1" s="1"/>
  <c r="C9" i="1"/>
  <c r="C8" i="1"/>
  <c r="C7" i="1"/>
  <c r="A2" i="1"/>
  <c r="E13" i="1" l="1" a="1"/>
  <c r="E13" i="1" s="1"/>
  <c r="G26" i="1" a="1"/>
  <c r="G26" i="1" s="1"/>
  <c r="G27" i="1" s="1"/>
  <c r="K26" i="1" a="1"/>
  <c r="K26" i="1" s="1"/>
  <c r="K27" i="1" s="1"/>
  <c r="E23" i="1" a="1"/>
  <c r="E23" i="1" s="1"/>
  <c r="I23" i="1" a="1"/>
  <c r="I23" i="1" s="1"/>
  <c r="M14" i="1" a="1"/>
  <c r="M14" i="1" s="1"/>
  <c r="M23" i="1" a="1"/>
  <c r="M23" i="1" s="1"/>
  <c r="M32" i="1" a="1"/>
  <c r="M32"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FE8F3777-B01E-414F-8034-4F8D9E49CB00}">
      <text>
        <r>
          <rPr>
            <sz val="10"/>
            <color rgb="FF000000"/>
            <rFont val="Aptos Narrow"/>
            <scheme val="minor"/>
          </rPr>
          <t>Pondere din nota de la E / V</t>
        </r>
      </text>
    </comment>
    <comment ref="K128" authorId="0" shapeId="0" xr:uid="{8DB72E42-2C1D-4E14-A939-20E52A811A58}">
      <text>
        <r>
          <rPr>
            <sz val="10"/>
            <color rgb="FF000000"/>
            <rFont val="Aptos Narrow"/>
            <scheme val="minor"/>
          </rPr>
          <t>Pondere din nota de la E / V</t>
        </r>
      </text>
    </comment>
  </commentList>
</comments>
</file>

<file path=xl/sharedStrings.xml><?xml version="1.0" encoding="utf-8"?>
<sst xmlns="http://schemas.openxmlformats.org/spreadsheetml/2006/main" count="203" uniqueCount="154">
  <si>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</si>
  <si>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</si>
  <si>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</si>
  <si>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</si>
  <si>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</si>
  <si>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</si>
  <si>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</si>
  <si>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</si>
  <si>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</si>
  <si>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</si>
  <si>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</si>
  <si>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</si>
  <si>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</si>
  <si>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Modelarea sistemelor fizice</t>
  </si>
  <si>
    <t>(în limba engleză, conform Suplimentului la diplomă)</t>
  </si>
  <si>
    <t>2.1.2. Codul disciplinei</t>
  </si>
  <si>
    <t xml:space="preserve">2.1.3. Categoria formativă </t>
  </si>
  <si>
    <t>2.2 Titularul / titularii activităţilor de curs</t>
  </si>
  <si>
    <t>Prof. dr. ing. Octavian-Cezar Păstrăvanu</t>
  </si>
  <si>
    <t>2.3 Titularul / titularii activităţilor de aplicaţii (S, L, P, Pr)</t>
  </si>
  <si>
    <t>Asist. drd. ing. Ioana Huştiu</t>
  </si>
  <si>
    <t>Asist. drd. ing. Mihaela Alexandra Barb-Ciorbea</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</si>
  <si>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</si>
  <si>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</si>
  <si>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</si>
  <si>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</si>
  <si>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</si>
  <si>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</si>
  <si>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</si>
  <si>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</si>
  <si>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</si>
  <si>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</si>
  <si>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</si>
  <si>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</si>
  <si>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</si>
  <si>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</si>
  <si>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</si>
  <si>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</si>
  <si>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</si>
  <si>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</si>
  <si>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</si>
  <si>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</si>
  <si>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</si>
  <si>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</si>
  <si>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</si>
  <si>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</si>
  <si>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</si>
  <si>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</si>
  <si>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</si>
  <si>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</si>
  <si>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</si>
  <si>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</si>
  <si>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</si>
  <si>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utilizarea ecuatiilor diferentiale, funcţionarea circuitelor electrice liniare</t>
  </si>
  <si>
    <t>5. Condiţii</t>
  </si>
  <si>
    <t>5.1 de desfăşurare a cursului</t>
  </si>
  <si>
    <t>amfiteatru echipat cu calculator si videoproiecto</t>
  </si>
  <si>
    <t>5.2 de desfăşurare a seminarului / laboratorului / proiectului</t>
  </si>
  <si>
    <t>sala de lucrari practice echipata cu calculatoare (posturi individuale), videoproiector conectat la calulatorul central</t>
  </si>
  <si>
    <t>6. Obiectivul general al disciplinei</t>
  </si>
  <si>
    <t>Studierea unor clase de modele liniare tipice pentru ingineria sistemelor – constructie, proprietati comportamentale, utilizare în simulare şi analiza asistată de calculator.</t>
  </si>
  <si>
    <t>7. Rezultatele învățării</t>
  </si>
  <si>
    <t>Cunoștințe</t>
  </si>
  <si>
    <t>Studentul / Absolventul:</t>
  </si>
  <si>
    <t>- construieşte şi/sau explica descrierea matematica a functionarii sistemelor, care permit acces la configuratia fizica (conexiuni de dispositive / componente).
- motiveaza si/sau utilizeaza calculul diferential / integral in referirea la functionarea instantanee a unor clase de sisteme.
- construieste şi/sau explica modele considerate tipice / fundamentale in domeniul automaticii: proportional, integrator, element de intarziere de ordinul intai, modele de stare de ordin general. Modelele sunt asociate functionarii unor clase largi de sisteme fizico-tehnice, cu referiri frecvente in practica (electrice, mecanice, hidraulice).
- utilizează metode generale pentru construirea modelelor, bazate pe modul de procesare a energiei de catre componentele constitutive ale sistemelor fizice. Evidenţiaza  izomorfisme comportamentale între sisteme operand in diverse domenii ale fizicii.</t>
  </si>
  <si>
    <t>Aptitudini</t>
  </si>
  <si>
    <t xml:space="preserve">- ilustreaza rolul modelelor tipice / fundamentale in descrierea dinamicii unor sisteme fizice frecvent intalnite in practica.
- analizeaza, prin abordare matematică - ecuaţii diferenţiale, comportarea modelelor tipice / fundamentale, cu referiri la sisteme fizice reprezentative (larga utilizare).
- analizeaza, prin abordare numerică - simulare in mediul Matlab, comportarea modelelor tipice / fundamentale, cu referiri la sisteme fizice reprezentative (larga utilizare).
- construieste modele pe baza modului de procesare a energiei de catre componentele constitutive ale sistemelor fizice.
</t>
  </si>
  <si>
    <t>Responsabilitate și autonomie</t>
  </si>
  <si>
    <t>- dezvolta capacitatea de a aborda şi rezolva (individual, sau în echipă), probleme specifice automaticii, prin raportarea la un set de repere recunoscute, privind calitatea și eficiența.
- contureaza asumarea responsabilităților aferente documentării și testării soluţiilor propuse.
- evaluează modul de organizare a timpului și resurselor, care sunt necesare pentru realizarea unor proiecte.
- dezvoltă competențe pentru analiza şi sinteza sistemelor, prin documentare și exercițiu suplimentar.</t>
  </si>
  <si>
    <t xml:space="preserve">8. Metode de predare </t>
  </si>
  <si>
    <t>Activitățile de predare vor folosi expuneri interactive, studenții fiind stimulaţi să participe activ, să pună întrebări și să exprime opinii pe marginea subiectelor discutate. Aceste prezentări vor fi realizate în format .ppt sau .pdf și vor conține atât informații teoretice, cât și exemple cu suport vizual (imagini, diagrame), care vor sprijini înțelegerea conceptelor fundamentale. Pentru consolidarea abordării unei tematici noi, se va face apel la scurte recapitulări, cu orientări adecvate asupra conceptelor / tehnicilor considerate în discuţie.</t>
  </si>
  <si>
    <t>9. Conţinuturi</t>
  </si>
  <si>
    <t>9.1. Curs</t>
  </si>
  <si>
    <t>Metode de predare</t>
  </si>
  <si>
    <t>Timp alocat</t>
  </si>
  <si>
    <t>1</t>
  </si>
  <si>
    <t>Cap1. Introducere în problematica modelării 1.1. Concepte fundamentale şi terminologie, -1.2. Modelarea bazată pe principiile fizicii</t>
  </si>
  <si>
    <t>Expunere prin prezentare cu videoproiector si aprofundare prin discutii marcate pe tablă. Stimularea unui dialog permanent cu studenţii.</t>
  </si>
  <si>
    <t>2</t>
  </si>
  <si>
    <t>1.3. Transferul de energie şi modelarea cauzală; 1.4. Trecere sistematizată în revistă a unor relaţii fundamentale din fizică,</t>
  </si>
  <si>
    <t>3</t>
  </si>
  <si>
    <t>1.5 Variabilele puterii şi ale energiei, Cap.2. Tipuri de modele cauzale şi proprietăţi comportamentale remarcabile. Subcap2.1. Modele de tip proportional 2.1.1. Tranziţia cauzală intrare-ieşire, 2.1.2. Comentarii asupra cauzalităţii</t>
  </si>
  <si>
    <t>4</t>
  </si>
  <si>
    <t xml:space="preserve">Subcap2.2. Modele de tip integrator sau derivator 2.2.1. Tranziţia cauzală intrare-ieşire pentru modele de tip integrator, 2.2.2. Tranziţia cauzală intrare-ieşire pentru modele de tip derivator </t>
  </si>
  <si>
    <t>5</t>
  </si>
  <si>
    <t>2.2.3. Studiul comparativ al unor legi fizice cu exprimare cauzală de tip integral sau derivativ</t>
  </si>
  <si>
    <t>6</t>
  </si>
  <si>
    <t>Subcap2.3. Modele liniare de tip ecuaţie diferenţială de ordinul I, cu coeficienţi constanţi 2.3.1. Tranziţia cauzală intrare-ieşire, 2.3.2. Comportare de regim liber şi de regim forţat,</t>
  </si>
  <si>
    <t>7</t>
  </si>
  <si>
    <t>2.3.3. Dinamica de regim forţat pentru semnale de intrare standard - Răspunsul forţat la semnal treaptă,</t>
  </si>
  <si>
    <t>8</t>
  </si>
  <si>
    <t>2.3.4. Dinamica de regim liber, 2.3.5. Răspunsul complet pentru semnale de intrare standard,</t>
  </si>
  <si>
    <t>9</t>
  </si>
  <si>
    <t>Subcap2.4. Modele liniare monovariabile (single-input, single-output) de tip intrare-stare-ieşire, 2.4.1 Tranziţia cauzală intrare-stare-ieşire. 2.4.1.1. Modele intrare-stare-ieşire de ordinul doi, 2.4.1.2. Modele intrare-stare-ieşire de ordin general,</t>
  </si>
  <si>
    <t>10</t>
  </si>
  <si>
    <t>2.4.2. Răspuns complet, răspuns liber şi răspuns forţat, 2.4.3. Dinamica de regim liber,</t>
  </si>
  <si>
    <t>11</t>
  </si>
  <si>
    <t>2.4.4. Dinamica de regim forţat pentru semnale de intrare standard - Răspunsul forţat la semnal treaptă,</t>
  </si>
  <si>
    <t>12</t>
  </si>
  <si>
    <t>2.4.5. Răspunsul complet pentru semnale de intrare standard; 2.4.6. Subclase de modele intrare-stare-iesire</t>
  </si>
  <si>
    <t>13</t>
  </si>
  <si>
    <t>2.4.7. Etape in construirea unui model intrare-stare-iesire, Cap3. Analogii comportamentale între diverse domenii ale fizicii 3.1. Studiul comparativ al elementelor cu acţiuni tipice în procesarea energiei,</t>
  </si>
  <si>
    <t>14</t>
  </si>
  <si>
    <t>3.2. Studiul comparativ al modalităţilor tipice de conectare, 3.3. Prezentare sintetică a principiilor unificatoare în exprimarea legilor fizicii.</t>
  </si>
  <si>
    <t xml:space="preserve">Bibliografie curs:
1. Păstrăvanu O, Modelarea sistemelor fizic - Note de curs. Moodle, https://edu.tuiasi.ro
2. Ogata K., Modern Control Engineering, Fifth Edition, Prentice Hall, 2010, Chapter 3 - Mathematical Modeling of Mechanical Systems and Electrical Systems. Moodle, https://edu.tuiasi.ro.
3. Golnaraghi F., Kuo B., Automatic Control Systems, Ninth Edition, Wiley, 2010, Chapter 4 - Modeling of Dynamic Systems. Moodle, https://edu.tuiasi.ro.
</t>
  </si>
  <si>
    <t>9.2a Seminar</t>
  </si>
  <si>
    <t>Metode de lucru</t>
  </si>
  <si>
    <t>9.2b Laborator</t>
  </si>
  <si>
    <t>Utilizarea mediului software Matlab – Manipularea tablourilor, operatori aritmetici şi funcţionali, Structuri pentru control, functii grafice - Exemple illustrative.</t>
  </si>
  <si>
    <t>Aplicatiile se desfăşoară în concordanţă cronologică şi de conţinut cu prelegerile de curs. Se utilizează tehnica de calcul din laborator pentru studiu individual, bazat pe exemple relevante. Comportari sistemice ilustrative sunt abordate analitic si numeric (asistat - in mediul Matlab).</t>
  </si>
  <si>
    <t>Utilizarea mediului software Matlab – Proceduri pentru rezolvarea ecuatiilor diferentiale - Exemple illustrative.</t>
  </si>
  <si>
    <t>Variabilele puterii şi ale energiei – Exemple illustrative (electric, mecanic, hidraulic).</t>
  </si>
  <si>
    <t>Tranziţia cauzala intrare ieşire pentru procese fizice cu comportare de tip integrator sau derivator - Studiul analitic.</t>
  </si>
  <si>
    <t>Tranziţia cauzala intrare ieşire pentru procese fizice cu comportare de tip integrator sau derivator - Studiul prin simulare.</t>
  </si>
  <si>
    <t>Tranziţia cauzala intrare ieşire pentru procese fizice cu comportări modelabile prin ecuaţii diferenţiale de ordinul I – Constructii modele (electric, mecanic) – Analogii</t>
  </si>
  <si>
    <t>Tranziţia cauzala intrare ieşire pentru procese fizice cu comportări modelabile prin ecuaţii diferenţiale de ordinul I – Raspuns fortat si complet la semnal treapta – studiu analitic si prin simulare.</t>
  </si>
  <si>
    <t>Tranziţia cauzala intrare ieşire pentru procese fizice cu comportări modelabile prin ecuaţii diferenţiale de ordinul I – Raspuns la semnal scara  – studiu analitic si prin simulare.</t>
  </si>
  <si>
    <t>Tranziţia cauzala intrare ieşire pentru procese fizice cu comportări modelabile prin reprezentări liniare intrare – stare – ieşire. Constructii pentru modele de ordin doi (electric, mecanic) – Analogii.</t>
  </si>
  <si>
    <t>Tranziţia cauzala intrare ieşire pentru procese fizice cu comportări modelabile prin reprezentări liniare intrare – stare – ieşire de ordin doi.  Raspuns liber si raspuns fortat – Studiu analitic</t>
  </si>
  <si>
    <t>Tranziţia cauzala intrare ieşire pentru procese fizice cu comportări modelabile prin reprezentări liniare intrare – stare – ieşire de ordin doi.  Raspuns liber si raspuns fortat – Studiu prin simulare.</t>
  </si>
  <si>
    <t>Modele de stare de ordin general (circuite electrice) – constructie si simulare.</t>
  </si>
  <si>
    <t>Modele de stare de ordin general (sisteme mecanice) – constructie si simulare.</t>
  </si>
  <si>
    <t>Modele de stare de ordin general - Regim tranzitoriu si regim stationar pentru raspuns la treapta.</t>
  </si>
  <si>
    <t>9.2c Proiect</t>
  </si>
  <si>
    <t xml:space="preserve">Bibliografie aplicaţii (laborator):
1. Kloetzer M., Păstrăvanu O., Modelarea sistemelor fizice – Indrumar de laborator. Moodle, https://edu.tuiasi.ro/
</t>
  </si>
  <si>
    <t>10. Evaluare</t>
  </si>
  <si>
    <t>Tip activitate</t>
  </si>
  <si>
    <t>10.1 Criterii de evaluare</t>
  </si>
  <si>
    <t>10.2 Metode de evaluare</t>
  </si>
  <si>
    <t>10.3 Pondere din nota finală [%]</t>
  </si>
  <si>
    <t>10.4 Examen / Colocviu</t>
  </si>
  <si>
    <t>Completitudinea, corectitudinea, gradul de aprofundare a cunoştinţelor, cu referire la:
(i) constructia modelelor de tip integrator, ecuatie diferentiala de ordin I, ecuatii de stare de ordin n;
(ii) proprietati comportamentale in descrierea dinamicilor prin ecuatii / sisteme de ecuatii
diferentiale liniare – conexiunile aferente cu abordarea din cursurile anterioare de matematica;
(iii) aplicativitatea la sisteme fizico-tehnice concrete;
Utilizarea adecvata a limbajului de specialitate.</t>
  </si>
  <si>
    <t>- test de evaluare formativ (verificări pe parcursul semestrului).</t>
  </si>
  <si>
    <t>20%</t>
  </si>
  <si>
    <t>- test de evaluare sumativ (verificare finală).</t>
  </si>
  <si>
    <t>80%</t>
  </si>
  <si>
    <t>10.5a Seminar</t>
  </si>
  <si>
    <t>Capacitatea de aplicare în practică a cunoştinţelor învăţate. Capacitatea de analiză, de interpretare personală, originalitatea, creativitatea.</t>
  </si>
  <si>
    <t>- participare activă la activități;
- test de evaluare.</t>
  </si>
  <si>
    <t>10.5b Laborator</t>
  </si>
  <si>
    <t>Capacitatea de aplicare în practică, în contexte diferite, a cunoştinţelor acumulate. Capacitatea de a
analiza şi interpreta contextele de aplicativitate concreta. Capacitatea de utilizare a programelor și
tehnicilor computaţionale specifice. Coerenţa activităților desfășurate în echipă.</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</si>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</sst>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5">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2" fillId="3" borderId="8" xfId="0" applyFont="1" applyFill="1" applyBorder="1"/>
    <xf numFmtId="0" fontId="2" fillId="3" borderId="8" xfId="0" applyFont="1" applyFill="1" applyBorder="1" applyAlignment="1">
      <alignment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4" xfId="0" applyNumberFormat="1" applyFont="1" applyFill="1" applyBorder="1" applyAlignment="1">
      <alignment vertical="center" wrapText="1"/>
    </xf>
    <xf numFmtId="49" fontId="2" fillId="3" borderId="13"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2" fillId="3" borderId="12" xfId="0" applyNumberFormat="1" applyFont="1" applyFill="1" applyBorder="1" applyAlignment="1">
      <alignment vertical="top"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2.xlsx" TargetMode="External"/><Relationship Id="rId1" Type="http://schemas.openxmlformats.org/officeDocument/2006/relationships/externalLinkPath" Target="/Users/Madalin/Downloads/FD%20AIA%20-%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MN"/>
      <sheetName val="ASDN"/>
      <sheetName val="MS"/>
      <sheetName val="ED"/>
      <sheetName val="SDA"/>
      <sheetName val="MSF"/>
      <sheetName val="IA"/>
      <sheetName val="BD"/>
      <sheetName val="AM"/>
      <sheetName val="TO"/>
      <sheetName val="SPD"/>
      <sheetName val="MT"/>
      <sheetName val="LE I"/>
      <sheetName val="LE II"/>
      <sheetName val="SP III"/>
      <sheetName val="CI"/>
      <sheetName val="E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C1" t="str">
            <v>Anul universitar: 2025-2026</v>
          </cell>
        </row>
        <row r="2">
          <cell r="B2" t="str">
            <v>Ingineria sistemelor</v>
          </cell>
        </row>
        <row r="3">
          <cell r="B3" t="str">
            <v>Licență</v>
          </cell>
        </row>
        <row r="4">
          <cell r="B4">
            <v>2</v>
          </cell>
        </row>
        <row r="5">
          <cell r="C5" t="str">
            <v>Automatică și Informatică Aplicată</v>
          </cell>
        </row>
        <row r="8">
          <cell r="A8">
            <v>1</v>
          </cell>
          <cell r="C8" t="str">
            <v>Metode numerice</v>
          </cell>
          <cell r="D8" t="str">
            <v>Numerical Methods</v>
          </cell>
          <cell r="E8" t="str">
            <v>AIA201</v>
          </cell>
          <cell r="F8" t="str">
            <v>DI</v>
          </cell>
          <cell r="G8" t="str">
            <v>DF</v>
          </cell>
          <cell r="H8">
            <v>2</v>
          </cell>
          <cell r="I8">
            <v>0</v>
          </cell>
          <cell r="J8">
            <v>2</v>
          </cell>
          <cell r="K8">
            <v>0</v>
          </cell>
          <cell r="L8">
            <v>69</v>
          </cell>
          <cell r="M8" t="str">
            <v>E</v>
          </cell>
          <cell r="N8">
            <v>5</v>
          </cell>
        </row>
        <row r="9">
          <cell r="A9">
            <v>1</v>
          </cell>
          <cell r="C9" t="str">
            <v>Analiza și sinteza dispozitivelor numerice</v>
          </cell>
          <cell r="D9" t="str">
            <v>Analysis and Synthesis of Digital Devices</v>
          </cell>
          <cell r="E9" t="str">
            <v>AIA202</v>
          </cell>
          <cell r="F9" t="str">
            <v>DI</v>
          </cell>
          <cell r="G9" t="str">
            <v>DD</v>
          </cell>
          <cell r="H9">
            <v>2</v>
          </cell>
          <cell r="I9">
            <v>0</v>
          </cell>
          <cell r="J9">
            <v>2</v>
          </cell>
          <cell r="K9">
            <v>0</v>
          </cell>
          <cell r="L9">
            <v>69</v>
          </cell>
          <cell r="M9" t="str">
            <v>E</v>
          </cell>
          <cell r="N9">
            <v>5</v>
          </cell>
        </row>
        <row r="10">
          <cell r="A10">
            <v>1</v>
          </cell>
          <cell r="C10" t="str">
            <v>Matematici speciale</v>
          </cell>
          <cell r="D10" t="str">
            <v>Advanced Mathematics</v>
          </cell>
          <cell r="E10" t="str">
            <v>AIA203</v>
          </cell>
          <cell r="F10" t="str">
            <v>DI</v>
          </cell>
          <cell r="G10" t="str">
            <v>DF</v>
          </cell>
          <cell r="H10">
            <v>2</v>
          </cell>
          <cell r="I10">
            <v>2</v>
          </cell>
          <cell r="J10">
            <v>0</v>
          </cell>
          <cell r="K10">
            <v>0</v>
          </cell>
          <cell r="L10">
            <v>44</v>
          </cell>
          <cell r="M10" t="str">
            <v>C</v>
          </cell>
          <cell r="N10">
            <v>4</v>
          </cell>
        </row>
        <row r="11">
          <cell r="A11">
            <v>1</v>
          </cell>
          <cell r="C11" t="str">
            <v>Electronică digitală</v>
          </cell>
          <cell r="D11" t="str">
            <v>Digital Electronics</v>
          </cell>
          <cell r="E11" t="str">
            <v>AIA204</v>
          </cell>
          <cell r="F11" t="str">
            <v>DI</v>
          </cell>
          <cell r="G11" t="str">
            <v>DD</v>
          </cell>
          <cell r="H11">
            <v>2</v>
          </cell>
          <cell r="I11">
            <v>0</v>
          </cell>
          <cell r="J11">
            <v>2</v>
          </cell>
          <cell r="K11">
            <v>0</v>
          </cell>
          <cell r="L11">
            <v>44</v>
          </cell>
          <cell r="M11" t="str">
            <v>C</v>
          </cell>
          <cell r="N11">
            <v>4</v>
          </cell>
        </row>
        <row r="12">
          <cell r="A12">
            <v>1</v>
          </cell>
          <cell r="C12" t="str">
            <v>Structuri de date și algoritmi</v>
          </cell>
          <cell r="D12" t="str">
            <v>Data Structures and Algorithms</v>
          </cell>
          <cell r="E12" t="str">
            <v>AIA205</v>
          </cell>
          <cell r="F12" t="str">
            <v>DI</v>
          </cell>
          <cell r="G12" t="str">
            <v>DD</v>
          </cell>
          <cell r="H12">
            <v>2</v>
          </cell>
          <cell r="I12">
            <v>0</v>
          </cell>
          <cell r="J12">
            <v>2</v>
          </cell>
          <cell r="K12">
            <v>0</v>
          </cell>
          <cell r="L12">
            <v>69</v>
          </cell>
          <cell r="M12" t="str">
            <v>E</v>
          </cell>
          <cell r="N12">
            <v>5</v>
          </cell>
        </row>
        <row r="13">
          <cell r="A13">
            <v>1</v>
          </cell>
          <cell r="C13" t="str">
            <v>Modelarea sistemelor fizice</v>
          </cell>
          <cell r="D13" t="str">
            <v>Modelling of Physical Systems</v>
          </cell>
          <cell r="E13" t="str">
            <v>AIA206</v>
          </cell>
          <cell r="F13" t="str">
            <v>DI</v>
          </cell>
          <cell r="G13" t="str">
            <v>DD</v>
          </cell>
          <cell r="H13">
            <v>2</v>
          </cell>
          <cell r="I13">
            <v>0</v>
          </cell>
          <cell r="J13">
            <v>2</v>
          </cell>
          <cell r="K13">
            <v>0</v>
          </cell>
          <cell r="L13">
            <v>69</v>
          </cell>
          <cell r="M13" t="str">
            <v>E</v>
          </cell>
          <cell r="N13">
            <v>5</v>
          </cell>
        </row>
        <row r="14">
          <cell r="A14">
            <v>2</v>
          </cell>
          <cell r="C14" t="str">
            <v>Introducere în automatică</v>
          </cell>
          <cell r="D14" t="str">
            <v>Fundamentals of Feedback Control</v>
          </cell>
          <cell r="E14" t="str">
            <v>AIA207</v>
          </cell>
          <cell r="F14" t="str">
            <v>DI</v>
          </cell>
          <cell r="G14" t="str">
            <v>DD</v>
          </cell>
          <cell r="H14">
            <v>3</v>
          </cell>
          <cell r="I14">
            <v>0</v>
          </cell>
          <cell r="J14">
            <v>2</v>
          </cell>
          <cell r="K14">
            <v>0</v>
          </cell>
          <cell r="L14">
            <v>55</v>
          </cell>
          <cell r="M14" t="str">
            <v>E</v>
          </cell>
          <cell r="N14">
            <v>5</v>
          </cell>
        </row>
        <row r="15">
          <cell r="A15">
            <v>2</v>
          </cell>
          <cell r="C15" t="str">
            <v>Baze de date</v>
          </cell>
          <cell r="D15" t="str">
            <v>Database Systems</v>
          </cell>
          <cell r="E15" t="str">
            <v>AIA208</v>
          </cell>
          <cell r="F15" t="str">
            <v>DI</v>
          </cell>
          <cell r="G15" t="str">
            <v>DD</v>
          </cell>
          <cell r="H15">
            <v>2</v>
          </cell>
          <cell r="I15">
            <v>0</v>
          </cell>
          <cell r="J15">
            <v>2</v>
          </cell>
          <cell r="K15">
            <v>0</v>
          </cell>
          <cell r="L15">
            <v>44</v>
          </cell>
          <cell r="M15" t="str">
            <v>C</v>
          </cell>
          <cell r="N15">
            <v>4</v>
          </cell>
        </row>
        <row r="16">
          <cell r="A16">
            <v>2</v>
          </cell>
          <cell r="C16" t="str">
            <v>Automate și microprogramare</v>
          </cell>
          <cell r="D16" t="str">
            <v>Automata and Microprogramming</v>
          </cell>
          <cell r="E16" t="str">
            <v>AIA209</v>
          </cell>
          <cell r="F16" t="str">
            <v>DI</v>
          </cell>
          <cell r="G16" t="str">
            <v>DD</v>
          </cell>
          <cell r="H16">
            <v>2</v>
          </cell>
          <cell r="I16">
            <v>0</v>
          </cell>
          <cell r="J16">
            <v>1</v>
          </cell>
          <cell r="K16">
            <v>1</v>
          </cell>
          <cell r="L16">
            <v>69</v>
          </cell>
          <cell r="M16" t="str">
            <v>E</v>
          </cell>
          <cell r="N16">
            <v>5</v>
          </cell>
        </row>
        <row r="17">
          <cell r="A17">
            <v>2</v>
          </cell>
          <cell r="C17" t="str">
            <v>Tehnici de optimizare</v>
          </cell>
          <cell r="D17" t="str">
            <v>Optimization Techniques</v>
          </cell>
          <cell r="E17" t="str">
            <v>AIA210</v>
          </cell>
          <cell r="F17" t="str">
            <v>DI</v>
          </cell>
          <cell r="G17" t="str">
            <v>DD</v>
          </cell>
          <cell r="H17">
            <v>2</v>
          </cell>
          <cell r="I17">
            <v>0</v>
          </cell>
          <cell r="J17">
            <v>2</v>
          </cell>
          <cell r="K17">
            <v>0</v>
          </cell>
          <cell r="L17">
            <v>69</v>
          </cell>
          <cell r="M17" t="str">
            <v>E</v>
          </cell>
          <cell r="N17">
            <v>5</v>
          </cell>
        </row>
        <row r="18">
          <cell r="A18">
            <v>2</v>
          </cell>
          <cell r="C18" t="str">
            <v>Statistică și prelucrarea datelor</v>
          </cell>
          <cell r="D18" t="str">
            <v>Statistics and Data Processing</v>
          </cell>
          <cell r="E18" t="str">
            <v>AIA211</v>
          </cell>
          <cell r="F18" t="str">
            <v>DI</v>
          </cell>
          <cell r="G18" t="str">
            <v>DF</v>
          </cell>
          <cell r="H18">
            <v>2</v>
          </cell>
          <cell r="I18">
            <v>0</v>
          </cell>
          <cell r="J18">
            <v>2</v>
          </cell>
          <cell r="K18">
            <v>0</v>
          </cell>
          <cell r="L18">
            <v>69</v>
          </cell>
          <cell r="M18" t="str">
            <v>E</v>
          </cell>
          <cell r="N18">
            <v>5</v>
          </cell>
        </row>
        <row r="19">
          <cell r="A19">
            <v>2</v>
          </cell>
          <cell r="C19" t="str">
            <v>Măsurări și traductoare</v>
          </cell>
          <cell r="D19" t="str">
            <v>Measurements and Transducers</v>
          </cell>
          <cell r="E19" t="str">
            <v>AIA212</v>
          </cell>
          <cell r="F19" t="str">
            <v>DI</v>
          </cell>
          <cell r="G19" t="str">
            <v>DD</v>
          </cell>
          <cell r="H19">
            <v>2</v>
          </cell>
          <cell r="I19">
            <v>0</v>
          </cell>
          <cell r="J19">
            <v>2</v>
          </cell>
          <cell r="K19">
            <v>0</v>
          </cell>
          <cell r="L19">
            <v>69</v>
          </cell>
          <cell r="M19" t="str">
            <v>E</v>
          </cell>
          <cell r="N19">
            <v>5</v>
          </cell>
        </row>
        <row r="20">
          <cell r="A20">
            <v>1</v>
          </cell>
          <cell r="C20" t="str">
            <v>Limba engleză I</v>
          </cell>
          <cell r="D20" t="str">
            <v>The English Language I</v>
          </cell>
          <cell r="E20" t="str">
            <v>AIA213</v>
          </cell>
          <cell r="F20" t="str">
            <v>DI</v>
          </cell>
          <cell r="G20" t="str">
            <v>DC</v>
          </cell>
          <cell r="H20">
            <v>0</v>
          </cell>
          <cell r="I20">
            <v>1</v>
          </cell>
          <cell r="J20">
            <v>0</v>
          </cell>
          <cell r="K20">
            <v>0</v>
          </cell>
          <cell r="L20">
            <v>11</v>
          </cell>
          <cell r="M20" t="str">
            <v>VP</v>
          </cell>
          <cell r="N20">
            <v>1</v>
          </cell>
        </row>
        <row r="21">
          <cell r="A21">
            <v>2</v>
          </cell>
          <cell r="C21" t="str">
            <v>Limba engleză II</v>
          </cell>
          <cell r="D21" t="str">
            <v>The English Language II</v>
          </cell>
          <cell r="E21" t="str">
            <v>AIA214</v>
          </cell>
          <cell r="F21" t="str">
            <v>DI</v>
          </cell>
          <cell r="G21" t="str">
            <v>DC</v>
          </cell>
          <cell r="H21">
            <v>0</v>
          </cell>
          <cell r="I21">
            <v>1</v>
          </cell>
          <cell r="J21">
            <v>0</v>
          </cell>
          <cell r="K21">
            <v>0</v>
          </cell>
          <cell r="L21">
            <v>11</v>
          </cell>
          <cell r="M21" t="str">
            <v>VP</v>
          </cell>
          <cell r="N21">
            <v>1</v>
          </cell>
        </row>
        <row r="29">
          <cell r="C29">
            <v>45915</v>
          </cell>
        </row>
        <row r="30">
          <cell r="C30">
            <v>45918</v>
          </cell>
        </row>
        <row r="31">
          <cell r="C31" t="str">
            <v>Conf.dr.ing. Mihai POSTOLACHE</v>
          </cell>
        </row>
        <row r="32">
          <cell r="C32"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25E34-C4B8-4FD6-8AF8-FF19BEBCF0F0}">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Modelling of Physical Systems</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AIA206</v>
      </c>
      <c r="F14" s="18"/>
      <c r="G14" s="18"/>
      <c r="H14" s="18"/>
      <c r="I14" s="7" t="s">
        <v>16</v>
      </c>
      <c r="J14" s="8"/>
      <c r="K14" s="8"/>
      <c r="L14" s="10"/>
      <c r="M14" s="22" t="str">
        <f t="array" aca="1" ref="M14" ca="1">INDEX([1]Date!G8:G21, MATCH(E12,[1]Date!C8:C21,0),0)</f>
        <v>DD</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20</v>
      </c>
      <c r="F17" s="8"/>
      <c r="G17" s="8"/>
      <c r="H17" s="8"/>
      <c r="I17" s="8"/>
      <c r="J17" s="8"/>
      <c r="K17" s="8"/>
      <c r="L17" s="8"/>
      <c r="M17" s="10"/>
      <c r="N17" s="5"/>
    </row>
    <row r="18" spans="1:14" ht="15.5" x14ac:dyDescent="0.35">
      <c r="A18" s="25"/>
      <c r="B18" s="2"/>
      <c r="C18" s="2"/>
      <c r="D18" s="26"/>
      <c r="E18" s="23" t="s">
        <v>21</v>
      </c>
      <c r="F18" s="8"/>
      <c r="G18" s="8"/>
      <c r="H18" s="8"/>
      <c r="I18" s="8"/>
      <c r="J18" s="8"/>
      <c r="K18" s="8"/>
      <c r="L18" s="8"/>
      <c r="M18" s="10"/>
      <c r="N18" s="5"/>
    </row>
    <row r="19" spans="1:14" ht="15.5"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22</v>
      </c>
      <c r="B23" s="10"/>
      <c r="C23" s="27">
        <f>[1]Date!B4</f>
        <v>2</v>
      </c>
      <c r="D23" s="28" t="s">
        <v>23</v>
      </c>
      <c r="E23" s="27">
        <f t="array" aca="1" ref="E23" ca="1">INDEX([1]Date!A8:A21, MATCH(E12,[1]Date!C8:C21,0),0)</f>
        <v>1</v>
      </c>
      <c r="F23" s="29" t="s">
        <v>24</v>
      </c>
      <c r="G23" s="8"/>
      <c r="H23" s="10"/>
      <c r="I23" s="22" t="str">
        <f t="array" aca="1" ref="I23" ca="1">INDEX([1]Date!M8:M21, MATCH(E12,[1]Date!C8:C21,0),0)</f>
        <v>E</v>
      </c>
      <c r="J23" s="29" t="s">
        <v>25</v>
      </c>
      <c r="K23" s="8"/>
      <c r="L23" s="10"/>
      <c r="M23" s="27" t="str">
        <f t="array" aca="1" ref="M23" ca="1">INDEX([1]Date!F8:F21, MATCH(E12,[1]Date!C8:C21,0),0)</f>
        <v>DI</v>
      </c>
      <c r="N23" s="5"/>
    </row>
    <row r="24" spans="1:14" ht="15.5" x14ac:dyDescent="0.35">
      <c r="A24" s="12"/>
      <c r="B24" s="2"/>
      <c r="C24" s="2"/>
      <c r="D24" s="2"/>
      <c r="E24" s="2"/>
      <c r="F24" s="2"/>
      <c r="G24" s="2"/>
      <c r="H24" s="2"/>
      <c r="I24" s="2"/>
      <c r="J24" s="2"/>
      <c r="K24" s="2"/>
      <c r="L24" s="2"/>
      <c r="M24" s="2"/>
      <c r="N24" s="5"/>
    </row>
    <row r="25" spans="1:14" ht="15.5" x14ac:dyDescent="0.35">
      <c r="A25" s="6" t="s">
        <v>26</v>
      </c>
      <c r="B25" s="2"/>
      <c r="C25" s="2"/>
      <c r="D25" s="2"/>
      <c r="E25" s="2"/>
      <c r="F25" s="2"/>
      <c r="G25" s="2"/>
      <c r="H25" s="2"/>
      <c r="I25" s="2"/>
      <c r="J25" s="2"/>
      <c r="K25" s="2"/>
      <c r="L25" s="2"/>
      <c r="M25" s="2"/>
      <c r="N25" s="30"/>
    </row>
    <row r="26" spans="1:14" ht="31" x14ac:dyDescent="0.35">
      <c r="A26" s="7" t="s">
        <v>27</v>
      </c>
      <c r="B26" s="10"/>
      <c r="C26" s="31">
        <f ca="1">SUM(E26+G26+I26+K26)</f>
        <v>4</v>
      </c>
      <c r="D26" s="28" t="s">
        <v>28</v>
      </c>
      <c r="E26" s="27">
        <f t="array" aca="1" ref="E26" ca="1">INDEX([1]Date!H8:H21, MATCH(E12,[1]Date!C8:C21,0),0)</f>
        <v>2</v>
      </c>
      <c r="F26" s="28" t="s">
        <v>29</v>
      </c>
      <c r="G26" s="27">
        <f t="array" aca="1" ref="G26" ca="1">INDEX([1]Date!I8:I21, MATCH(E12,[1]Date!C8:C21,0),0)</f>
        <v>0</v>
      </c>
      <c r="H26" s="28" t="s">
        <v>30</v>
      </c>
      <c r="I26" s="31">
        <f t="array" aca="1" ref="I26" ca="1">INDEX([1]Date!J8:J21, MATCH(E12,[1]Date!C8:C21,0),0)</f>
        <v>2</v>
      </c>
      <c r="J26" s="28" t="s">
        <v>31</v>
      </c>
      <c r="K26" s="27">
        <f t="array" aca="1" ref="K26" ca="1">INDEX([1]Date!K8:K21, MATCH(E12,[1]Date!C8:C21,0),0)</f>
        <v>0</v>
      </c>
      <c r="L26" s="7" t="s">
        <v>32</v>
      </c>
      <c r="M26" s="10"/>
      <c r="N26" s="30"/>
    </row>
    <row r="27" spans="1:14" ht="31" x14ac:dyDescent="0.35">
      <c r="A27" s="7" t="s">
        <v>33</v>
      </c>
      <c r="B27" s="10"/>
      <c r="C27" s="27">
        <f ca="1">C26*14</f>
        <v>56</v>
      </c>
      <c r="D27" s="28" t="s">
        <v>34</v>
      </c>
      <c r="E27" s="27">
        <f ca="1">E26*14</f>
        <v>28</v>
      </c>
      <c r="F27" s="28" t="s">
        <v>35</v>
      </c>
      <c r="G27" s="27">
        <f ca="1">G26*14</f>
        <v>0</v>
      </c>
      <c r="H27" s="28" t="s">
        <v>36</v>
      </c>
      <c r="I27" s="27">
        <f ca="1">I26*14</f>
        <v>28</v>
      </c>
      <c r="J27" s="28" t="s">
        <v>37</v>
      </c>
      <c r="K27" s="27">
        <f ca="1">K26*14</f>
        <v>0</v>
      </c>
      <c r="L27" s="28" t="s">
        <v>38</v>
      </c>
      <c r="M27" s="27">
        <v>0</v>
      </c>
      <c r="N27" s="5"/>
    </row>
    <row r="28" spans="1:14" ht="15.5" x14ac:dyDescent="0.35">
      <c r="A28" s="7" t="s">
        <v>39</v>
      </c>
      <c r="B28" s="8"/>
      <c r="C28" s="8"/>
      <c r="D28" s="8"/>
      <c r="E28" s="8"/>
      <c r="F28" s="8"/>
      <c r="G28" s="8"/>
      <c r="H28" s="8"/>
      <c r="I28" s="8"/>
      <c r="J28" s="8"/>
      <c r="K28" s="8"/>
      <c r="L28" s="10"/>
      <c r="M28" s="27" t="s">
        <v>40</v>
      </c>
      <c r="N28" s="5"/>
    </row>
    <row r="29" spans="1:14" ht="15.5" x14ac:dyDescent="0.35">
      <c r="A29" s="7" t="s">
        <v>41</v>
      </c>
      <c r="B29" s="8"/>
      <c r="C29" s="8"/>
      <c r="D29" s="8"/>
      <c r="E29" s="8"/>
      <c r="F29" s="8"/>
      <c r="G29" s="8"/>
      <c r="H29" s="8"/>
      <c r="I29" s="8"/>
      <c r="J29" s="8"/>
      <c r="K29" s="8"/>
      <c r="L29" s="10"/>
      <c r="M29" s="32">
        <v>30</v>
      </c>
      <c r="N29" s="5"/>
    </row>
    <row r="30" spans="1:14" ht="15.5" x14ac:dyDescent="0.35">
      <c r="A30" s="7" t="s">
        <v>42</v>
      </c>
      <c r="B30" s="8"/>
      <c r="C30" s="8"/>
      <c r="D30" s="8"/>
      <c r="E30" s="8"/>
      <c r="F30" s="8"/>
      <c r="G30" s="8"/>
      <c r="H30" s="8"/>
      <c r="I30" s="8"/>
      <c r="J30" s="8"/>
      <c r="K30" s="8"/>
      <c r="L30" s="10"/>
      <c r="M30" s="32">
        <v>22</v>
      </c>
      <c r="N30" s="5"/>
    </row>
    <row r="31" spans="1:14" ht="15.5" x14ac:dyDescent="0.35">
      <c r="A31" s="7" t="s">
        <v>43</v>
      </c>
      <c r="B31" s="8"/>
      <c r="C31" s="8"/>
      <c r="D31" s="8"/>
      <c r="E31" s="8"/>
      <c r="F31" s="8"/>
      <c r="G31" s="8"/>
      <c r="H31" s="8"/>
      <c r="I31" s="8"/>
      <c r="J31" s="8"/>
      <c r="K31" s="8"/>
      <c r="L31" s="10"/>
      <c r="M31" s="32">
        <v>17</v>
      </c>
      <c r="N31" s="5"/>
    </row>
    <row r="32" spans="1:14" ht="15.5" x14ac:dyDescent="0.35">
      <c r="A32" s="7" t="s">
        <v>44</v>
      </c>
      <c r="B32" s="8"/>
      <c r="C32" s="8"/>
      <c r="D32" s="8"/>
      <c r="E32" s="8"/>
      <c r="F32" s="8"/>
      <c r="G32" s="8"/>
      <c r="H32" s="8"/>
      <c r="I32" s="8"/>
      <c r="J32" s="8"/>
      <c r="K32" s="8"/>
      <c r="L32" s="10"/>
      <c r="M32" s="27">
        <f t="array" aca="1" ref="M32" ca="1">IF(INDEX([1]Date!M8:M21, MATCH(E12,[1]Date!C8:C21,0),0)="E",3,0)</f>
        <v>3</v>
      </c>
      <c r="N32" s="5"/>
    </row>
    <row r="33" spans="1:14" ht="15.5" x14ac:dyDescent="0.35">
      <c r="A33" s="7" t="s">
        <v>45</v>
      </c>
      <c r="B33" s="8"/>
      <c r="C33" s="8"/>
      <c r="D33" s="8"/>
      <c r="E33" s="8"/>
      <c r="F33" s="8"/>
      <c r="G33" s="8"/>
      <c r="H33" s="8"/>
      <c r="I33" s="8"/>
      <c r="J33" s="8"/>
      <c r="K33" s="8"/>
      <c r="L33" s="10"/>
      <c r="M33" s="27">
        <f ca="1">C34-SUM(M29:M31)</f>
        <v>0</v>
      </c>
      <c r="N33" s="5"/>
    </row>
    <row r="34" spans="1:14" ht="15.5" x14ac:dyDescent="0.35">
      <c r="A34" s="7" t="s">
        <v>46</v>
      </c>
      <c r="B34" s="10"/>
      <c r="C34" s="27">
        <f t="array" aca="1" ref="C34" ca="1">INDEX([1]Date!L8:L21, MATCH(E12,[1]Date!C8:C21,0),0)</f>
        <v>69</v>
      </c>
      <c r="D34" s="5"/>
      <c r="E34" s="5"/>
      <c r="F34" s="5"/>
      <c r="G34" s="5"/>
      <c r="H34" s="5"/>
      <c r="I34" s="5"/>
      <c r="J34" s="5"/>
      <c r="K34" s="5"/>
      <c r="L34" s="5"/>
      <c r="M34" s="5"/>
      <c r="N34" s="5"/>
    </row>
    <row r="35" spans="1:14" ht="15.5" x14ac:dyDescent="0.35">
      <c r="A35" s="7" t="s">
        <v>47</v>
      </c>
      <c r="B35" s="10"/>
      <c r="C35" s="27">
        <f ca="1">C27+C34</f>
        <v>125</v>
      </c>
      <c r="D35" s="5"/>
      <c r="E35" s="5"/>
      <c r="F35" s="5"/>
      <c r="G35" s="5"/>
      <c r="H35" s="5"/>
      <c r="I35" s="5"/>
      <c r="J35" s="5"/>
      <c r="K35" s="5"/>
      <c r="L35" s="5"/>
      <c r="M35" s="5"/>
      <c r="N35" s="5"/>
    </row>
    <row r="36" spans="1:14" ht="15.5" x14ac:dyDescent="0.35">
      <c r="A36" s="7" t="s">
        <v>48</v>
      </c>
      <c r="B36" s="10"/>
      <c r="C36" s="27">
        <f t="array" aca="1" ref="C36" ca="1">INDEX([1]Date!N8:N21, MATCH(E12,[1]Date!C8:C21,0),0)</f>
        <v>5</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49</v>
      </c>
      <c r="B38" s="2"/>
      <c r="C38" s="2"/>
      <c r="D38" s="2"/>
      <c r="E38" s="2"/>
      <c r="F38" s="2"/>
      <c r="G38" s="2"/>
      <c r="H38" s="2"/>
      <c r="I38" s="2"/>
      <c r="J38" s="2"/>
      <c r="K38" s="2"/>
      <c r="L38" s="2"/>
      <c r="M38" s="2"/>
      <c r="N38" s="30"/>
    </row>
    <row r="39" spans="1:14" ht="15.5" x14ac:dyDescent="0.35">
      <c r="A39" s="7" t="s">
        <v>50</v>
      </c>
      <c r="B39" s="10"/>
      <c r="C39" s="9" t="s">
        <v>51</v>
      </c>
      <c r="D39" s="8"/>
      <c r="E39" s="8"/>
      <c r="F39" s="8"/>
      <c r="G39" s="8"/>
      <c r="H39" s="8"/>
      <c r="I39" s="8"/>
      <c r="J39" s="8"/>
      <c r="K39" s="8"/>
      <c r="L39" s="8"/>
      <c r="M39" s="10"/>
      <c r="N39" s="30"/>
    </row>
    <row r="40" spans="1:14" ht="15.5" x14ac:dyDescent="0.35">
      <c r="A40" s="7" t="s">
        <v>52</v>
      </c>
      <c r="B40" s="10"/>
      <c r="C40" s="33" t="s">
        <v>53</v>
      </c>
      <c r="D40" s="18"/>
      <c r="E40" s="18"/>
      <c r="F40" s="18"/>
      <c r="G40" s="18"/>
      <c r="H40" s="18"/>
      <c r="I40" s="18"/>
      <c r="J40" s="18"/>
      <c r="K40" s="18"/>
      <c r="L40" s="18"/>
      <c r="M40" s="19"/>
      <c r="N40" s="5"/>
    </row>
    <row r="41" spans="1:14" ht="15.5" x14ac:dyDescent="0.35">
      <c r="A41" s="12"/>
      <c r="B41" s="2"/>
      <c r="C41" s="2"/>
      <c r="D41" s="2"/>
      <c r="E41" s="2"/>
      <c r="F41" s="2"/>
      <c r="G41" s="2"/>
      <c r="H41" s="2"/>
      <c r="I41" s="2"/>
      <c r="J41" s="2"/>
      <c r="K41" s="2"/>
      <c r="L41" s="2"/>
      <c r="M41" s="2"/>
      <c r="N41" s="5"/>
    </row>
    <row r="42" spans="1:14" ht="15.5" x14ac:dyDescent="0.35">
      <c r="A42" s="6" t="s">
        <v>54</v>
      </c>
      <c r="B42" s="2"/>
      <c r="C42" s="2"/>
      <c r="D42" s="2"/>
      <c r="E42" s="2"/>
      <c r="F42" s="2"/>
      <c r="G42" s="2"/>
      <c r="H42" s="2"/>
      <c r="I42" s="2"/>
      <c r="J42" s="2"/>
      <c r="K42" s="2"/>
      <c r="L42" s="2"/>
      <c r="M42" s="2"/>
      <c r="N42" s="30"/>
    </row>
    <row r="43" spans="1:14" ht="15.5" x14ac:dyDescent="0.35">
      <c r="A43" s="7" t="s">
        <v>55</v>
      </c>
      <c r="B43" s="10"/>
      <c r="C43" s="34" t="s">
        <v>56</v>
      </c>
      <c r="D43" s="18"/>
      <c r="E43" s="18"/>
      <c r="F43" s="18"/>
      <c r="G43" s="18"/>
      <c r="H43" s="18"/>
      <c r="I43" s="18"/>
      <c r="J43" s="18"/>
      <c r="K43" s="18"/>
      <c r="L43" s="18"/>
      <c r="M43" s="19"/>
      <c r="N43" s="30"/>
    </row>
    <row r="44" spans="1:14" ht="15.5" x14ac:dyDescent="0.35">
      <c r="A44" s="7" t="s">
        <v>57</v>
      </c>
      <c r="B44" s="10"/>
      <c r="C44" s="34" t="s">
        <v>58</v>
      </c>
      <c r="D44" s="18"/>
      <c r="E44" s="18"/>
      <c r="F44" s="18"/>
      <c r="G44" s="18"/>
      <c r="H44" s="18"/>
      <c r="I44" s="18"/>
      <c r="J44" s="18"/>
      <c r="K44" s="18"/>
      <c r="L44" s="18"/>
      <c r="M44" s="19"/>
      <c r="N44" s="5"/>
    </row>
    <row r="45" spans="1:14" ht="15.5" x14ac:dyDescent="0.35">
      <c r="A45" s="12"/>
      <c r="B45" s="2"/>
      <c r="C45" s="2"/>
      <c r="D45" s="2"/>
      <c r="E45" s="2"/>
      <c r="F45" s="2"/>
      <c r="G45" s="2"/>
      <c r="H45" s="2"/>
      <c r="I45" s="2"/>
      <c r="J45" s="2"/>
      <c r="K45" s="2"/>
      <c r="L45" s="2"/>
      <c r="M45" s="2"/>
      <c r="N45" s="5"/>
    </row>
    <row r="46" spans="1:14" ht="15.5" x14ac:dyDescent="0.35">
      <c r="A46" s="6" t="s">
        <v>59</v>
      </c>
      <c r="B46" s="2"/>
      <c r="C46" s="2"/>
      <c r="D46" s="2"/>
      <c r="E46" s="2"/>
      <c r="F46" s="2"/>
      <c r="G46" s="2"/>
      <c r="H46" s="2"/>
      <c r="I46" s="2"/>
      <c r="J46" s="2"/>
      <c r="K46" s="2"/>
      <c r="L46" s="2"/>
      <c r="M46" s="2"/>
      <c r="N46" s="30"/>
    </row>
    <row r="47" spans="1:14" ht="62.25" customHeight="1" x14ac:dyDescent="0.35">
      <c r="A47" s="23" t="s">
        <v>60</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61</v>
      </c>
      <c r="B49" s="2"/>
      <c r="C49" s="2"/>
      <c r="D49" s="2"/>
      <c r="E49" s="2"/>
      <c r="F49" s="2"/>
      <c r="G49" s="2"/>
      <c r="H49" s="2"/>
      <c r="I49" s="2"/>
      <c r="J49" s="2"/>
      <c r="K49" s="2"/>
      <c r="L49" s="2"/>
      <c r="M49" s="2"/>
      <c r="N49" s="30"/>
    </row>
    <row r="50" spans="1:14" ht="15.5" x14ac:dyDescent="0.35">
      <c r="A50" s="35" t="s">
        <v>62</v>
      </c>
      <c r="B50" s="36" t="s">
        <v>63</v>
      </c>
      <c r="C50" s="8"/>
      <c r="D50" s="8"/>
      <c r="E50" s="8"/>
      <c r="F50" s="8"/>
      <c r="G50" s="8"/>
      <c r="H50" s="8"/>
      <c r="I50" s="8"/>
      <c r="J50" s="8"/>
      <c r="K50" s="8"/>
      <c r="L50" s="8"/>
      <c r="M50" s="10"/>
      <c r="N50" s="5"/>
    </row>
    <row r="51" spans="1:14" ht="15.5" x14ac:dyDescent="0.35">
      <c r="A51" s="37"/>
      <c r="B51" s="38" t="s">
        <v>64</v>
      </c>
      <c r="C51" s="8"/>
      <c r="D51" s="8"/>
      <c r="E51" s="8"/>
      <c r="F51" s="8"/>
      <c r="G51" s="8"/>
      <c r="H51" s="8"/>
      <c r="I51" s="8"/>
      <c r="J51" s="8"/>
      <c r="K51" s="8"/>
      <c r="L51" s="8"/>
      <c r="M51" s="10"/>
      <c r="N51" s="5"/>
    </row>
    <row r="52" spans="1:14" ht="15.5" x14ac:dyDescent="0.35">
      <c r="A52" s="35" t="s">
        <v>65</v>
      </c>
      <c r="B52" s="36" t="s">
        <v>63</v>
      </c>
      <c r="C52" s="8"/>
      <c r="D52" s="8"/>
      <c r="E52" s="8"/>
      <c r="F52" s="8"/>
      <c r="G52" s="8"/>
      <c r="H52" s="8"/>
      <c r="I52" s="8"/>
      <c r="J52" s="8"/>
      <c r="K52" s="8"/>
      <c r="L52" s="8"/>
      <c r="M52" s="10"/>
      <c r="N52" s="5"/>
    </row>
    <row r="53" spans="1:14" ht="15.5" x14ac:dyDescent="0.35">
      <c r="A53" s="37"/>
      <c r="B53" s="38" t="s">
        <v>66</v>
      </c>
      <c r="C53" s="8"/>
      <c r="D53" s="8"/>
      <c r="E53" s="8"/>
      <c r="F53" s="8"/>
      <c r="G53" s="8"/>
      <c r="H53" s="8"/>
      <c r="I53" s="8"/>
      <c r="J53" s="8"/>
      <c r="K53" s="8"/>
      <c r="L53" s="8"/>
      <c r="M53" s="10"/>
      <c r="N53" s="5"/>
    </row>
    <row r="54" spans="1:14" ht="18" customHeight="1" x14ac:dyDescent="0.35">
      <c r="A54" s="35" t="s">
        <v>67</v>
      </c>
      <c r="B54" s="36" t="s">
        <v>63</v>
      </c>
      <c r="C54" s="8"/>
      <c r="D54" s="8"/>
      <c r="E54" s="8"/>
      <c r="F54" s="8"/>
      <c r="G54" s="8"/>
      <c r="H54" s="8"/>
      <c r="I54" s="8"/>
      <c r="J54" s="8"/>
      <c r="K54" s="8"/>
      <c r="L54" s="8"/>
      <c r="M54" s="10"/>
      <c r="N54" s="5"/>
    </row>
    <row r="55" spans="1:14" ht="104.25" customHeight="1" x14ac:dyDescent="0.35">
      <c r="A55" s="37"/>
      <c r="B55" s="39" t="s">
        <v>68</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69</v>
      </c>
      <c r="B57" s="2"/>
      <c r="C57" s="2"/>
      <c r="D57" s="2"/>
      <c r="E57" s="2"/>
      <c r="F57" s="2"/>
      <c r="G57" s="2"/>
      <c r="H57" s="2"/>
      <c r="I57" s="2"/>
      <c r="J57" s="2"/>
      <c r="K57" s="2"/>
      <c r="L57" s="2"/>
      <c r="M57" s="2"/>
      <c r="N57" s="30"/>
    </row>
    <row r="58" spans="1:14" ht="15.5" x14ac:dyDescent="0.35">
      <c r="A58" s="23" t="s">
        <v>70</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71</v>
      </c>
      <c r="B60" s="2"/>
      <c r="C60" s="2"/>
      <c r="D60" s="2"/>
      <c r="E60" s="2"/>
      <c r="F60" s="2"/>
      <c r="G60" s="2"/>
      <c r="H60" s="2"/>
      <c r="I60" s="2"/>
      <c r="J60" s="2"/>
      <c r="K60" s="2"/>
      <c r="L60" s="2"/>
      <c r="M60" s="2"/>
      <c r="N60" s="30"/>
    </row>
    <row r="61" spans="1:14" ht="24.75" customHeight="1" x14ac:dyDescent="0.35">
      <c r="A61" s="40" t="s">
        <v>72</v>
      </c>
      <c r="B61" s="8"/>
      <c r="C61" s="8"/>
      <c r="D61" s="8"/>
      <c r="E61" s="8"/>
      <c r="F61" s="8"/>
      <c r="G61" s="10"/>
      <c r="H61" s="40" t="s">
        <v>73</v>
      </c>
      <c r="I61" s="8"/>
      <c r="J61" s="8"/>
      <c r="K61" s="10"/>
      <c r="L61" s="40" t="s">
        <v>74</v>
      </c>
      <c r="M61" s="10"/>
      <c r="N61" s="30"/>
    </row>
    <row r="62" spans="1:14" ht="15.5" x14ac:dyDescent="0.35">
      <c r="A62" s="41" t="s">
        <v>75</v>
      </c>
      <c r="B62" s="23" t="s">
        <v>76</v>
      </c>
      <c r="C62" s="8"/>
      <c r="D62" s="8"/>
      <c r="E62" s="8"/>
      <c r="F62" s="8"/>
      <c r="G62" s="10"/>
      <c r="H62" s="42" t="s">
        <v>77</v>
      </c>
      <c r="I62" s="14"/>
      <c r="J62" s="14"/>
      <c r="K62" s="15"/>
      <c r="L62" s="43">
        <v>2</v>
      </c>
      <c r="M62" s="10"/>
      <c r="N62" s="5"/>
    </row>
    <row r="63" spans="1:14" ht="15.5" x14ac:dyDescent="0.35">
      <c r="A63" s="41" t="s">
        <v>78</v>
      </c>
      <c r="B63" s="23" t="s">
        <v>79</v>
      </c>
      <c r="C63" s="8"/>
      <c r="D63" s="8"/>
      <c r="E63" s="8"/>
      <c r="F63" s="8"/>
      <c r="G63" s="10"/>
      <c r="H63" s="25"/>
      <c r="I63" s="2"/>
      <c r="J63" s="2"/>
      <c r="K63" s="26"/>
      <c r="L63" s="43">
        <v>2</v>
      </c>
      <c r="M63" s="10"/>
      <c r="N63" s="5"/>
    </row>
    <row r="64" spans="1:14" ht="15.5" x14ac:dyDescent="0.35">
      <c r="A64" s="41" t="s">
        <v>80</v>
      </c>
      <c r="B64" s="23" t="s">
        <v>81</v>
      </c>
      <c r="C64" s="8"/>
      <c r="D64" s="8"/>
      <c r="E64" s="8"/>
      <c r="F64" s="8"/>
      <c r="G64" s="10"/>
      <c r="H64" s="25"/>
      <c r="I64" s="2"/>
      <c r="J64" s="2"/>
      <c r="K64" s="26"/>
      <c r="L64" s="43">
        <v>2</v>
      </c>
      <c r="M64" s="10"/>
      <c r="N64" s="5"/>
    </row>
    <row r="65" spans="1:14" ht="15.5" x14ac:dyDescent="0.35">
      <c r="A65" s="41" t="s">
        <v>82</v>
      </c>
      <c r="B65" s="23" t="s">
        <v>83</v>
      </c>
      <c r="C65" s="8"/>
      <c r="D65" s="8"/>
      <c r="E65" s="8"/>
      <c r="F65" s="8"/>
      <c r="G65" s="10"/>
      <c r="H65" s="25"/>
      <c r="I65" s="2"/>
      <c r="J65" s="2"/>
      <c r="K65" s="26"/>
      <c r="L65" s="43">
        <v>2</v>
      </c>
      <c r="M65" s="10"/>
      <c r="N65" s="5"/>
    </row>
    <row r="66" spans="1:14" ht="15.5" x14ac:dyDescent="0.35">
      <c r="A66" s="41" t="s">
        <v>84</v>
      </c>
      <c r="B66" s="23" t="s">
        <v>85</v>
      </c>
      <c r="C66" s="8"/>
      <c r="D66" s="8"/>
      <c r="E66" s="8"/>
      <c r="F66" s="8"/>
      <c r="G66" s="10"/>
      <c r="H66" s="25"/>
      <c r="I66" s="2"/>
      <c r="J66" s="2"/>
      <c r="K66" s="26"/>
      <c r="L66" s="43">
        <v>2</v>
      </c>
      <c r="M66" s="10"/>
      <c r="N66" s="5"/>
    </row>
    <row r="67" spans="1:14" ht="15.5" x14ac:dyDescent="0.35">
      <c r="A67" s="41" t="s">
        <v>86</v>
      </c>
      <c r="B67" s="23" t="s">
        <v>87</v>
      </c>
      <c r="C67" s="8"/>
      <c r="D67" s="8"/>
      <c r="E67" s="8"/>
      <c r="F67" s="8"/>
      <c r="G67" s="10"/>
      <c r="H67" s="25"/>
      <c r="I67" s="2"/>
      <c r="J67" s="2"/>
      <c r="K67" s="26"/>
      <c r="L67" s="43">
        <v>2</v>
      </c>
      <c r="M67" s="10"/>
      <c r="N67" s="5"/>
    </row>
    <row r="68" spans="1:14" ht="15.5" x14ac:dyDescent="0.35">
      <c r="A68" s="41" t="s">
        <v>88</v>
      </c>
      <c r="B68" s="23" t="s">
        <v>89</v>
      </c>
      <c r="C68" s="8"/>
      <c r="D68" s="8"/>
      <c r="E68" s="8"/>
      <c r="F68" s="8"/>
      <c r="G68" s="10"/>
      <c r="H68" s="25"/>
      <c r="I68" s="2"/>
      <c r="J68" s="2"/>
      <c r="K68" s="26"/>
      <c r="L68" s="43">
        <v>2</v>
      </c>
      <c r="M68" s="10"/>
      <c r="N68" s="5"/>
    </row>
    <row r="69" spans="1:14" ht="15.5" x14ac:dyDescent="0.35">
      <c r="A69" s="41" t="s">
        <v>90</v>
      </c>
      <c r="B69" s="23" t="s">
        <v>91</v>
      </c>
      <c r="C69" s="8"/>
      <c r="D69" s="8"/>
      <c r="E69" s="8"/>
      <c r="F69" s="8"/>
      <c r="G69" s="10"/>
      <c r="H69" s="25"/>
      <c r="I69" s="2"/>
      <c r="J69" s="2"/>
      <c r="K69" s="26"/>
      <c r="L69" s="43">
        <v>2</v>
      </c>
      <c r="M69" s="10"/>
      <c r="N69" s="5"/>
    </row>
    <row r="70" spans="1:14" ht="15.5" x14ac:dyDescent="0.35">
      <c r="A70" s="41" t="s">
        <v>92</v>
      </c>
      <c r="B70" s="23" t="s">
        <v>93</v>
      </c>
      <c r="C70" s="8"/>
      <c r="D70" s="8"/>
      <c r="E70" s="8"/>
      <c r="F70" s="8"/>
      <c r="G70" s="10"/>
      <c r="H70" s="25"/>
      <c r="I70" s="2"/>
      <c r="J70" s="2"/>
      <c r="K70" s="26"/>
      <c r="L70" s="43">
        <v>2</v>
      </c>
      <c r="M70" s="10"/>
      <c r="N70" s="5"/>
    </row>
    <row r="71" spans="1:14" ht="15.5" x14ac:dyDescent="0.35">
      <c r="A71" s="41" t="s">
        <v>94</v>
      </c>
      <c r="B71" s="23" t="s">
        <v>95</v>
      </c>
      <c r="C71" s="8"/>
      <c r="D71" s="8"/>
      <c r="E71" s="8"/>
      <c r="F71" s="8"/>
      <c r="G71" s="10"/>
      <c r="H71" s="25"/>
      <c r="I71" s="2"/>
      <c r="J71" s="2"/>
      <c r="K71" s="26"/>
      <c r="L71" s="43">
        <v>2</v>
      </c>
      <c r="M71" s="10"/>
      <c r="N71" s="5"/>
    </row>
    <row r="72" spans="1:14" ht="15.5" x14ac:dyDescent="0.35">
      <c r="A72" s="41" t="s">
        <v>96</v>
      </c>
      <c r="B72" s="23" t="s">
        <v>97</v>
      </c>
      <c r="C72" s="8"/>
      <c r="D72" s="8"/>
      <c r="E72" s="8"/>
      <c r="F72" s="8"/>
      <c r="G72" s="10"/>
      <c r="H72" s="25"/>
      <c r="I72" s="2"/>
      <c r="J72" s="2"/>
      <c r="K72" s="26"/>
      <c r="L72" s="43">
        <v>2</v>
      </c>
      <c r="M72" s="10"/>
      <c r="N72" s="5"/>
    </row>
    <row r="73" spans="1:14" ht="15.5" x14ac:dyDescent="0.35">
      <c r="A73" s="41" t="s">
        <v>98</v>
      </c>
      <c r="B73" s="23" t="s">
        <v>99</v>
      </c>
      <c r="C73" s="8"/>
      <c r="D73" s="8"/>
      <c r="E73" s="8"/>
      <c r="F73" s="8"/>
      <c r="G73" s="10"/>
      <c r="H73" s="25"/>
      <c r="I73" s="2"/>
      <c r="J73" s="2"/>
      <c r="K73" s="26"/>
      <c r="L73" s="43">
        <v>2</v>
      </c>
      <c r="M73" s="10"/>
      <c r="N73" s="5"/>
    </row>
    <row r="74" spans="1:14" ht="15.5" x14ac:dyDescent="0.35">
      <c r="A74" s="41" t="s">
        <v>100</v>
      </c>
      <c r="B74" s="23" t="s">
        <v>101</v>
      </c>
      <c r="C74" s="8"/>
      <c r="D74" s="8"/>
      <c r="E74" s="8"/>
      <c r="F74" s="8"/>
      <c r="G74" s="10"/>
      <c r="H74" s="25"/>
      <c r="I74" s="2"/>
      <c r="J74" s="2"/>
      <c r="K74" s="26"/>
      <c r="L74" s="43">
        <v>2</v>
      </c>
      <c r="M74" s="10"/>
      <c r="N74" s="5"/>
    </row>
    <row r="75" spans="1:14" ht="15.5" x14ac:dyDescent="0.35">
      <c r="A75" s="41" t="s">
        <v>102</v>
      </c>
      <c r="B75" s="23" t="s">
        <v>103</v>
      </c>
      <c r="C75" s="8"/>
      <c r="D75" s="8"/>
      <c r="E75" s="8"/>
      <c r="F75" s="8"/>
      <c r="G75" s="10"/>
      <c r="H75" s="24"/>
      <c r="I75" s="18"/>
      <c r="J75" s="18"/>
      <c r="K75" s="19"/>
      <c r="L75" s="43">
        <v>2</v>
      </c>
      <c r="M75" s="10"/>
      <c r="N75" s="5"/>
    </row>
    <row r="76" spans="1:14" ht="84.75" customHeight="1" x14ac:dyDescent="0.35">
      <c r="A76" s="39" t="s">
        <v>104</v>
      </c>
      <c r="B76" s="8"/>
      <c r="C76" s="8"/>
      <c r="D76" s="8"/>
      <c r="E76" s="8"/>
      <c r="F76" s="8"/>
      <c r="G76" s="8"/>
      <c r="H76" s="8"/>
      <c r="I76" s="8"/>
      <c r="J76" s="8"/>
      <c r="K76" s="8"/>
      <c r="L76" s="8"/>
      <c r="M76" s="10"/>
      <c r="N76" s="5"/>
    </row>
    <row r="77" spans="1:14" ht="24.75" hidden="1" customHeight="1" x14ac:dyDescent="0.35">
      <c r="A77" s="40" t="s">
        <v>105</v>
      </c>
      <c r="B77" s="8"/>
      <c r="C77" s="8"/>
      <c r="D77" s="8"/>
      <c r="E77" s="8"/>
      <c r="F77" s="8"/>
      <c r="G77" s="10"/>
      <c r="H77" s="40" t="s">
        <v>106</v>
      </c>
      <c r="I77" s="8"/>
      <c r="J77" s="8"/>
      <c r="K77" s="10"/>
      <c r="L77" s="40" t="s">
        <v>74</v>
      </c>
      <c r="M77" s="10"/>
      <c r="N77" s="30"/>
    </row>
    <row r="78" spans="1:14" ht="15.5" hidden="1" x14ac:dyDescent="0.35">
      <c r="A78" s="41" t="s">
        <v>75</v>
      </c>
      <c r="B78" s="23"/>
      <c r="C78" s="8"/>
      <c r="D78" s="8"/>
      <c r="E78" s="8"/>
      <c r="F78" s="8"/>
      <c r="G78" s="10"/>
      <c r="H78" s="42"/>
      <c r="I78" s="14"/>
      <c r="J78" s="14"/>
      <c r="K78" s="15"/>
      <c r="L78" s="23"/>
      <c r="M78" s="10"/>
      <c r="N78" s="5"/>
    </row>
    <row r="79" spans="1:14" ht="15.5" hidden="1" x14ac:dyDescent="0.35">
      <c r="A79" s="41" t="s">
        <v>78</v>
      </c>
      <c r="B79" s="23"/>
      <c r="C79" s="8"/>
      <c r="D79" s="8"/>
      <c r="E79" s="8"/>
      <c r="F79" s="8"/>
      <c r="G79" s="10"/>
      <c r="H79" s="25"/>
      <c r="I79" s="2"/>
      <c r="J79" s="2"/>
      <c r="K79" s="26"/>
      <c r="L79" s="23"/>
      <c r="M79" s="10"/>
      <c r="N79" s="5"/>
    </row>
    <row r="80" spans="1:14" ht="15.5" hidden="1" x14ac:dyDescent="0.35">
      <c r="A80" s="41" t="s">
        <v>80</v>
      </c>
      <c r="B80" s="23"/>
      <c r="C80" s="8"/>
      <c r="D80" s="8"/>
      <c r="E80" s="8"/>
      <c r="F80" s="8"/>
      <c r="G80" s="10"/>
      <c r="H80" s="25"/>
      <c r="I80" s="2"/>
      <c r="J80" s="2"/>
      <c r="K80" s="26"/>
      <c r="L80" s="23"/>
      <c r="M80" s="10"/>
      <c r="N80" s="5"/>
    </row>
    <row r="81" spans="1:14" ht="15.5" hidden="1" x14ac:dyDescent="0.35">
      <c r="A81" s="41" t="s">
        <v>82</v>
      </c>
      <c r="B81" s="23"/>
      <c r="C81" s="8"/>
      <c r="D81" s="8"/>
      <c r="E81" s="8"/>
      <c r="F81" s="8"/>
      <c r="G81" s="10"/>
      <c r="H81" s="25"/>
      <c r="I81" s="2"/>
      <c r="J81" s="2"/>
      <c r="K81" s="26"/>
      <c r="L81" s="23"/>
      <c r="M81" s="10"/>
      <c r="N81" s="5"/>
    </row>
    <row r="82" spans="1:14" ht="15.5" hidden="1" x14ac:dyDescent="0.35">
      <c r="A82" s="41" t="s">
        <v>84</v>
      </c>
      <c r="B82" s="23"/>
      <c r="C82" s="8"/>
      <c r="D82" s="8"/>
      <c r="E82" s="8"/>
      <c r="F82" s="8"/>
      <c r="G82" s="10"/>
      <c r="H82" s="25"/>
      <c r="I82" s="2"/>
      <c r="J82" s="2"/>
      <c r="K82" s="26"/>
      <c r="L82" s="23"/>
      <c r="M82" s="10"/>
      <c r="N82" s="5"/>
    </row>
    <row r="83" spans="1:14" ht="15.5" hidden="1" x14ac:dyDescent="0.35">
      <c r="A83" s="41" t="s">
        <v>86</v>
      </c>
      <c r="B83" s="23"/>
      <c r="C83" s="8"/>
      <c r="D83" s="8"/>
      <c r="E83" s="8"/>
      <c r="F83" s="8"/>
      <c r="G83" s="10"/>
      <c r="H83" s="25"/>
      <c r="I83" s="2"/>
      <c r="J83" s="2"/>
      <c r="K83" s="26"/>
      <c r="L83" s="23"/>
      <c r="M83" s="10"/>
      <c r="N83" s="5"/>
    </row>
    <row r="84" spans="1:14" ht="15.5" hidden="1" x14ac:dyDescent="0.35">
      <c r="A84" s="41" t="s">
        <v>88</v>
      </c>
      <c r="B84" s="23"/>
      <c r="C84" s="8"/>
      <c r="D84" s="8"/>
      <c r="E84" s="8"/>
      <c r="F84" s="8"/>
      <c r="G84" s="10"/>
      <c r="H84" s="25"/>
      <c r="I84" s="2"/>
      <c r="J84" s="2"/>
      <c r="K84" s="26"/>
      <c r="L84" s="23"/>
      <c r="M84" s="10"/>
      <c r="N84" s="5"/>
    </row>
    <row r="85" spans="1:14" ht="15.5" hidden="1" x14ac:dyDescent="0.35">
      <c r="A85" s="41" t="s">
        <v>90</v>
      </c>
      <c r="B85" s="23"/>
      <c r="C85" s="8"/>
      <c r="D85" s="8"/>
      <c r="E85" s="8"/>
      <c r="F85" s="8"/>
      <c r="G85" s="10"/>
      <c r="H85" s="25"/>
      <c r="I85" s="2"/>
      <c r="J85" s="2"/>
      <c r="K85" s="26"/>
      <c r="L85" s="23"/>
      <c r="M85" s="10"/>
      <c r="N85" s="5"/>
    </row>
    <row r="86" spans="1:14" ht="15.5" hidden="1" x14ac:dyDescent="0.35">
      <c r="A86" s="41" t="s">
        <v>92</v>
      </c>
      <c r="B86" s="23"/>
      <c r="C86" s="8"/>
      <c r="D86" s="8"/>
      <c r="E86" s="8"/>
      <c r="F86" s="8"/>
      <c r="G86" s="10"/>
      <c r="H86" s="25"/>
      <c r="I86" s="2"/>
      <c r="J86" s="2"/>
      <c r="K86" s="26"/>
      <c r="L86" s="23"/>
      <c r="M86" s="10"/>
      <c r="N86" s="5"/>
    </row>
    <row r="87" spans="1:14" ht="15.5" hidden="1" x14ac:dyDescent="0.35">
      <c r="A87" s="41" t="s">
        <v>94</v>
      </c>
      <c r="B87" s="23"/>
      <c r="C87" s="8"/>
      <c r="D87" s="8"/>
      <c r="E87" s="8"/>
      <c r="F87" s="8"/>
      <c r="G87" s="10"/>
      <c r="H87" s="25"/>
      <c r="I87" s="2"/>
      <c r="J87" s="2"/>
      <c r="K87" s="26"/>
      <c r="L87" s="23"/>
      <c r="M87" s="10"/>
      <c r="N87" s="5"/>
    </row>
    <row r="88" spans="1:14" ht="15.5" hidden="1" x14ac:dyDescent="0.35">
      <c r="A88" s="41" t="s">
        <v>96</v>
      </c>
      <c r="B88" s="23"/>
      <c r="C88" s="8"/>
      <c r="D88" s="8"/>
      <c r="E88" s="8"/>
      <c r="F88" s="8"/>
      <c r="G88" s="10"/>
      <c r="H88" s="25"/>
      <c r="I88" s="2"/>
      <c r="J88" s="2"/>
      <c r="K88" s="26"/>
      <c r="L88" s="23"/>
      <c r="M88" s="10"/>
      <c r="N88" s="5"/>
    </row>
    <row r="89" spans="1:14" ht="15.5" hidden="1" x14ac:dyDescent="0.35">
      <c r="A89" s="41" t="s">
        <v>98</v>
      </c>
      <c r="B89" s="23"/>
      <c r="C89" s="8"/>
      <c r="D89" s="8"/>
      <c r="E89" s="8"/>
      <c r="F89" s="8"/>
      <c r="G89" s="10"/>
      <c r="H89" s="25"/>
      <c r="I89" s="2"/>
      <c r="J89" s="2"/>
      <c r="K89" s="26"/>
      <c r="L89" s="23"/>
      <c r="M89" s="10"/>
      <c r="N89" s="5"/>
    </row>
    <row r="90" spans="1:14" ht="15.5" hidden="1" x14ac:dyDescent="0.35">
      <c r="A90" s="41" t="s">
        <v>100</v>
      </c>
      <c r="B90" s="23"/>
      <c r="C90" s="8"/>
      <c r="D90" s="8"/>
      <c r="E90" s="8"/>
      <c r="F90" s="8"/>
      <c r="G90" s="10"/>
      <c r="H90" s="25"/>
      <c r="I90" s="2"/>
      <c r="J90" s="2"/>
      <c r="K90" s="26"/>
      <c r="L90" s="23"/>
      <c r="M90" s="10"/>
      <c r="N90" s="5"/>
    </row>
    <row r="91" spans="1:14" ht="15.5" hidden="1" x14ac:dyDescent="0.35">
      <c r="A91" s="41" t="s">
        <v>102</v>
      </c>
      <c r="B91" s="23"/>
      <c r="C91" s="8"/>
      <c r="D91" s="8"/>
      <c r="E91" s="8"/>
      <c r="F91" s="8"/>
      <c r="G91" s="10"/>
      <c r="H91" s="24"/>
      <c r="I91" s="18"/>
      <c r="J91" s="18"/>
      <c r="K91" s="19"/>
      <c r="L91" s="23"/>
      <c r="M91" s="10"/>
      <c r="N91" s="5"/>
    </row>
    <row r="92" spans="1:14" ht="24" customHeight="1" x14ac:dyDescent="0.35">
      <c r="A92" s="40" t="s">
        <v>107</v>
      </c>
      <c r="B92" s="8"/>
      <c r="C92" s="8"/>
      <c r="D92" s="8"/>
      <c r="E92" s="8"/>
      <c r="F92" s="8"/>
      <c r="G92" s="10"/>
      <c r="H92" s="40" t="s">
        <v>106</v>
      </c>
      <c r="I92" s="8"/>
      <c r="J92" s="8"/>
      <c r="K92" s="10"/>
      <c r="L92" s="40" t="s">
        <v>74</v>
      </c>
      <c r="M92" s="10"/>
      <c r="N92" s="30"/>
    </row>
    <row r="93" spans="1:14" ht="15.5" x14ac:dyDescent="0.35">
      <c r="A93" s="41" t="s">
        <v>75</v>
      </c>
      <c r="B93" s="23" t="s">
        <v>108</v>
      </c>
      <c r="C93" s="8"/>
      <c r="D93" s="8"/>
      <c r="E93" s="8"/>
      <c r="F93" s="8"/>
      <c r="G93" s="10"/>
      <c r="H93" s="42" t="s">
        <v>109</v>
      </c>
      <c r="I93" s="14"/>
      <c r="J93" s="14"/>
      <c r="K93" s="15"/>
      <c r="L93" s="43">
        <v>2</v>
      </c>
      <c r="M93" s="10"/>
      <c r="N93" s="5"/>
    </row>
    <row r="94" spans="1:14" ht="15.5" x14ac:dyDescent="0.35">
      <c r="A94" s="41" t="s">
        <v>78</v>
      </c>
      <c r="B94" s="23" t="s">
        <v>110</v>
      </c>
      <c r="C94" s="8"/>
      <c r="D94" s="8"/>
      <c r="E94" s="8"/>
      <c r="F94" s="8"/>
      <c r="G94" s="10"/>
      <c r="H94" s="25"/>
      <c r="I94" s="2"/>
      <c r="J94" s="2"/>
      <c r="K94" s="26"/>
      <c r="L94" s="43">
        <v>2</v>
      </c>
      <c r="M94" s="10"/>
      <c r="N94" s="5"/>
    </row>
    <row r="95" spans="1:14" ht="15.5" x14ac:dyDescent="0.35">
      <c r="A95" s="41" t="s">
        <v>80</v>
      </c>
      <c r="B95" s="23" t="s">
        <v>111</v>
      </c>
      <c r="C95" s="8"/>
      <c r="D95" s="8"/>
      <c r="E95" s="8"/>
      <c r="F95" s="8"/>
      <c r="G95" s="10"/>
      <c r="H95" s="25"/>
      <c r="I95" s="2"/>
      <c r="J95" s="2"/>
      <c r="K95" s="26"/>
      <c r="L95" s="43">
        <v>2</v>
      </c>
      <c r="M95" s="10"/>
      <c r="N95" s="5"/>
    </row>
    <row r="96" spans="1:14" ht="15.5" x14ac:dyDescent="0.35">
      <c r="A96" s="41" t="s">
        <v>82</v>
      </c>
      <c r="B96" s="23" t="s">
        <v>112</v>
      </c>
      <c r="C96" s="8"/>
      <c r="D96" s="8"/>
      <c r="E96" s="8"/>
      <c r="F96" s="8"/>
      <c r="G96" s="10"/>
      <c r="H96" s="25"/>
      <c r="I96" s="2"/>
      <c r="J96" s="2"/>
      <c r="K96" s="26"/>
      <c r="L96" s="43">
        <v>2</v>
      </c>
      <c r="M96" s="10"/>
      <c r="N96" s="5"/>
    </row>
    <row r="97" spans="1:14" ht="15.5" x14ac:dyDescent="0.35">
      <c r="A97" s="41" t="s">
        <v>84</v>
      </c>
      <c r="B97" s="23" t="s">
        <v>113</v>
      </c>
      <c r="C97" s="8"/>
      <c r="D97" s="8"/>
      <c r="E97" s="8"/>
      <c r="F97" s="8"/>
      <c r="G97" s="10"/>
      <c r="H97" s="25"/>
      <c r="I97" s="2"/>
      <c r="J97" s="2"/>
      <c r="K97" s="26"/>
      <c r="L97" s="43">
        <v>2</v>
      </c>
      <c r="M97" s="10"/>
      <c r="N97" s="5"/>
    </row>
    <row r="98" spans="1:14" ht="15.5" x14ac:dyDescent="0.35">
      <c r="A98" s="41" t="s">
        <v>86</v>
      </c>
      <c r="B98" s="23" t="s">
        <v>114</v>
      </c>
      <c r="C98" s="8"/>
      <c r="D98" s="8"/>
      <c r="E98" s="8"/>
      <c r="F98" s="8"/>
      <c r="G98" s="10"/>
      <c r="H98" s="25"/>
      <c r="I98" s="2"/>
      <c r="J98" s="2"/>
      <c r="K98" s="26"/>
      <c r="L98" s="43">
        <v>2</v>
      </c>
      <c r="M98" s="10"/>
      <c r="N98" s="5"/>
    </row>
    <row r="99" spans="1:14" ht="15.5" x14ac:dyDescent="0.35">
      <c r="A99" s="41" t="s">
        <v>88</v>
      </c>
      <c r="B99" s="23" t="s">
        <v>115</v>
      </c>
      <c r="C99" s="8"/>
      <c r="D99" s="8"/>
      <c r="E99" s="8"/>
      <c r="F99" s="8"/>
      <c r="G99" s="10"/>
      <c r="H99" s="25"/>
      <c r="I99" s="2"/>
      <c r="J99" s="2"/>
      <c r="K99" s="26"/>
      <c r="L99" s="43">
        <v>2</v>
      </c>
      <c r="M99" s="10"/>
      <c r="N99" s="5"/>
    </row>
    <row r="100" spans="1:14" ht="15.5" x14ac:dyDescent="0.35">
      <c r="A100" s="41" t="s">
        <v>90</v>
      </c>
      <c r="B100" s="23" t="s">
        <v>116</v>
      </c>
      <c r="C100" s="8"/>
      <c r="D100" s="8"/>
      <c r="E100" s="8"/>
      <c r="F100" s="8"/>
      <c r="G100" s="10"/>
      <c r="H100" s="25"/>
      <c r="I100" s="2"/>
      <c r="J100" s="2"/>
      <c r="K100" s="26"/>
      <c r="L100" s="43">
        <v>2</v>
      </c>
      <c r="M100" s="10"/>
      <c r="N100" s="5"/>
    </row>
    <row r="101" spans="1:14" ht="15.5" x14ac:dyDescent="0.35">
      <c r="A101" s="41" t="s">
        <v>92</v>
      </c>
      <c r="B101" s="23" t="s">
        <v>117</v>
      </c>
      <c r="C101" s="8"/>
      <c r="D101" s="8"/>
      <c r="E101" s="8"/>
      <c r="F101" s="8"/>
      <c r="G101" s="10"/>
      <c r="H101" s="25"/>
      <c r="I101" s="2"/>
      <c r="J101" s="2"/>
      <c r="K101" s="26"/>
      <c r="L101" s="43">
        <v>2</v>
      </c>
      <c r="M101" s="10"/>
      <c r="N101" s="5"/>
    </row>
    <row r="102" spans="1:14" ht="15.5" x14ac:dyDescent="0.35">
      <c r="A102" s="41" t="s">
        <v>94</v>
      </c>
      <c r="B102" s="23" t="s">
        <v>118</v>
      </c>
      <c r="C102" s="8"/>
      <c r="D102" s="8"/>
      <c r="E102" s="8"/>
      <c r="F102" s="8"/>
      <c r="G102" s="10"/>
      <c r="H102" s="25"/>
      <c r="I102" s="2"/>
      <c r="J102" s="2"/>
      <c r="K102" s="26"/>
      <c r="L102" s="43">
        <v>2</v>
      </c>
      <c r="M102" s="10"/>
      <c r="N102" s="5"/>
    </row>
    <row r="103" spans="1:14" ht="15.5" x14ac:dyDescent="0.35">
      <c r="A103" s="41" t="s">
        <v>96</v>
      </c>
      <c r="B103" s="23" t="s">
        <v>119</v>
      </c>
      <c r="C103" s="8"/>
      <c r="D103" s="8"/>
      <c r="E103" s="8"/>
      <c r="F103" s="8"/>
      <c r="G103" s="10"/>
      <c r="H103" s="25"/>
      <c r="I103" s="2"/>
      <c r="J103" s="2"/>
      <c r="K103" s="26"/>
      <c r="L103" s="43">
        <v>2</v>
      </c>
      <c r="M103" s="10"/>
      <c r="N103" s="5"/>
    </row>
    <row r="104" spans="1:14" ht="15.5" x14ac:dyDescent="0.35">
      <c r="A104" s="41" t="s">
        <v>98</v>
      </c>
      <c r="B104" s="23" t="s">
        <v>120</v>
      </c>
      <c r="C104" s="8"/>
      <c r="D104" s="8"/>
      <c r="E104" s="8"/>
      <c r="F104" s="8"/>
      <c r="G104" s="10"/>
      <c r="H104" s="25"/>
      <c r="I104" s="2"/>
      <c r="J104" s="2"/>
      <c r="K104" s="26"/>
      <c r="L104" s="43">
        <v>2</v>
      </c>
      <c r="M104" s="10"/>
      <c r="N104" s="5"/>
    </row>
    <row r="105" spans="1:14" ht="15.5" x14ac:dyDescent="0.35">
      <c r="A105" s="41" t="s">
        <v>100</v>
      </c>
      <c r="B105" s="23" t="s">
        <v>121</v>
      </c>
      <c r="C105" s="8"/>
      <c r="D105" s="8"/>
      <c r="E105" s="8"/>
      <c r="F105" s="8"/>
      <c r="G105" s="10"/>
      <c r="H105" s="25"/>
      <c r="I105" s="2"/>
      <c r="J105" s="2"/>
      <c r="K105" s="26"/>
      <c r="L105" s="43">
        <v>2</v>
      </c>
      <c r="M105" s="10"/>
      <c r="N105" s="5"/>
    </row>
    <row r="106" spans="1:14" ht="15.5" x14ac:dyDescent="0.35">
      <c r="A106" s="41" t="s">
        <v>102</v>
      </c>
      <c r="B106" s="23" t="s">
        <v>122</v>
      </c>
      <c r="C106" s="8"/>
      <c r="D106" s="8"/>
      <c r="E106" s="8"/>
      <c r="F106" s="8"/>
      <c r="G106" s="10"/>
      <c r="H106" s="24"/>
      <c r="I106" s="18"/>
      <c r="J106" s="18"/>
      <c r="K106" s="19"/>
      <c r="L106" s="43">
        <v>2</v>
      </c>
      <c r="M106" s="10"/>
      <c r="N106" s="5"/>
    </row>
    <row r="107" spans="1:14" ht="24" hidden="1" customHeight="1" x14ac:dyDescent="0.35">
      <c r="A107" s="40" t="s">
        <v>123</v>
      </c>
      <c r="B107" s="8"/>
      <c r="C107" s="8"/>
      <c r="D107" s="8"/>
      <c r="E107" s="8"/>
      <c r="F107" s="8"/>
      <c r="G107" s="10"/>
      <c r="H107" s="40" t="s">
        <v>106</v>
      </c>
      <c r="I107" s="8"/>
      <c r="J107" s="8"/>
      <c r="K107" s="10"/>
      <c r="L107" s="40" t="s">
        <v>74</v>
      </c>
      <c r="M107" s="10"/>
      <c r="N107" s="30"/>
    </row>
    <row r="108" spans="1:14" ht="15.5" hidden="1" x14ac:dyDescent="0.35">
      <c r="A108" s="41" t="s">
        <v>75</v>
      </c>
      <c r="B108" s="23"/>
      <c r="C108" s="8"/>
      <c r="D108" s="8"/>
      <c r="E108" s="8"/>
      <c r="F108" s="8"/>
      <c r="G108" s="10"/>
      <c r="H108" s="42"/>
      <c r="I108" s="14"/>
      <c r="J108" s="14"/>
      <c r="K108" s="15"/>
      <c r="L108" s="23"/>
      <c r="M108" s="10"/>
      <c r="N108" s="5"/>
    </row>
    <row r="109" spans="1:14" ht="15.5" hidden="1" x14ac:dyDescent="0.35">
      <c r="A109" s="41" t="s">
        <v>78</v>
      </c>
      <c r="B109" s="23"/>
      <c r="C109" s="8"/>
      <c r="D109" s="8"/>
      <c r="E109" s="8"/>
      <c r="F109" s="8"/>
      <c r="G109" s="10"/>
      <c r="H109" s="25"/>
      <c r="I109" s="2"/>
      <c r="J109" s="2"/>
      <c r="K109" s="26"/>
      <c r="L109" s="23"/>
      <c r="M109" s="10"/>
      <c r="N109" s="5"/>
    </row>
    <row r="110" spans="1:14" ht="15.5" hidden="1" x14ac:dyDescent="0.35">
      <c r="A110" s="41" t="s">
        <v>80</v>
      </c>
      <c r="B110" s="23"/>
      <c r="C110" s="8"/>
      <c r="D110" s="8"/>
      <c r="E110" s="8"/>
      <c r="F110" s="8"/>
      <c r="G110" s="10"/>
      <c r="H110" s="25"/>
      <c r="I110" s="2"/>
      <c r="J110" s="2"/>
      <c r="K110" s="26"/>
      <c r="L110" s="23"/>
      <c r="M110" s="10"/>
      <c r="N110" s="5"/>
    </row>
    <row r="111" spans="1:14" ht="15.5" hidden="1" x14ac:dyDescent="0.35">
      <c r="A111" s="41" t="s">
        <v>82</v>
      </c>
      <c r="B111" s="23"/>
      <c r="C111" s="8"/>
      <c r="D111" s="8"/>
      <c r="E111" s="8"/>
      <c r="F111" s="8"/>
      <c r="G111" s="10"/>
      <c r="H111" s="25"/>
      <c r="I111" s="2"/>
      <c r="J111" s="2"/>
      <c r="K111" s="26"/>
      <c r="L111" s="23"/>
      <c r="M111" s="10"/>
      <c r="N111" s="5"/>
    </row>
    <row r="112" spans="1:14" ht="15.5" hidden="1" x14ac:dyDescent="0.35">
      <c r="A112" s="41" t="s">
        <v>84</v>
      </c>
      <c r="B112" s="23"/>
      <c r="C112" s="8"/>
      <c r="D112" s="8"/>
      <c r="E112" s="8"/>
      <c r="F112" s="8"/>
      <c r="G112" s="10"/>
      <c r="H112" s="25"/>
      <c r="I112" s="2"/>
      <c r="J112" s="2"/>
      <c r="K112" s="26"/>
      <c r="L112" s="23"/>
      <c r="M112" s="10"/>
      <c r="N112" s="5"/>
    </row>
    <row r="113" spans="1:14" ht="15.5" hidden="1" x14ac:dyDescent="0.35">
      <c r="A113" s="41" t="s">
        <v>86</v>
      </c>
      <c r="B113" s="23"/>
      <c r="C113" s="8"/>
      <c r="D113" s="8"/>
      <c r="E113" s="8"/>
      <c r="F113" s="8"/>
      <c r="G113" s="10"/>
      <c r="H113" s="25"/>
      <c r="I113" s="2"/>
      <c r="J113" s="2"/>
      <c r="K113" s="26"/>
      <c r="L113" s="23"/>
      <c r="M113" s="10"/>
      <c r="N113" s="5"/>
    </row>
    <row r="114" spans="1:14" ht="15.5" hidden="1" x14ac:dyDescent="0.35">
      <c r="A114" s="41" t="s">
        <v>88</v>
      </c>
      <c r="B114" s="23"/>
      <c r="C114" s="8"/>
      <c r="D114" s="8"/>
      <c r="E114" s="8"/>
      <c r="F114" s="8"/>
      <c r="G114" s="10"/>
      <c r="H114" s="25"/>
      <c r="I114" s="2"/>
      <c r="J114" s="2"/>
      <c r="K114" s="26"/>
      <c r="L114" s="23"/>
      <c r="M114" s="10"/>
      <c r="N114" s="5"/>
    </row>
    <row r="115" spans="1:14" ht="15.5" hidden="1" x14ac:dyDescent="0.35">
      <c r="A115" s="41" t="s">
        <v>90</v>
      </c>
      <c r="B115" s="23"/>
      <c r="C115" s="8"/>
      <c r="D115" s="8"/>
      <c r="E115" s="8"/>
      <c r="F115" s="8"/>
      <c r="G115" s="10"/>
      <c r="H115" s="25"/>
      <c r="I115" s="2"/>
      <c r="J115" s="2"/>
      <c r="K115" s="26"/>
      <c r="L115" s="23"/>
      <c r="M115" s="10"/>
      <c r="N115" s="5"/>
    </row>
    <row r="116" spans="1:14" ht="15.5" hidden="1" x14ac:dyDescent="0.35">
      <c r="A116" s="41" t="s">
        <v>92</v>
      </c>
      <c r="B116" s="23"/>
      <c r="C116" s="8"/>
      <c r="D116" s="8"/>
      <c r="E116" s="8"/>
      <c r="F116" s="8"/>
      <c r="G116" s="10"/>
      <c r="H116" s="25"/>
      <c r="I116" s="2"/>
      <c r="J116" s="2"/>
      <c r="K116" s="26"/>
      <c r="L116" s="23"/>
      <c r="M116" s="10"/>
      <c r="N116" s="5"/>
    </row>
    <row r="117" spans="1:14" ht="15.5" hidden="1" x14ac:dyDescent="0.35">
      <c r="A117" s="41" t="s">
        <v>94</v>
      </c>
      <c r="B117" s="23"/>
      <c r="C117" s="8"/>
      <c r="D117" s="8"/>
      <c r="E117" s="8"/>
      <c r="F117" s="8"/>
      <c r="G117" s="10"/>
      <c r="H117" s="25"/>
      <c r="I117" s="2"/>
      <c r="J117" s="2"/>
      <c r="K117" s="26"/>
      <c r="L117" s="23"/>
      <c r="M117" s="10"/>
      <c r="N117" s="5"/>
    </row>
    <row r="118" spans="1:14" ht="15.5" hidden="1" x14ac:dyDescent="0.35">
      <c r="A118" s="41" t="s">
        <v>96</v>
      </c>
      <c r="B118" s="23"/>
      <c r="C118" s="8"/>
      <c r="D118" s="8"/>
      <c r="E118" s="8"/>
      <c r="F118" s="8"/>
      <c r="G118" s="10"/>
      <c r="H118" s="25"/>
      <c r="I118" s="2"/>
      <c r="J118" s="2"/>
      <c r="K118" s="26"/>
      <c r="L118" s="23"/>
      <c r="M118" s="10"/>
      <c r="N118" s="5"/>
    </row>
    <row r="119" spans="1:14" ht="15.5" hidden="1" x14ac:dyDescent="0.35">
      <c r="A119" s="41" t="s">
        <v>98</v>
      </c>
      <c r="B119" s="23"/>
      <c r="C119" s="8"/>
      <c r="D119" s="8"/>
      <c r="E119" s="8"/>
      <c r="F119" s="8"/>
      <c r="G119" s="10"/>
      <c r="H119" s="25"/>
      <c r="I119" s="2"/>
      <c r="J119" s="2"/>
      <c r="K119" s="26"/>
      <c r="L119" s="23"/>
      <c r="M119" s="10"/>
      <c r="N119" s="5"/>
    </row>
    <row r="120" spans="1:14" ht="15.5" hidden="1" x14ac:dyDescent="0.35">
      <c r="A120" s="41" t="s">
        <v>100</v>
      </c>
      <c r="B120" s="23"/>
      <c r="C120" s="8"/>
      <c r="D120" s="8"/>
      <c r="E120" s="8"/>
      <c r="F120" s="8"/>
      <c r="G120" s="10"/>
      <c r="H120" s="25"/>
      <c r="I120" s="2"/>
      <c r="J120" s="2"/>
      <c r="K120" s="26"/>
      <c r="L120" s="23"/>
      <c r="M120" s="10"/>
      <c r="N120" s="5"/>
    </row>
    <row r="121" spans="1:14" ht="15.5" hidden="1" x14ac:dyDescent="0.35">
      <c r="A121" s="41" t="s">
        <v>102</v>
      </c>
      <c r="B121" s="23"/>
      <c r="C121" s="8"/>
      <c r="D121" s="8"/>
      <c r="E121" s="8"/>
      <c r="F121" s="8"/>
      <c r="G121" s="10"/>
      <c r="H121" s="24"/>
      <c r="I121" s="18"/>
      <c r="J121" s="18"/>
      <c r="K121" s="19"/>
      <c r="L121" s="23"/>
      <c r="M121" s="10"/>
      <c r="N121" s="5"/>
    </row>
    <row r="122" spans="1:14" ht="15.5" x14ac:dyDescent="0.35">
      <c r="A122" s="23" t="s">
        <v>124</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125</v>
      </c>
      <c r="B124" s="2"/>
      <c r="C124" s="2"/>
      <c r="D124" s="2"/>
      <c r="E124" s="2"/>
      <c r="F124" s="2"/>
      <c r="G124" s="2"/>
      <c r="H124" s="2"/>
      <c r="I124" s="2"/>
      <c r="J124" s="2"/>
      <c r="K124" s="2"/>
      <c r="L124" s="2"/>
      <c r="M124" s="2"/>
      <c r="N124" s="30"/>
    </row>
    <row r="125" spans="1:14" ht="46.5" x14ac:dyDescent="0.35">
      <c r="A125" s="44" t="s">
        <v>126</v>
      </c>
      <c r="B125" s="45" t="s">
        <v>127</v>
      </c>
      <c r="C125" s="8"/>
      <c r="D125" s="8"/>
      <c r="E125" s="8"/>
      <c r="F125" s="8"/>
      <c r="G125" s="10"/>
      <c r="H125" s="45" t="s">
        <v>128</v>
      </c>
      <c r="I125" s="8"/>
      <c r="J125" s="8"/>
      <c r="K125" s="10"/>
      <c r="L125" s="46" t="s">
        <v>129</v>
      </c>
      <c r="M125" s="10"/>
      <c r="N125" s="5"/>
    </row>
    <row r="126" spans="1:14" ht="47.25" customHeight="1" x14ac:dyDescent="0.35">
      <c r="A126" s="47" t="s">
        <v>130</v>
      </c>
      <c r="B126" s="48" t="s">
        <v>131</v>
      </c>
      <c r="C126" s="14"/>
      <c r="D126" s="14"/>
      <c r="E126" s="14"/>
      <c r="F126" s="14"/>
      <c r="G126" s="15"/>
      <c r="H126" s="49" t="s">
        <v>132</v>
      </c>
      <c r="I126" s="14"/>
      <c r="J126" s="14"/>
      <c r="K126" s="50" t="s">
        <v>133</v>
      </c>
      <c r="L126" s="51">
        <f>1-SUM(L129:M131)</f>
        <v>0.7</v>
      </c>
      <c r="M126" s="15"/>
      <c r="N126" s="5"/>
    </row>
    <row r="127" spans="1:14" ht="41.25" customHeight="1" x14ac:dyDescent="0.35">
      <c r="A127" s="52"/>
      <c r="B127" s="25"/>
      <c r="C127" s="2"/>
      <c r="D127" s="2"/>
      <c r="E127" s="2"/>
      <c r="F127" s="2"/>
      <c r="G127" s="26"/>
      <c r="H127" s="24"/>
      <c r="I127" s="18"/>
      <c r="J127" s="18"/>
      <c r="K127" s="37"/>
      <c r="L127" s="25"/>
      <c r="M127" s="26"/>
      <c r="N127" s="5"/>
    </row>
    <row r="128" spans="1:14" ht="78" customHeight="1" x14ac:dyDescent="0.35">
      <c r="A128" s="37"/>
      <c r="B128" s="24"/>
      <c r="C128" s="18"/>
      <c r="D128" s="18"/>
      <c r="E128" s="18"/>
      <c r="F128" s="18"/>
      <c r="G128" s="19"/>
      <c r="H128" s="53" t="s">
        <v>134</v>
      </c>
      <c r="I128" s="8"/>
      <c r="J128" s="8"/>
      <c r="K128" s="54" t="s">
        <v>135</v>
      </c>
      <c r="L128" s="24"/>
      <c r="M128" s="19"/>
      <c r="N128" s="5"/>
    </row>
    <row r="129" spans="1:14" ht="68.25" hidden="1" customHeight="1" x14ac:dyDescent="0.35">
      <c r="A129" s="44" t="s">
        <v>136</v>
      </c>
      <c r="B129" s="53" t="s">
        <v>137</v>
      </c>
      <c r="C129" s="8"/>
      <c r="D129" s="8"/>
      <c r="E129" s="8"/>
      <c r="F129" s="8"/>
      <c r="G129" s="10"/>
      <c r="H129" s="53" t="s">
        <v>138</v>
      </c>
      <c r="I129" s="8"/>
      <c r="J129" s="8"/>
      <c r="K129" s="10"/>
      <c r="L129" s="55"/>
      <c r="M129" s="10"/>
      <c r="N129" s="5"/>
    </row>
    <row r="130" spans="1:14" ht="87.75" customHeight="1" x14ac:dyDescent="0.35">
      <c r="A130" s="44" t="s">
        <v>139</v>
      </c>
      <c r="B130" s="53" t="s">
        <v>140</v>
      </c>
      <c r="C130" s="8"/>
      <c r="D130" s="8"/>
      <c r="E130" s="8"/>
      <c r="F130" s="8"/>
      <c r="G130" s="10"/>
      <c r="H130" s="53" t="s">
        <v>141</v>
      </c>
      <c r="I130" s="8"/>
      <c r="J130" s="8"/>
      <c r="K130" s="10"/>
      <c r="L130" s="55">
        <v>0.3</v>
      </c>
      <c r="M130" s="10"/>
      <c r="N130" s="5"/>
    </row>
    <row r="131" spans="1:14" ht="31" hidden="1" x14ac:dyDescent="0.35">
      <c r="A131" s="44" t="s">
        <v>142</v>
      </c>
      <c r="B131" s="56" t="s">
        <v>143</v>
      </c>
      <c r="C131" s="8"/>
      <c r="D131" s="8"/>
      <c r="E131" s="8"/>
      <c r="F131" s="8"/>
      <c r="G131" s="10"/>
      <c r="H131" s="53" t="s">
        <v>144</v>
      </c>
      <c r="I131" s="8"/>
      <c r="J131" s="8"/>
      <c r="K131" s="10"/>
      <c r="L131" s="55"/>
      <c r="M131" s="10"/>
      <c r="N131" s="5"/>
    </row>
    <row r="132" spans="1:14" ht="15.5" x14ac:dyDescent="0.35">
      <c r="A132" s="45" t="s">
        <v>145</v>
      </c>
      <c r="B132" s="8"/>
      <c r="C132" s="8"/>
      <c r="D132" s="8"/>
      <c r="E132" s="8"/>
      <c r="F132" s="8"/>
      <c r="G132" s="8"/>
      <c r="H132" s="8"/>
      <c r="I132" s="8"/>
      <c r="J132" s="8"/>
      <c r="K132" s="8"/>
      <c r="L132" s="8"/>
      <c r="M132" s="10"/>
      <c r="N132" s="5"/>
    </row>
    <row r="133" spans="1:14" ht="15.5" x14ac:dyDescent="0.35">
      <c r="A133" s="57" t="s">
        <v>146</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8" t="s">
        <v>147</v>
      </c>
      <c r="B135" s="10"/>
      <c r="C135" s="59">
        <v>45902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58" t="s">
        <v>148</v>
      </c>
      <c r="B137" s="10"/>
      <c r="C137" s="9" t="str">
        <f>E15</f>
        <v>Prof. dr. ing. Octavian-Cezar Păstrăvanu</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60" t="s">
        <v>149</v>
      </c>
      <c r="B139" s="15"/>
      <c r="C139" s="9" t="str">
        <f t="shared" ref="C139:C141" si="0">E17</f>
        <v>Asist. drd. ing. Ioana Huştiu</v>
      </c>
      <c r="D139" s="8"/>
      <c r="E139" s="8"/>
      <c r="F139" s="8"/>
      <c r="G139" s="10"/>
      <c r="H139" s="9">
        <f t="shared" ref="H139:H141" si="1">E20</f>
        <v>0</v>
      </c>
      <c r="I139" s="8"/>
      <c r="J139" s="8"/>
      <c r="K139" s="8"/>
      <c r="L139" s="8"/>
      <c r="M139" s="10"/>
      <c r="N139" s="5"/>
    </row>
    <row r="140" spans="1:14" ht="32.25" customHeight="1" x14ac:dyDescent="0.35">
      <c r="A140" s="25"/>
      <c r="B140" s="26"/>
      <c r="C140" s="9" t="str">
        <f t="shared" si="0"/>
        <v>Asist. drd. ing. Mihaela Alexandra Barb-Ciorbea</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8" t="s">
        <v>150</v>
      </c>
      <c r="B143" s="10"/>
      <c r="C143" s="61">
        <f>[1]Date!C29</f>
        <v>45915</v>
      </c>
      <c r="D143" s="10"/>
      <c r="E143" s="58" t="s">
        <v>151</v>
      </c>
      <c r="F143" s="8"/>
      <c r="G143" s="10"/>
      <c r="H143" s="62" t="str">
        <f>[1]Date!C31</f>
        <v>Conf.dr.ing. Mihai POSTOLACHE</v>
      </c>
      <c r="I143" s="8"/>
      <c r="J143" s="8"/>
      <c r="K143" s="8"/>
      <c r="L143" s="8"/>
      <c r="M143" s="10"/>
      <c r="N143" s="5"/>
    </row>
    <row r="144" spans="1:14" ht="21.75" customHeight="1" x14ac:dyDescent="0.35">
      <c r="A144" s="63"/>
      <c r="B144" s="63"/>
      <c r="C144" s="64"/>
      <c r="D144" s="64"/>
      <c r="E144" s="63"/>
      <c r="F144" s="63"/>
      <c r="G144" s="63"/>
      <c r="H144" s="64"/>
      <c r="I144" s="64"/>
      <c r="J144" s="64"/>
      <c r="K144" s="64"/>
      <c r="L144" s="64"/>
      <c r="M144" s="64"/>
      <c r="N144" s="5"/>
    </row>
    <row r="145" spans="1:14" ht="28.5" customHeight="1" x14ac:dyDescent="0.35">
      <c r="A145" s="58" t="s">
        <v>152</v>
      </c>
      <c r="B145" s="10"/>
      <c r="C145" s="61">
        <f>[1]Date!C30</f>
        <v>45918</v>
      </c>
      <c r="D145" s="10"/>
      <c r="E145" s="58" t="s">
        <v>153</v>
      </c>
      <c r="F145" s="8"/>
      <c r="G145" s="10"/>
      <c r="H145" s="62" t="str">
        <f>[1]Date!C32</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7"/>
    <mergeCell ref="K126:K127"/>
    <mergeCell ref="L126:M128"/>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2026-03-01T09:09:16Z</dcterms:created>
  <dcterms:modified xsi:type="dcterms:W3CDTF">2026-03-01T09:09:19Z</dcterms:modified>
</cp:coreProperties>
</file>